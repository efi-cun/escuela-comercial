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uneduco-my.sharepoint.com/personal/yeison_oyolat_cun_edu_co/Documents/Documentos/Margaret/"/>
    </mc:Choice>
  </mc:AlternateContent>
  <xr:revisionPtr revIDLastSave="315" documentId="114_{60450292-222E-4A60-9E8E-D1FE92304973}" xr6:coauthVersionLast="47" xr6:coauthVersionMax="47" xr10:uidLastSave="{D9109FAC-8B1A-432E-ABD0-9D43FDB307B2}"/>
  <bookViews>
    <workbookView xWindow="4200" yWindow="4185" windowWidth="21600" windowHeight="11295" tabRatio="500" activeTab="1" xr2:uid="{00000000-000D-0000-FFFF-FFFF00000000}"/>
  </bookViews>
  <sheets>
    <sheet name="Registro" sheetId="1" r:id="rId1"/>
    <sheet name="OJT" sheetId="15" r:id="rId2"/>
    <sheet name="Resumen" sheetId="13" r:id="rId3"/>
    <sheet name="Resumen OJT" sheetId="5" state="hidden" r:id="rId4"/>
    <sheet name="Parametros" sheetId="6" state="hidden" r:id="rId5"/>
  </sheets>
  <definedNames>
    <definedName name="Lista_Aprueba">Parametros!$H$4:$H$30</definedName>
    <definedName name="Lista_Campana">Parametros!$D$4:$D$30</definedName>
    <definedName name="Lista_Cargo">Parametros!$E$4:$E$30</definedName>
    <definedName name="Lista_Estado">Parametros!$G$4:$G$29</definedName>
    <definedName name="Lista_Formador">Parametros!$F$4:$F$30</definedName>
  </definedName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48" i="1" l="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D53" i="13"/>
  <c r="C53" i="13"/>
  <c r="B53" i="13"/>
  <c r="D52" i="13"/>
  <c r="C52" i="13"/>
  <c r="B52" i="13"/>
  <c r="B51" i="13"/>
  <c r="B50" i="13"/>
  <c r="C45" i="13"/>
  <c r="B45" i="13"/>
  <c r="C44" i="13"/>
  <c r="B44" i="13"/>
  <c r="B43" i="13"/>
  <c r="C42" i="13"/>
  <c r="B42" i="13"/>
  <c r="B41" i="13"/>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7" i="1"/>
  <c r="P46" i="1"/>
  <c r="Q46" i="1" s="1"/>
  <c r="P45" i="1"/>
  <c r="Q45" i="1" s="1"/>
  <c r="P44" i="1"/>
  <c r="Q44" i="1" s="1"/>
  <c r="P43" i="1"/>
  <c r="Q43" i="1" s="1"/>
  <c r="P42" i="1"/>
  <c r="Q42" i="1" s="1"/>
  <c r="P41" i="1"/>
  <c r="Q41" i="1" s="1"/>
  <c r="P40" i="1"/>
  <c r="Q40" i="1" s="1"/>
  <c r="P39" i="1"/>
  <c r="Q39" i="1" s="1"/>
  <c r="P38" i="1"/>
  <c r="Q38" i="1" s="1"/>
  <c r="P37" i="1"/>
  <c r="Q37" i="1" s="1"/>
  <c r="P36" i="1"/>
  <c r="Q36" i="1" s="1"/>
  <c r="T36" i="1" s="1"/>
  <c r="P35" i="1"/>
  <c r="Q35" i="1" s="1"/>
  <c r="T35" i="1" s="1"/>
  <c r="P34" i="1"/>
  <c r="Q34" i="1" s="1"/>
  <c r="T34" i="1" s="1"/>
  <c r="P33" i="1"/>
  <c r="Q33" i="1" s="1"/>
  <c r="P32" i="1"/>
  <c r="Q32" i="1" s="1"/>
  <c r="T32" i="1" s="1"/>
  <c r="P31" i="1"/>
  <c r="Q31" i="1" s="1"/>
  <c r="T31" i="1" s="1"/>
  <c r="P30" i="1"/>
  <c r="Q30" i="1" s="1"/>
  <c r="P29" i="1"/>
  <c r="Q29" i="1" s="1"/>
  <c r="T29" i="1" s="1"/>
  <c r="P28" i="1"/>
  <c r="P27" i="1"/>
  <c r="Q27" i="1" s="1"/>
  <c r="P25" i="1"/>
  <c r="Q25" i="1" s="1"/>
  <c r="T25" i="1" s="1"/>
  <c r="P24" i="1"/>
  <c r="Q24" i="1" s="1"/>
  <c r="T24" i="1" s="1"/>
  <c r="P23" i="1"/>
  <c r="Q23" i="1" s="1"/>
  <c r="P22" i="1"/>
  <c r="Q22" i="1" s="1"/>
  <c r="T22" i="1" s="1"/>
  <c r="P21" i="1"/>
  <c r="Q21" i="1" s="1"/>
  <c r="P20" i="1"/>
  <c r="Q20" i="1" s="1"/>
  <c r="P19" i="1"/>
  <c r="Q19" i="1" s="1"/>
  <c r="P18" i="1"/>
  <c r="Q18" i="1" s="1"/>
  <c r="P17" i="1"/>
  <c r="Q17" i="1" s="1"/>
  <c r="P16" i="1"/>
  <c r="Q16" i="1" s="1"/>
  <c r="P15" i="1"/>
  <c r="Q15" i="1" s="1"/>
  <c r="T15" i="1" s="1"/>
  <c r="P14" i="1"/>
  <c r="Q14" i="1" s="1"/>
  <c r="T14" i="1" s="1"/>
  <c r="P13" i="1"/>
  <c r="Q13" i="1" s="1"/>
  <c r="T13" i="1" s="1"/>
  <c r="P12" i="1"/>
  <c r="Q12" i="1" s="1"/>
  <c r="P11" i="1"/>
  <c r="Q11" i="1" s="1"/>
  <c r="P10" i="1"/>
  <c r="Q10" i="1" s="1"/>
  <c r="T10" i="1" s="1"/>
  <c r="P9" i="1"/>
  <c r="Q9" i="1" s="1"/>
  <c r="P8" i="1"/>
  <c r="Q8" i="1" s="1"/>
  <c r="T8" i="1" s="1"/>
  <c r="P7" i="1"/>
  <c r="Q7" i="1" s="1"/>
  <c r="T7" i="1" s="1"/>
  <c r="P6" i="1"/>
  <c r="P5" i="1"/>
  <c r="Q5" i="1" s="1"/>
  <c r="T5" i="1" s="1"/>
  <c r="P4" i="1"/>
  <c r="Q4" i="1" s="1"/>
  <c r="P3" i="1"/>
  <c r="Q3" i="1" s="1"/>
  <c r="T3" i="1" s="1"/>
  <c r="P2" i="1"/>
  <c r="Q2" i="1" s="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T100" i="1" s="1"/>
  <c r="Q99" i="1"/>
  <c r="T99" i="1" s="1"/>
  <c r="Q98" i="1"/>
  <c r="T98" i="1" s="1"/>
  <c r="Q97" i="1"/>
  <c r="T97" i="1" s="1"/>
  <c r="Q96" i="1"/>
  <c r="T96" i="1" s="1"/>
  <c r="Q95" i="1"/>
  <c r="T95" i="1" s="1"/>
  <c r="Q94" i="1"/>
  <c r="T94" i="1" s="1"/>
  <c r="Q93" i="1"/>
  <c r="T93" i="1" s="1"/>
  <c r="Q92" i="1"/>
  <c r="T92" i="1" s="1"/>
  <c r="Q91" i="1"/>
  <c r="T91" i="1" s="1"/>
  <c r="Q90" i="1"/>
  <c r="T90" i="1" s="1"/>
  <c r="Q89" i="1"/>
  <c r="T89" i="1" s="1"/>
  <c r="Q88" i="1"/>
  <c r="T88" i="1" s="1"/>
  <c r="Q87" i="1"/>
  <c r="T87" i="1" s="1"/>
  <c r="Q86" i="1"/>
  <c r="T86" i="1" s="1"/>
  <c r="Q85" i="1"/>
  <c r="T85" i="1" s="1"/>
  <c r="Q84" i="1"/>
  <c r="T84" i="1" s="1"/>
  <c r="Q83" i="1"/>
  <c r="T83" i="1" s="1"/>
  <c r="Q82" i="1"/>
  <c r="T82" i="1" s="1"/>
  <c r="Q81" i="1"/>
  <c r="T81" i="1" s="1"/>
  <c r="Q80" i="1"/>
  <c r="T80" i="1" s="1"/>
  <c r="Q79" i="1"/>
  <c r="T79" i="1" s="1"/>
  <c r="Q78" i="1"/>
  <c r="T78" i="1" s="1"/>
  <c r="Q77" i="1"/>
  <c r="T77" i="1" s="1"/>
  <c r="Q76" i="1"/>
  <c r="T76" i="1" s="1"/>
  <c r="Q75" i="1"/>
  <c r="T75" i="1" s="1"/>
  <c r="Q74" i="1"/>
  <c r="T74" i="1" s="1"/>
  <c r="Q73" i="1"/>
  <c r="T73" i="1" s="1"/>
  <c r="Q72" i="1"/>
  <c r="T72" i="1" s="1"/>
  <c r="Q71" i="1"/>
  <c r="T71" i="1" s="1"/>
  <c r="Q70" i="1"/>
  <c r="T70" i="1" s="1"/>
  <c r="Q69" i="1"/>
  <c r="T69" i="1" s="1"/>
  <c r="Q68" i="1"/>
  <c r="T68" i="1" s="1"/>
  <c r="Q67" i="1"/>
  <c r="T67" i="1" s="1"/>
  <c r="Q66" i="1"/>
  <c r="T66" i="1" s="1"/>
  <c r="Q65" i="1"/>
  <c r="T65" i="1" s="1"/>
  <c r="Q64" i="1"/>
  <c r="T64" i="1" s="1"/>
  <c r="Q63" i="1"/>
  <c r="T63" i="1" s="1"/>
  <c r="Q62" i="1"/>
  <c r="T62" i="1" s="1"/>
  <c r="Q61" i="1"/>
  <c r="T61" i="1" s="1"/>
  <c r="Q60" i="1"/>
  <c r="T60" i="1" s="1"/>
  <c r="Q59" i="1"/>
  <c r="T59" i="1" s="1"/>
  <c r="Q58" i="1"/>
  <c r="T58" i="1" s="1"/>
  <c r="Q57" i="1"/>
  <c r="T57" i="1" s="1"/>
  <c r="Q56" i="1"/>
  <c r="T56" i="1" s="1"/>
  <c r="Q55" i="1"/>
  <c r="T55" i="1" s="1"/>
  <c r="Q54" i="1"/>
  <c r="T54" i="1" s="1"/>
  <c r="Q53" i="1"/>
  <c r="T53" i="1" s="1"/>
  <c r="Q52" i="1"/>
  <c r="T52" i="1" s="1"/>
  <c r="Q51" i="1"/>
  <c r="T51" i="1" s="1"/>
  <c r="Q50" i="1"/>
  <c r="T50" i="1" s="1"/>
  <c r="T49" i="1"/>
  <c r="Q26"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Q47" i="1" l="1"/>
  <c r="T47" i="1" s="1"/>
  <c r="D51" i="13"/>
  <c r="C51" i="13"/>
  <c r="D50" i="13"/>
  <c r="Q28" i="1"/>
  <c r="T26" i="1"/>
  <c r="D44" i="13"/>
  <c r="Q6" i="1"/>
  <c r="B34" i="13"/>
  <c r="D45" i="13"/>
  <c r="D42" i="13"/>
  <c r="T2" i="1"/>
  <c r="T23" i="1"/>
  <c r="T21" i="1"/>
  <c r="T20" i="1"/>
  <c r="T19" i="1"/>
  <c r="T17" i="1"/>
  <c r="T16" i="1"/>
  <c r="T12" i="1"/>
  <c r="T11" i="1"/>
  <c r="T9" i="1"/>
  <c r="T6" i="1"/>
  <c r="T4" i="1"/>
  <c r="C43" i="13"/>
  <c r="D43" i="13" s="1"/>
  <c r="B30" i="13"/>
  <c r="T28" i="1" l="1"/>
  <c r="T43" i="1"/>
  <c r="T33" i="1"/>
  <c r="T41" i="1"/>
  <c r="C41" i="13"/>
  <c r="D41" i="13" s="1"/>
  <c r="B32" i="13"/>
  <c r="C50" i="13"/>
  <c r="B36" i="13"/>
  <c r="B35" i="13"/>
  <c r="B31" i="13"/>
  <c r="B33" i="13" s="1"/>
  <c r="T30" i="1"/>
  <c r="T42" i="1"/>
  <c r="T44" i="1"/>
  <c r="T37" i="1"/>
  <c r="T45" i="1"/>
  <c r="T40" i="1"/>
  <c r="A97" i="15" s="1"/>
  <c r="T39" i="1"/>
  <c r="T38" i="1"/>
  <c r="T27" i="1"/>
  <c r="E92" i="15" s="1"/>
  <c r="T18" i="1"/>
  <c r="T46" i="1"/>
  <c r="A27" i="15"/>
  <c r="A2" i="15"/>
  <c r="C2" i="15"/>
  <c r="E2" i="15"/>
  <c r="B7" i="15"/>
  <c r="D7" i="15"/>
  <c r="A12" i="15"/>
  <c r="C12" i="15"/>
  <c r="E12" i="15"/>
  <c r="B17" i="15"/>
  <c r="D17" i="15"/>
  <c r="A22" i="15"/>
  <c r="B22" i="15"/>
  <c r="D22" i="15"/>
  <c r="B27" i="15"/>
  <c r="D27" i="15"/>
  <c r="A32" i="15"/>
  <c r="C32" i="15"/>
  <c r="E32" i="15"/>
  <c r="B37" i="15"/>
  <c r="C37" i="15"/>
  <c r="A42" i="15"/>
  <c r="C42" i="15"/>
  <c r="A62" i="15"/>
  <c r="C62" i="15"/>
  <c r="D62" i="15"/>
  <c r="E62" i="15"/>
  <c r="A67" i="15"/>
  <c r="B67" i="15"/>
  <c r="B97" i="15"/>
  <c r="C97" i="15"/>
  <c r="D97" i="15"/>
  <c r="E97" i="15"/>
  <c r="A102" i="15"/>
  <c r="B102" i="15"/>
  <c r="C102" i="15"/>
  <c r="D102" i="15"/>
  <c r="E102" i="15"/>
  <c r="A107" i="15"/>
  <c r="B107" i="15"/>
  <c r="C107" i="15"/>
  <c r="D107" i="15"/>
  <c r="E107" i="15"/>
  <c r="A112" i="15"/>
  <c r="B112" i="15"/>
  <c r="C112" i="15"/>
  <c r="D112" i="15"/>
  <c r="E112" i="15"/>
  <c r="A117" i="15"/>
  <c r="B117" i="15"/>
  <c r="C117" i="15"/>
  <c r="D117" i="15"/>
  <c r="E117" i="15"/>
  <c r="A122" i="15"/>
  <c r="B122" i="15"/>
  <c r="C122" i="15"/>
  <c r="D122" i="15"/>
  <c r="E122" i="15"/>
  <c r="A127" i="15"/>
  <c r="B127" i="15"/>
  <c r="C127" i="15"/>
  <c r="D127" i="15"/>
  <c r="B2" i="15"/>
  <c r="D2" i="15"/>
  <c r="A7" i="15"/>
  <c r="C7" i="15"/>
  <c r="E7" i="15"/>
  <c r="B12" i="15"/>
  <c r="D12" i="15"/>
  <c r="A17" i="15"/>
  <c r="C17" i="15"/>
  <c r="E17" i="15"/>
  <c r="C22" i="15"/>
  <c r="E22" i="15"/>
  <c r="C27" i="15"/>
  <c r="E27" i="15"/>
  <c r="B32" i="15"/>
  <c r="D32" i="15"/>
  <c r="A37" i="15"/>
  <c r="D37" i="15"/>
  <c r="E37" i="15"/>
  <c r="B42" i="15"/>
  <c r="D42" i="15"/>
  <c r="E42" i="15"/>
  <c r="B47" i="15"/>
  <c r="D47" i="15"/>
  <c r="E47" i="15"/>
  <c r="B11" i="5"/>
  <c r="B12" i="5"/>
  <c r="F14" i="5"/>
  <c r="F12" i="5"/>
  <c r="D13" i="5"/>
  <c r="E13" i="5"/>
  <c r="F11" i="5"/>
  <c r="B13" i="5"/>
  <c r="D11" i="5"/>
  <c r="D12" i="5"/>
  <c r="F13" i="5"/>
  <c r="D14" i="5"/>
  <c r="E11" i="5"/>
  <c r="B14" i="5"/>
  <c r="E14" i="5"/>
  <c r="E12" i="5"/>
  <c r="B4" i="5"/>
  <c r="D15" i="5"/>
  <c r="E15" i="5"/>
  <c r="F15" i="5"/>
  <c r="B5" i="5"/>
  <c r="B6" i="5"/>
  <c r="B3" i="5"/>
  <c r="A52" i="15" l="1"/>
  <c r="C52" i="15"/>
  <c r="E52" i="15"/>
  <c r="B57" i="15"/>
  <c r="C57" i="15"/>
  <c r="D57" i="15"/>
  <c r="E57" i="15"/>
  <c r="C67" i="15"/>
  <c r="D67" i="15"/>
  <c r="E67" i="15"/>
  <c r="A72" i="15"/>
  <c r="B72" i="15"/>
  <c r="C72" i="15"/>
  <c r="D72" i="15"/>
  <c r="E72" i="15"/>
  <c r="A77" i="15"/>
  <c r="B77" i="15"/>
  <c r="C77" i="15"/>
  <c r="D77" i="15"/>
  <c r="E77" i="15"/>
  <c r="A82" i="15"/>
  <c r="B82" i="15"/>
  <c r="C82" i="15"/>
  <c r="E82" i="15"/>
  <c r="A87" i="15"/>
  <c r="B87" i="15"/>
  <c r="D87" i="15"/>
  <c r="E87" i="15"/>
  <c r="B92" i="15"/>
  <c r="D92" i="15"/>
  <c r="A47" i="15"/>
  <c r="D82" i="15"/>
  <c r="C87" i="15"/>
  <c r="A92" i="15"/>
  <c r="C92" i="15"/>
  <c r="C47" i="15"/>
  <c r="E127" i="15"/>
  <c r="A132" i="15"/>
  <c r="B132" i="15"/>
  <c r="C132" i="15"/>
  <c r="D132" i="15"/>
  <c r="E132" i="15"/>
  <c r="A137" i="15"/>
  <c r="B137" i="15"/>
  <c r="C137" i="15"/>
  <c r="D137" i="15"/>
  <c r="E137" i="15"/>
  <c r="A142" i="15"/>
  <c r="B142" i="15"/>
  <c r="C142" i="15"/>
  <c r="D142" i="15"/>
  <c r="E142" i="15"/>
  <c r="A147" i="15"/>
  <c r="B147" i="15"/>
  <c r="C147" i="15"/>
  <c r="D147" i="15"/>
  <c r="E147" i="15"/>
  <c r="B52" i="15"/>
  <c r="D52" i="15"/>
  <c r="A57" i="15"/>
  <c r="B62" i="15"/>
  <c r="C13" i="5"/>
  <c r="C11" i="5"/>
  <c r="B15" i="5"/>
  <c r="C15" i="5" s="1"/>
  <c r="C12" i="5"/>
  <c r="C14" i="5"/>
</calcChain>
</file>

<file path=xl/sharedStrings.xml><?xml version="1.0" encoding="utf-8"?>
<sst xmlns="http://schemas.openxmlformats.org/spreadsheetml/2006/main" count="420" uniqueCount="225">
  <si>
    <t>No.</t>
  </si>
  <si>
    <t>CAMPAÑA</t>
  </si>
  <si>
    <t>FECHA DE INGRESO A FORMACIÓN</t>
  </si>
  <si>
    <t>CARGO</t>
  </si>
  <si>
    <t>No. DOCUMENTO</t>
  </si>
  <si>
    <t>NOMBRE COMPLETO</t>
  </si>
  <si>
    <t>CORREO ELECTRÓNICO</t>
  </si>
  <si>
    <t>TELÉFONO MÓVIL</t>
  </si>
  <si>
    <t>FORMADOR</t>
  </si>
  <si>
    <t>PRESENTACIÓN PERSONAL 5%</t>
  </si>
  <si>
    <t>PARTICIPACIÓN Y PUNTUALIDAD 10%</t>
  </si>
  <si>
    <t>EVALUACIÓN CONOCIMIENTO (DIA 2) 5%</t>
  </si>
  <si>
    <t>EVALUACIÓN TÉCNICA 10%</t>
  </si>
  <si>
    <t>SIMULACIÓN CON IA 20%</t>
  </si>
  <si>
    <t>EVALUACIÓN FINAL (CLÍNICA DE VENTAS) 50%</t>
  </si>
  <si>
    <t>NOTA FINAL</t>
  </si>
  <si>
    <t>APRUEBA</t>
  </si>
  <si>
    <t>OBSERVACIONES</t>
  </si>
  <si>
    <t>AUX - ORDEN APROBADO (no borrar)</t>
  </si>
  <si>
    <t>Posgrados</t>
  </si>
  <si>
    <t>Auxiliar gestor  de vinculaciones</t>
  </si>
  <si>
    <t>Sara Isabel Molina Sánchez</t>
  </si>
  <si>
    <t>Molinasara453@gmail.com</t>
  </si>
  <si>
    <t>Todas</t>
  </si>
  <si>
    <t>Michelle Geraldine Bejarano Torres</t>
  </si>
  <si>
    <t>michelletorres2593@hotmail.com</t>
  </si>
  <si>
    <t>Helen Sofia Calderon Camelo</t>
  </si>
  <si>
    <t>helencalderon910@gmail.com</t>
  </si>
  <si>
    <t>‪3239227093‬</t>
  </si>
  <si>
    <t>Cindy Paola Cuellar Montoya</t>
  </si>
  <si>
    <t>Cindypaolacuellar@gmail.com</t>
  </si>
  <si>
    <t xml:space="preserve">Llega tarde </t>
  </si>
  <si>
    <t>Thomas Bernardo Fernandez Laverde</t>
  </si>
  <si>
    <t>tfernandezlaverde@gmail.com</t>
  </si>
  <si>
    <t>Julie Caterine Villalobos Ortiz</t>
  </si>
  <si>
    <t>Juliecaterine23@gmail.com</t>
  </si>
  <si>
    <t>Yaricet Bricet Cárcamo Morales</t>
  </si>
  <si>
    <t>Yaricetbricet@gmail.com</t>
  </si>
  <si>
    <t>Pablo Steven Ochoa Rodriguez</t>
  </si>
  <si>
    <t>Pablorodriguez8q@gmail.com</t>
  </si>
  <si>
    <t>Lucia Fernanda Cruz Canchila</t>
  </si>
  <si>
    <t>Luciacruz0414@gmail.com</t>
  </si>
  <si>
    <t>Jhon Stiven Marin Valencia</t>
  </si>
  <si>
    <t>jhonstivenmarin02@gmail.com</t>
  </si>
  <si>
    <t>Yulieth Paola Rodriguez Cañon</t>
  </si>
  <si>
    <t>ypaolarodriguez14@gmail.com</t>
  </si>
  <si>
    <t>Natalia Fernanda Mendieta Oicata</t>
  </si>
  <si>
    <t>nataliamendieta2025@gmail.com</t>
  </si>
  <si>
    <t>Jhonatan David Londoño Baldovino</t>
  </si>
  <si>
    <t>Jdlbaldovino199@gmail.com</t>
  </si>
  <si>
    <t>David Felipe Hernández Hernández</t>
  </si>
  <si>
    <t>david.hernandez.dtk@gmail.com</t>
  </si>
  <si>
    <t>Cristian David Celis Garcia</t>
  </si>
  <si>
    <t>cristianceliss9719@gmail.com</t>
  </si>
  <si>
    <t>Kamy Lizeth Rios Gomez</t>
  </si>
  <si>
    <t>riosgomezkamy@gmail.com</t>
  </si>
  <si>
    <t>Yisell Dayana Castro González</t>
  </si>
  <si>
    <t>Gonzalezdayanna730@gmail.com</t>
  </si>
  <si>
    <t>Nataly Andrea Maecha Lizarazo</t>
  </si>
  <si>
    <t>natamahecha23@gmail.com</t>
  </si>
  <si>
    <t>Luisa Fernanda Rodríguez Sarmiento</t>
  </si>
  <si>
    <t>feryantonella13@gmail.com</t>
  </si>
  <si>
    <t>Presentación personal</t>
  </si>
  <si>
    <t>Yedinson Stiven Ramirez Perdómo</t>
  </si>
  <si>
    <t>kramirezperdomo@gmail.com</t>
  </si>
  <si>
    <t>Gisell Del Carmen Cabrera Maldonado</t>
  </si>
  <si>
    <t>cgisell890@gmail.com</t>
  </si>
  <si>
    <t>Actitud</t>
  </si>
  <si>
    <t>Hebert Julián Casilimas Ricardo</t>
  </si>
  <si>
    <t>julian180703@icloud.com</t>
  </si>
  <si>
    <t>Nelvis Mirleth Gutiérrez Orozco</t>
  </si>
  <si>
    <t>Milrthgutierrez@gmail.com</t>
  </si>
  <si>
    <t xml:space="preserve">Actitud </t>
  </si>
  <si>
    <t>Johan Sebastian Peña Ramos</t>
  </si>
  <si>
    <t>seebastian0118@gmail.com</t>
  </si>
  <si>
    <t>Pregrado Virtual</t>
  </si>
  <si>
    <t>Julian David Jiménez Moreno</t>
  </si>
  <si>
    <t xml:space="preserve">Julian.david.jimenez.moreno@gmail.com </t>
  </si>
  <si>
    <t>Karen Margarita Puerta</t>
  </si>
  <si>
    <t xml:space="preserve">Claudia Yadira Suta Torres </t>
  </si>
  <si>
    <t>claudiasuta029@gmail.com</t>
  </si>
  <si>
    <t xml:space="preserve">Cristian Manuel Jiménez Gómez </t>
  </si>
  <si>
    <t>jimenezsc07@gmail.com</t>
  </si>
  <si>
    <t>Miguel Ángel Becerra Garcia</t>
  </si>
  <si>
    <t>Saclaro920@gmail.com</t>
  </si>
  <si>
    <t>Alex Esteban Angarita Lozano</t>
  </si>
  <si>
    <t>angarita20162001@gmail.com</t>
  </si>
  <si>
    <t xml:space="preserve">Dana Yurleidy Lugo Castro </t>
  </si>
  <si>
    <t>danalugo12345@gmail.com</t>
  </si>
  <si>
    <t xml:space="preserve">Andersson Stiven Lozano Martinez </t>
  </si>
  <si>
    <t>andersson19892014@gmail.com</t>
  </si>
  <si>
    <t>Duvan Alejandro Díaz Landinez</t>
  </si>
  <si>
    <t>Alejithodiax@gmail.com</t>
  </si>
  <si>
    <t>Brandon Stiven Garces Arcos</t>
  </si>
  <si>
    <t xml:space="preserve">Brandongarces2@gmail.com </t>
  </si>
  <si>
    <t xml:space="preserve">Juan Sebastian Acevedo Salazar </t>
  </si>
  <si>
    <t>juansevedo02@gmail.com</t>
  </si>
  <si>
    <t>RESUMEN DE INGRESOS A FORMACIÓN (OJT)</t>
  </si>
  <si>
    <t>Total de personas registradas</t>
  </si>
  <si>
    <t>Total aprobados</t>
  </si>
  <si>
    <t>Total no aprobados</t>
  </si>
  <si>
    <t>% de aprobación</t>
  </si>
  <si>
    <t>Nota promedio general</t>
  </si>
  <si>
    <t>Total retirados</t>
  </si>
  <si>
    <t>Total en formación</t>
  </si>
  <si>
    <t>REGISTROS POR CAMPAÑA</t>
  </si>
  <si>
    <t>Campaña</t>
  </si>
  <si>
    <t>N° personas</t>
  </si>
  <si>
    <t>N° aprobados</t>
  </si>
  <si>
    <t>% aprobación</t>
  </si>
  <si>
    <t>Pregrado Presencial</t>
  </si>
  <si>
    <t>REGISTROS POR FORMADOR</t>
  </si>
  <si>
    <t>Formador</t>
  </si>
  <si>
    <t>Nota promedio</t>
  </si>
  <si>
    <t>Mayra Sofia Sanchez</t>
  </si>
  <si>
    <t>Monica Sanchez</t>
  </si>
  <si>
    <t xml:space="preserve">Todas </t>
  </si>
  <si>
    <t>N°</t>
  </si>
  <si>
    <t>DÍA</t>
  </si>
  <si>
    <t>FECHA</t>
  </si>
  <si>
    <t>MATRÍCULAS</t>
  </si>
  <si>
    <t>ACTITUD (1-5)</t>
  </si>
  <si>
    <t>RESUMEN DE APROBADOS - HOJA OJT</t>
  </si>
  <si>
    <t>Total de aprobados en OJT</t>
  </si>
  <si>
    <t>Nota promedio (aprobados)</t>
  </si>
  <si>
    <t>Nota más alta</t>
  </si>
  <si>
    <t>Nota más baja</t>
  </si>
  <si>
    <t>APROBADOS POR CAMPAÑA (OJT)</t>
  </si>
  <si>
    <t>% del total</t>
  </si>
  <si>
    <t>Nota mínima</t>
  </si>
  <si>
    <t>Nota máxima</t>
  </si>
  <si>
    <t>Comercial B2B</t>
  </si>
  <si>
    <t>TOTAL</t>
  </si>
  <si>
    <t>Nota minima para aprobar</t>
  </si>
  <si>
    <t>(edita este valor para ajustar el umbral de aprobacion)</t>
  </si>
  <si>
    <t>Escala de calificación (máximo por ítem)</t>
  </si>
  <si>
    <t>(cada ítem se califica de 1 a 5)</t>
  </si>
  <si>
    <t>ESTADO DEL PROCESO</t>
  </si>
  <si>
    <t>ITEM DE EVALUACIÓN</t>
  </si>
  <si>
    <t>PESO %</t>
  </si>
  <si>
    <t>Gestor  vinculaciones Junior</t>
  </si>
  <si>
    <t>En formación</t>
  </si>
  <si>
    <t>Aprueba</t>
  </si>
  <si>
    <t>Gestor  vinculaciones Senior</t>
  </si>
  <si>
    <t>OJT</t>
  </si>
  <si>
    <t>No aprueba</t>
  </si>
  <si>
    <t>Participación y puntualidad</t>
  </si>
  <si>
    <t>Retirado</t>
  </si>
  <si>
    <t>Evaluación conocimiento &amp; role play</t>
  </si>
  <si>
    <t>Simulación con IA</t>
  </si>
  <si>
    <t>Evaluación final (clínica de ventas)</t>
  </si>
  <si>
    <t>Evaluación conocimiento (Día 2)</t>
  </si>
  <si>
    <t xml:space="preserve">Escala de evaluación </t>
  </si>
  <si>
    <t>90–100 = 5</t>
  </si>
  <si>
    <t>80–89 = 4</t>
  </si>
  <si>
    <t>70–79 = 3</t>
  </si>
  <si>
    <t>60–69 = 2</t>
  </si>
  <si>
    <t>0–59 = 1</t>
  </si>
  <si>
    <t>Etiquetas de fila</t>
  </si>
  <si>
    <t>Total general</t>
  </si>
  <si>
    <t>Etiquetas de columna</t>
  </si>
  <si>
    <t>Cantidad</t>
  </si>
  <si>
    <t>Nota Promedio</t>
  </si>
  <si>
    <t>ESTADISTICAS GENERALES DE FORMACION Y ONBOARDING</t>
  </si>
  <si>
    <t>1. Estadisticas de Formacion Teorica (Hoja Registro)</t>
  </si>
  <si>
    <t>Participantes por Campana y Estado de Onboarding</t>
  </si>
  <si>
    <t>Nota Promedio de Onboarding por Campana</t>
  </si>
  <si>
    <t>Participantes por Cargo y Estado de Onboarding</t>
  </si>
  <si>
    <t xml:space="preserve">Cantidad </t>
  </si>
  <si>
    <t>2. Estadisticas de On-the-Job Training - OJT (Hoja OJT Aprobados)</t>
  </si>
  <si>
    <t>Aprobados OJT por Campana</t>
  </si>
  <si>
    <t xml:space="preserve">Cantidad  </t>
  </si>
  <si>
    <t>Nota Promedio de OJT por Campana</t>
  </si>
  <si>
    <t xml:space="preserve">Nota Promedio </t>
  </si>
  <si>
    <t>NOTA DE APROBACIÓN</t>
  </si>
  <si>
    <t>Aprueba OJT</t>
  </si>
  <si>
    <t>ADHERENCIA</t>
  </si>
  <si>
    <t>D</t>
  </si>
  <si>
    <t>1001340425</t>
  </si>
  <si>
    <t>Elkin Dario González Alvarez</t>
  </si>
  <si>
    <t>elkingonzalezalvarez01@gmail.com</t>
  </si>
  <si>
    <t>3003398465</t>
  </si>
  <si>
    <t>1016001445</t>
  </si>
  <si>
    <t>Norvey Ibarra Marquez</t>
  </si>
  <si>
    <t>norvey.ibarramarquez@gmail.com</t>
  </si>
  <si>
    <t>3001425397</t>
  </si>
  <si>
    <t>1111332054</t>
  </si>
  <si>
    <t>Eimi Lisettc Páez Olaya</t>
  </si>
  <si>
    <t>Eimipaez941@gmail.com</t>
  </si>
  <si>
    <t>3174216664</t>
  </si>
  <si>
    <t>1012383996</t>
  </si>
  <si>
    <t>Haidivy Lorena Orosco Viracacha</t>
  </si>
  <si>
    <t>haidivyo@hotmail.com</t>
  </si>
  <si>
    <t>3163032130</t>
  </si>
  <si>
    <t>1012390029</t>
  </si>
  <si>
    <t>Luisa Maria Hormaza Hernández</t>
  </si>
  <si>
    <t>fercha0898@hotmail.com</t>
  </si>
  <si>
    <t>3105887044</t>
  </si>
  <si>
    <t>1012411807</t>
  </si>
  <si>
    <t>Juan Camilo Álvarez Muñoz</t>
  </si>
  <si>
    <t>Juancamiloalvarez.1994@gmail.com</t>
  </si>
  <si>
    <t>3002347178</t>
  </si>
  <si>
    <t>1018453638</t>
  </si>
  <si>
    <t>Andes Leonardo Martínez Bejarano</t>
  </si>
  <si>
    <t>almartinez.b7@gmail.com</t>
  </si>
  <si>
    <t>3124144243</t>
  </si>
  <si>
    <t>1000805475</t>
  </si>
  <si>
    <t>Wendy Carolina Cortes Rincón</t>
  </si>
  <si>
    <t>carolina.cortesr29@gmail.com</t>
  </si>
  <si>
    <t>3138053839</t>
  </si>
  <si>
    <t>3238949922</t>
  </si>
  <si>
    <t>Cristian Johan Nuñez López</t>
  </si>
  <si>
    <t>crivenbeats3015@gmail.com</t>
  </si>
  <si>
    <t>1018465015</t>
  </si>
  <si>
    <t>Geraldine Arango Robayo</t>
  </si>
  <si>
    <t>arango.robayo.geraldine@gmail.com</t>
  </si>
  <si>
    <t>3132343828</t>
  </si>
  <si>
    <t>1000122421</t>
  </si>
  <si>
    <t>Andrea Espitia Betancourt</t>
  </si>
  <si>
    <t>anddrea.espitia@gmail.com</t>
  </si>
  <si>
    <t>3105597374</t>
  </si>
  <si>
    <t>1010223032</t>
  </si>
  <si>
    <t>Yennit Viviana Infante Sierra</t>
  </si>
  <si>
    <t>Yinfantesierra2015@gmail.com</t>
  </si>
  <si>
    <t>3239220529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</si>
</sst>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0.0"/>
    <numFmt numFmtId="166" formatCode="0.0%"/>
    <numFmt numFmtId="167" formatCode="#,000"/>
    <numFmt numFmtId="168" formatCode="0&quot;%&quot;"/>
  </numFmts>
  <fonts count="25">
    <font>
      <sz val="11"/>
      <color theme="1"/>
      <name val="Calibri"/>
      <charset val="1"/>
    </font>
    <font>
      <b/>
      <sz val="9"/>
      <color rgb="FF1F3D2B"/>
      <name val="Calibri"/>
      <charset val="1"/>
    </font>
    <font>
      <b/>
      <i/>
      <sz val="11"/>
      <color rgb="FF808080"/>
      <name val="Calibri"/>
      <charset val="1"/>
    </font>
    <font>
      <sz val="10"/>
      <color rgb="FF000000"/>
      <name val="Calibri"/>
      <charset val="1"/>
    </font>
    <font>
      <u/>
      <sz val="11"/>
      <color rgb="FF000000"/>
      <name val="Calibri"/>
      <charset val="1"/>
    </font>
    <font>
      <sz val="10"/>
      <color theme="1"/>
      <name val="Calibri"/>
      <charset val="1"/>
    </font>
    <font>
      <b/>
      <sz val="13"/>
      <color rgb="FF1F3D2B"/>
      <name val="Calibri"/>
      <charset val="1"/>
    </font>
    <font>
      <b/>
      <sz val="10"/>
      <color theme="1"/>
      <name val="Calibri"/>
      <charset val="1"/>
    </font>
    <font>
      <b/>
      <sz val="11"/>
      <color theme="1"/>
      <name val="Calibri"/>
      <charset val="1"/>
    </font>
    <font>
      <b/>
      <sz val="9"/>
      <color theme="1"/>
      <name val="Calibri"/>
      <charset val="1"/>
    </font>
    <font>
      <b/>
      <sz val="13"/>
      <color rgb="FF1F3D2B"/>
      <name val="Calibri"/>
      <family val="2"/>
      <charset val="1"/>
    </font>
    <font>
      <b/>
      <sz val="10"/>
      <name val="Calibri"/>
      <charset val="1"/>
    </font>
    <font>
      <b/>
      <sz val="11"/>
      <name val="Calibri"/>
      <charset val="1"/>
    </font>
    <font>
      <sz val="11"/>
      <name val="Calibri"/>
      <charset val="1"/>
    </font>
    <font>
      <b/>
      <sz val="10"/>
      <color rgb="FF1F3D2B"/>
      <name val="Calibri"/>
      <charset val="1"/>
    </font>
    <font>
      <i/>
      <sz val="9"/>
      <color rgb="FF808080"/>
      <name val="Calibri"/>
      <charset val="1"/>
    </font>
    <font>
      <sz val="11"/>
      <color theme="1"/>
      <name val="Calibri"/>
      <charset val="1"/>
    </font>
    <font>
      <b/>
      <sz val="11"/>
      <color theme="1"/>
      <name val="Calibri"/>
      <family val="2"/>
    </font>
    <font>
      <b/>
      <sz val="16"/>
      <color rgb="FF492B00"/>
      <name val="Calibri"/>
      <family val="2"/>
    </font>
    <font>
      <b/>
      <u/>
      <sz val="12"/>
      <color theme="1"/>
      <name val="Calibri"/>
      <family val="2"/>
    </font>
    <font>
      <sz val="11"/>
      <name val="Carlito"/>
    </font>
    <font>
      <b/>
      <sz val="9"/>
      <color rgb="FF1F3D2B"/>
      <name val="Calibri"/>
    </font>
    <font>
      <sz val="10"/>
      <name val="Calibri"/>
    </font>
    <font>
      <b/>
      <sz val="12"/>
      <color rgb="FF1F3D2B"/>
      <name val="Calibri"/>
    </font>
    <font>
      <b/>
      <sz val="9"/>
      <color rgb="FF1F3350"/>
      <name val="Calibri"/>
    </font>
  </fonts>
  <fills count="11">
    <fill>
      <patternFill patternType="none"/>
    </fill>
    <fill>
      <patternFill patternType="gray125"/>
    </fill>
    <fill>
      <patternFill patternType="solid">
        <fgColor rgb="FFA6E3B6"/>
        <bgColor rgb="FFC6EFCE"/>
      </patternFill>
    </fill>
    <fill>
      <patternFill patternType="solid">
        <fgColor rgb="FFD9D9D9"/>
        <bgColor rgb="FFC6EFCE"/>
      </patternFill>
    </fill>
    <fill>
      <patternFill patternType="solid">
        <fgColor rgb="FFF3F3F3"/>
        <bgColor rgb="FFF2F2F2"/>
      </patternFill>
    </fill>
    <fill>
      <patternFill patternType="solid">
        <fgColor rgb="FFFFFFFF"/>
        <bgColor rgb="FFF3F3F3"/>
      </patternFill>
    </fill>
    <fill>
      <patternFill patternType="solid">
        <fgColor rgb="FFF2F2F2"/>
        <bgColor rgb="FFF3F3F3"/>
      </patternFill>
    </fill>
    <fill>
      <patternFill patternType="solid">
        <fgColor rgb="FFFFFFCC"/>
        <bgColor rgb="FFFFFFFF"/>
      </patternFill>
    </fill>
    <fill>
      <patternFill patternType="solid">
        <fgColor rgb="FFF2F2F2"/>
      </patternFill>
    </fill>
    <fill>
      <patternFill patternType="solid">
        <fgColor rgb="FFA6E3B6"/>
      </patternFill>
    </fill>
    <fill>
      <patternFill patternType="solid">
        <fgColor theme="0" tint="-4.9989318521683403E-2"/>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4">
    <xf numFmtId="0" fontId="0" fillId="0" borderId="0"/>
    <xf numFmtId="0" fontId="16" fillId="0" borderId="0"/>
    <xf numFmtId="0" fontId="16" fillId="0" borderId="0"/>
    <xf numFmtId="0" fontId="20" fillId="0" borderId="0"/>
  </cellStyleXfs>
  <cellXfs count="109">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3" borderId="1" xfId="0" applyFont="1" applyFill="1" applyBorder="1" applyAlignment="1">
      <alignment horizontal="center"/>
    </xf>
    <xf numFmtId="0" fontId="3" fillId="3" borderId="1" xfId="0" applyFont="1" applyFill="1" applyBorder="1"/>
    <xf numFmtId="164" fontId="3" fillId="3" borderId="1" xfId="0" applyNumberFormat="1" applyFont="1" applyFill="1" applyBorder="1"/>
    <xf numFmtId="49" fontId="3" fillId="3" borderId="1" xfId="0" applyNumberFormat="1" applyFont="1" applyFill="1" applyBorder="1" applyAlignment="1">
      <alignment horizontal="center"/>
    </xf>
    <xf numFmtId="49" fontId="3" fillId="3" borderId="1" xfId="0" applyNumberFormat="1" applyFont="1" applyFill="1" applyBorder="1"/>
    <xf numFmtId="1" fontId="3" fillId="3" borderId="1" xfId="0" applyNumberFormat="1" applyFont="1" applyFill="1" applyBorder="1"/>
    <xf numFmtId="1" fontId="3" fillId="3" borderId="1" xfId="0" applyNumberFormat="1" applyFont="1" applyFill="1" applyBorder="1" applyAlignment="1">
      <alignment horizontal="center"/>
    </xf>
    <xf numFmtId="0" fontId="4" fillId="3" borderId="1" xfId="0" applyFont="1" applyFill="1" applyBorder="1"/>
    <xf numFmtId="0" fontId="5" fillId="4" borderId="1" xfId="0" applyFont="1" applyFill="1" applyBorder="1" applyAlignment="1">
      <alignment horizontal="center"/>
    </xf>
    <xf numFmtId="0" fontId="5" fillId="4" borderId="1" xfId="0" applyFont="1" applyFill="1" applyBorder="1"/>
    <xf numFmtId="164" fontId="5" fillId="4" borderId="1" xfId="0" applyNumberFormat="1" applyFont="1" applyFill="1" applyBorder="1"/>
    <xf numFmtId="49" fontId="5" fillId="4" borderId="1" xfId="0" applyNumberFormat="1" applyFont="1" applyFill="1" applyBorder="1" applyAlignment="1">
      <alignment horizontal="center"/>
    </xf>
    <xf numFmtId="49" fontId="5" fillId="4" borderId="1" xfId="0" applyNumberFormat="1" applyFont="1" applyFill="1" applyBorder="1"/>
    <xf numFmtId="1" fontId="5" fillId="4" borderId="1" xfId="0" applyNumberFormat="1" applyFont="1" applyFill="1" applyBorder="1"/>
    <xf numFmtId="1" fontId="5" fillId="4" borderId="1" xfId="0" applyNumberFormat="1" applyFont="1" applyFill="1" applyBorder="1" applyAlignment="1">
      <alignment horizontal="center"/>
    </xf>
    <xf numFmtId="0" fontId="5" fillId="0" borderId="1" xfId="0" applyFont="1" applyBorder="1" applyAlignment="1">
      <alignment horizontal="center"/>
    </xf>
    <xf numFmtId="0" fontId="5" fillId="0" borderId="1" xfId="0" applyFont="1" applyBorder="1"/>
    <xf numFmtId="164" fontId="5" fillId="0" borderId="1" xfId="0" applyNumberFormat="1" applyFont="1" applyBorder="1"/>
    <xf numFmtId="0" fontId="5" fillId="5" borderId="1" xfId="0" applyFont="1" applyFill="1" applyBorder="1"/>
    <xf numFmtId="49" fontId="5" fillId="0" borderId="1" xfId="0" applyNumberFormat="1" applyFont="1" applyBorder="1" applyAlignment="1">
      <alignment horizontal="center"/>
    </xf>
    <xf numFmtId="0" fontId="5" fillId="0" borderId="1" xfId="0" applyFont="1" applyBorder="1" applyAlignment="1">
      <alignment horizontal="left"/>
    </xf>
    <xf numFmtId="0" fontId="5" fillId="5" borderId="1" xfId="0" applyFont="1" applyFill="1" applyBorder="1" applyAlignment="1">
      <alignment horizontal="left"/>
    </xf>
    <xf numFmtId="1" fontId="5" fillId="0" borderId="1" xfId="0" applyNumberFormat="1" applyFont="1" applyBorder="1"/>
    <xf numFmtId="1" fontId="5" fillId="5" borderId="1" xfId="0" applyNumberFormat="1" applyFont="1" applyFill="1" applyBorder="1" applyAlignment="1">
      <alignment horizontal="center"/>
    </xf>
    <xf numFmtId="49" fontId="5" fillId="5" borderId="1" xfId="0" applyNumberFormat="1" applyFont="1" applyFill="1" applyBorder="1" applyAlignment="1">
      <alignment horizontal="center"/>
    </xf>
    <xf numFmtId="0" fontId="0" fillId="0" borderId="2" xfId="0" applyBorder="1"/>
    <xf numFmtId="0" fontId="0" fillId="0" borderId="3" xfId="0" applyBorder="1"/>
    <xf numFmtId="49" fontId="5" fillId="0" borderId="1" xfId="0" applyNumberFormat="1" applyFont="1" applyBorder="1"/>
    <xf numFmtId="165" fontId="5" fillId="0" borderId="1" xfId="0" applyNumberFormat="1" applyFont="1" applyBorder="1" applyAlignment="1">
      <alignment horizontal="center"/>
    </xf>
    <xf numFmtId="0" fontId="7" fillId="0" borderId="0" xfId="0" applyFont="1"/>
    <xf numFmtId="0" fontId="5" fillId="6" borderId="0" xfId="0" applyFont="1" applyFill="1" applyAlignment="1">
      <alignment horizontal="center"/>
    </xf>
    <xf numFmtId="166" fontId="5" fillId="6" borderId="0" xfId="0" applyNumberFormat="1" applyFont="1" applyFill="1" applyAlignment="1">
      <alignment horizontal="center"/>
    </xf>
    <xf numFmtId="165" fontId="5" fillId="6" borderId="0" xfId="0" applyNumberFormat="1" applyFont="1" applyFill="1" applyAlignment="1">
      <alignment horizontal="center"/>
    </xf>
    <xf numFmtId="0" fontId="8" fillId="0" borderId="0" xfId="0" applyFont="1"/>
    <xf numFmtId="0" fontId="9" fillId="2" borderId="0" xfId="0" applyFont="1" applyFill="1"/>
    <xf numFmtId="0" fontId="5" fillId="0" borderId="0" xfId="0" applyFont="1"/>
    <xf numFmtId="166" fontId="5" fillId="0" borderId="0" xfId="0" applyNumberFormat="1" applyFont="1"/>
    <xf numFmtId="165" fontId="5" fillId="0" borderId="0" xfId="0" applyNumberFormat="1" applyFont="1"/>
    <xf numFmtId="0" fontId="10" fillId="0" borderId="0" xfId="0" applyFont="1"/>
    <xf numFmtId="0" fontId="11" fillId="0" borderId="0" xfId="0" applyFont="1"/>
    <xf numFmtId="165" fontId="0" fillId="0" borderId="0" xfId="0" applyNumberFormat="1"/>
    <xf numFmtId="0" fontId="12" fillId="2" borderId="0" xfId="0" applyFont="1" applyFill="1"/>
    <xf numFmtId="0" fontId="13" fillId="0" borderId="0" xfId="0" applyFont="1"/>
    <xf numFmtId="166" fontId="0" fillId="0" borderId="0" xfId="0" applyNumberFormat="1"/>
    <xf numFmtId="0" fontId="0" fillId="2" borderId="0" xfId="0" applyFill="1"/>
    <xf numFmtId="166" fontId="0" fillId="2" borderId="0" xfId="0" applyNumberFormat="1" applyFill="1"/>
    <xf numFmtId="165" fontId="0" fillId="2" borderId="0" xfId="0" applyNumberFormat="1" applyFill="1"/>
    <xf numFmtId="0" fontId="14" fillId="7" borderId="0" xfId="0" applyFont="1" applyFill="1" applyAlignment="1">
      <alignment horizontal="center"/>
    </xf>
    <xf numFmtId="0" fontId="15" fillId="0" borderId="0" xfId="0" applyFont="1"/>
    <xf numFmtId="0" fontId="9" fillId="0" borderId="0" xfId="0" applyFont="1"/>
    <xf numFmtId="0" fontId="8" fillId="0" borderId="0" xfId="0" applyFont="1" applyAlignment="1">
      <alignment horizontal="center" vertical="center" wrapText="1"/>
    </xf>
    <xf numFmtId="0" fontId="8" fillId="0" borderId="0" xfId="0" applyFont="1" applyAlignment="1">
      <alignment vertical="center" wrapText="1"/>
    </xf>
    <xf numFmtId="0" fontId="0" fillId="0" borderId="0" xfId="0" applyAlignment="1">
      <alignment vertical="center" wrapText="1"/>
    </xf>
    <xf numFmtId="9" fontId="0" fillId="0" borderId="0" xfId="0" applyNumberFormat="1" applyAlignment="1">
      <alignment vertical="center" wrapText="1"/>
    </xf>
    <xf numFmtId="9" fontId="8" fillId="0" borderId="0" xfId="0" applyNumberFormat="1" applyFont="1" applyAlignment="1">
      <alignment vertical="center" wrapText="1"/>
    </xf>
    <xf numFmtId="0" fontId="0" fillId="0" borderId="0" xfId="0" pivotButton="1"/>
    <xf numFmtId="0" fontId="0" fillId="0" borderId="0" xfId="0" applyAlignment="1">
      <alignment horizontal="left"/>
    </xf>
    <xf numFmtId="167" fontId="0" fillId="0" borderId="0" xfId="0" applyNumberFormat="1"/>
    <xf numFmtId="0" fontId="17" fillId="0" borderId="0" xfId="0" applyFont="1"/>
    <xf numFmtId="0" fontId="18" fillId="0" borderId="0" xfId="0" applyFont="1"/>
    <xf numFmtId="0" fontId="19" fillId="0" borderId="0" xfId="0" applyFont="1"/>
    <xf numFmtId="0" fontId="20" fillId="0" borderId="0" xfId="3"/>
    <xf numFmtId="0" fontId="21" fillId="9" borderId="1" xfId="3" applyFont="1" applyFill="1" applyBorder="1" applyAlignment="1">
      <alignment horizontal="center" vertical="center" wrapText="1"/>
    </xf>
    <xf numFmtId="0" fontId="22" fillId="0" borderId="1" xfId="3" applyFont="1" applyBorder="1" applyAlignment="1">
      <alignment horizontal="center" vertical="center"/>
    </xf>
    <xf numFmtId="0" fontId="22" fillId="0" borderId="1" xfId="3" applyFont="1" applyBorder="1" applyAlignment="1">
      <alignment vertical="center" wrapText="1"/>
    </xf>
    <xf numFmtId="164" fontId="22" fillId="0" borderId="1" xfId="3" applyNumberFormat="1" applyFont="1" applyBorder="1" applyAlignment="1">
      <alignment horizontal="center" vertical="center"/>
    </xf>
    <xf numFmtId="1" fontId="22" fillId="0" borderId="1" xfId="3" applyNumberFormat="1" applyFont="1" applyBorder="1" applyAlignment="1">
      <alignment horizontal="center" vertical="center"/>
    </xf>
    <xf numFmtId="0" fontId="22" fillId="8" borderId="1" xfId="3" applyFont="1" applyFill="1" applyBorder="1" applyAlignment="1">
      <alignment horizontal="center" vertical="center"/>
    </xf>
    <xf numFmtId="0" fontId="22" fillId="8" borderId="1" xfId="3" applyFont="1" applyFill="1" applyBorder="1" applyAlignment="1">
      <alignment vertical="center" wrapText="1"/>
    </xf>
    <xf numFmtId="164" fontId="22" fillId="8" borderId="1" xfId="3" applyNumberFormat="1" applyFont="1" applyFill="1" applyBorder="1" applyAlignment="1">
      <alignment horizontal="center" vertical="center"/>
    </xf>
    <xf numFmtId="1" fontId="22" fillId="8" borderId="1" xfId="3" applyNumberFormat="1" applyFont="1" applyFill="1" applyBorder="1" applyAlignment="1">
      <alignment horizontal="center" vertical="center"/>
    </xf>
    <xf numFmtId="0" fontId="5" fillId="0" borderId="4" xfId="0" applyFont="1" applyBorder="1"/>
    <xf numFmtId="49" fontId="5" fillId="0" borderId="4" xfId="0" applyNumberFormat="1" applyFont="1" applyBorder="1"/>
    <xf numFmtId="0" fontId="23" fillId="0" borderId="0" xfId="3" applyFont="1" applyAlignment="1">
      <alignment vertical="center"/>
    </xf>
    <xf numFmtId="0" fontId="24" fillId="0" borderId="0" xfId="3" applyFont="1" applyAlignment="1">
      <alignment horizontal="center" vertical="center" wrapText="1"/>
    </xf>
    <xf numFmtId="1" fontId="24" fillId="0" borderId="0" xfId="3" applyNumberFormat="1" applyFont="1" applyAlignment="1">
      <alignment horizontal="center" vertical="center" wrapText="1"/>
    </xf>
    <xf numFmtId="0" fontId="22" fillId="0" borderId="0" xfId="3" applyFont="1" applyAlignment="1">
      <alignment horizontal="center" vertical="center"/>
    </xf>
    <xf numFmtId="49" fontId="22" fillId="0" borderId="0" xfId="3" applyNumberFormat="1" applyFont="1" applyAlignment="1">
      <alignment vertical="center"/>
    </xf>
    <xf numFmtId="0" fontId="22" fillId="0" borderId="0" xfId="3" applyFont="1" applyAlignment="1">
      <alignment vertical="center"/>
    </xf>
    <xf numFmtId="165" fontId="22" fillId="0" borderId="0" xfId="3" applyNumberFormat="1" applyFont="1" applyAlignment="1">
      <alignment horizontal="center" vertical="center"/>
    </xf>
    <xf numFmtId="0" fontId="22" fillId="0" borderId="0" xfId="3" applyFont="1" applyAlignment="1">
      <alignment vertical="center" wrapText="1"/>
    </xf>
    <xf numFmtId="1" fontId="20" fillId="0" borderId="0" xfId="3" applyNumberFormat="1" applyAlignment="1">
      <alignment horizontal="center" vertical="center"/>
    </xf>
    <xf numFmtId="1" fontId="23" fillId="0" borderId="0" xfId="3" applyNumberFormat="1" applyFont="1" applyAlignment="1">
      <alignment horizontal="center" vertical="center"/>
    </xf>
    <xf numFmtId="1" fontId="22" fillId="0" borderId="0" xfId="3" applyNumberFormat="1" applyFont="1" applyAlignment="1">
      <alignment horizontal="center" vertical="center"/>
    </xf>
    <xf numFmtId="0" fontId="20" fillId="0" borderId="0" xfId="3" applyAlignment="1">
      <alignment horizontal="center" vertical="center"/>
    </xf>
    <xf numFmtId="168" fontId="20" fillId="0" borderId="0" xfId="3" applyNumberFormat="1"/>
    <xf numFmtId="168" fontId="22" fillId="0" borderId="1" xfId="3" applyNumberFormat="1" applyFont="1" applyBorder="1" applyAlignment="1">
      <alignment horizontal="center" vertical="center"/>
    </xf>
    <xf numFmtId="168" fontId="22" fillId="8" borderId="1" xfId="3" applyNumberFormat="1" applyFont="1" applyFill="1" applyBorder="1" applyAlignment="1">
      <alignment horizontal="center" vertical="center"/>
    </xf>
    <xf numFmtId="0" fontId="22" fillId="0" borderId="1" xfId="3" applyFont="1" applyBorder="1" applyAlignment="1">
      <alignment horizontal="center" vertical="center"/>
    </xf>
    <xf numFmtId="0" fontId="22" fillId="0" borderId="1" xfId="3" applyFont="1" applyBorder="1" applyAlignment="1">
      <alignment vertical="center" wrapText="1"/>
    </xf>
    <xf numFmtId="49" fontId="22" fillId="0" borderId="1" xfId="3" applyNumberFormat="1" applyFont="1" applyBorder="1" applyAlignment="1">
      <alignment vertical="center" wrapText="1"/>
    </xf>
    <xf numFmtId="1" fontId="22" fillId="0" borderId="1" xfId="3" applyNumberFormat="1" applyFont="1" applyBorder="1" applyAlignment="1">
      <alignment horizontal="center" vertical="center" wrapText="1"/>
    </xf>
    <xf numFmtId="0" fontId="22" fillId="8" borderId="1" xfId="3" applyFont="1" applyFill="1" applyBorder="1" applyAlignment="1">
      <alignment horizontal="center" vertical="center"/>
    </xf>
    <xf numFmtId="0" fontId="22" fillId="8" borderId="1" xfId="3" applyFont="1" applyFill="1" applyBorder="1" applyAlignment="1">
      <alignment vertical="center" wrapText="1"/>
    </xf>
    <xf numFmtId="49" fontId="22" fillId="8" borderId="1" xfId="3" applyNumberFormat="1" applyFont="1" applyFill="1" applyBorder="1" applyAlignment="1">
      <alignment vertical="center" wrapText="1"/>
    </xf>
    <xf numFmtId="1" fontId="22" fillId="8" borderId="1" xfId="3" applyNumberFormat="1" applyFont="1" applyFill="1" applyBorder="1" applyAlignment="1">
      <alignment horizontal="center" vertical="center" wrapText="1"/>
    </xf>
    <xf numFmtId="0" fontId="22" fillId="0" borderId="4" xfId="3" applyFont="1" applyBorder="1" applyAlignment="1">
      <alignment horizontal="center" vertical="center"/>
    </xf>
    <xf numFmtId="0" fontId="22" fillId="0" borderId="5" xfId="3" applyFont="1" applyBorder="1" applyAlignment="1">
      <alignment horizontal="center" vertical="center"/>
    </xf>
    <xf numFmtId="0" fontId="22" fillId="0" borderId="6" xfId="3" applyFont="1" applyBorder="1" applyAlignment="1">
      <alignment horizontal="center" vertical="center"/>
    </xf>
    <xf numFmtId="0" fontId="22" fillId="10" borderId="4" xfId="3" applyFont="1" applyFill="1" applyBorder="1" applyAlignment="1">
      <alignment horizontal="center" vertical="center"/>
    </xf>
    <xf numFmtId="0" fontId="22" fillId="10" borderId="5" xfId="3" applyFont="1" applyFill="1" applyBorder="1" applyAlignment="1">
      <alignment horizontal="center" vertical="center"/>
    </xf>
    <xf numFmtId="0" fontId="22" fillId="10" borderId="6" xfId="3" applyFont="1" applyFill="1" applyBorder="1" applyAlignment="1">
      <alignment horizontal="center" vertical="center"/>
    </xf>
    <xf numFmtId="0" fontId="22" fillId="10" borderId="4" xfId="3" applyFont="1" applyFill="1" applyBorder="1" applyAlignment="1">
      <alignment horizontal="center" vertical="center" wrapText="1"/>
    </xf>
    <xf numFmtId="0" fontId="22" fillId="10" borderId="5" xfId="3" applyFont="1" applyFill="1" applyBorder="1" applyAlignment="1">
      <alignment horizontal="center" vertical="center" wrapText="1"/>
    </xf>
    <xf numFmtId="0" fontId="22" fillId="10" borderId="6" xfId="3" applyFont="1" applyFill="1" applyBorder="1" applyAlignment="1">
      <alignment horizontal="center" vertical="center" wrapText="1"/>
    </xf>
    <xf numFmtId="0" fontId="6" fillId="0" borderId="0" xfId="0" applyFont="1"/>
  </cellXfs>
  <cellStyles count="4">
    <cellStyle name="Normal" xfId="0" builtinId="0"/>
    <cellStyle name="Normal 2" xfId="3" xr:uid="{C7727FE9-94CD-40D2-B889-BE0F1958CB96}"/>
    <cellStyle name="Pivot Table Corner" xfId="1" xr:uid="{00000000-0005-0000-0000-000006000000}"/>
    <cellStyle name="Pivot Table Value" xfId="2" xr:uid="{00000000-0005-0000-0000-000007000000}"/>
  </cellStyles>
  <dxfs count="7">
    <dxf>
      <font>
        <b/>
        <color rgb="FF9C0006"/>
      </font>
      <fill>
        <patternFill patternType="solid">
          <bgColor rgb="FFFFC7CE"/>
        </patternFill>
      </fill>
    </dxf>
    <dxf>
      <font>
        <b/>
        <color rgb="FF1F7A3D"/>
      </font>
      <fill>
        <patternFill patternType="solid">
          <bgColor rgb="FFC6EFCE"/>
        </patternFill>
      </fill>
    </dxf>
    <dxf>
      <font>
        <b/>
        <color rgb="FF9C0006"/>
        <name val="Calibri"/>
        <charset val="1"/>
      </font>
      <fill>
        <patternFill>
          <bgColor rgb="FFFFC7CE"/>
        </patternFill>
      </fill>
    </dxf>
    <dxf>
      <font>
        <b/>
        <color rgb="FF1F7A3D"/>
        <name val="Calibri"/>
        <charset val="1"/>
      </font>
      <fill>
        <patternFill>
          <bgColor rgb="FFC6EFCE"/>
        </patternFill>
      </fill>
    </dxf>
    <dxf>
      <numFmt numFmtId="165" formatCode="0.0"/>
    </dxf>
    <dxf>
      <numFmt numFmtId="165" formatCode="0.0"/>
    </dxf>
    <dxf>
      <numFmt numFmtId="165" formatCode="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F7A3D"/>
      <rgbColor rgb="FF000080"/>
      <rgbColor rgb="FF808000"/>
      <rgbColor rgb="FF800080"/>
      <rgbColor rgb="FF00B050"/>
      <rgbColor rgb="FFBFBFBF"/>
      <rgbColor rgb="FF808080"/>
      <rgbColor rgb="FF95B3D7"/>
      <rgbColor rgb="FF993366"/>
      <rgbColor rgb="FFFFFFCC"/>
      <rgbColor rgb="FFF2F2F2"/>
      <rgbColor rgb="FF660066"/>
      <rgbColor rgb="FFFF8080"/>
      <rgbColor rgb="FF1565C0"/>
      <rgbColor rgb="FFD9D9D9"/>
      <rgbColor rgb="FF000080"/>
      <rgbColor rgb="FFFF00FF"/>
      <rgbColor rgb="FFFFFF00"/>
      <rgbColor rgb="FF00FFFF"/>
      <rgbColor rgb="FF800080"/>
      <rgbColor rgb="FF800000"/>
      <rgbColor rgb="FF008080"/>
      <rgbColor rgb="FF0000FF"/>
      <rgbColor rgb="FF00CCFF"/>
      <rgbColor rgb="FFF3F3F3"/>
      <rgbColor rgb="FFC6EFCE"/>
      <rgbColor rgb="FFA6E3B6"/>
      <rgbColor rgb="FF99CCFF"/>
      <rgbColor rgb="FFFF99CC"/>
      <rgbColor rgb="FFCC99FF"/>
      <rgbColor rgb="FFFFC7CE"/>
      <rgbColor rgb="FF4F81BD"/>
      <rgbColor rgb="FF33CCCC"/>
      <rgbColor rgb="FF99CC00"/>
      <rgbColor rgb="FFFFCC00"/>
      <rgbColor rgb="FFFF9900"/>
      <rgbColor rgb="FFFF6600"/>
      <rgbColor rgb="FF4572A7"/>
      <rgbColor rgb="FF6A90C3"/>
      <rgbColor rgb="FF003366"/>
      <rgbColor rgb="FF2E7D32"/>
      <rgbColor rgb="FF003300"/>
      <rgbColor rgb="FF1F3D2B"/>
      <rgbColor rgb="FF993300"/>
      <rgbColor rgb="FF993366"/>
      <rgbColor rgb="FF59595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600" b="1" strike="noStrike" spc="97">
                <a:solidFill>
                  <a:srgbClr val="F2F2F2"/>
                </a:solidFill>
                <a:latin typeface="Calibri"/>
                <a:ea typeface="Calibri"/>
              </a:defRPr>
            </a:pPr>
            <a:r>
              <a:rPr lang="es-CO" sz="1600" b="1" strike="noStrike" spc="97">
                <a:solidFill>
                  <a:srgbClr val="F2F2F2"/>
                </a:solidFill>
                <a:latin typeface="Calibri"/>
                <a:ea typeface="Calibri"/>
              </a:rPr>
              <a:t>Aprobados por Campaña (OJT)</a:t>
            </a:r>
          </a:p>
        </c:rich>
      </c:tx>
      <c:overlay val="0"/>
      <c:spPr>
        <a:noFill/>
        <a:ln w="0">
          <a:noFill/>
        </a:ln>
      </c:spPr>
    </c:title>
    <c:autoTitleDeleted val="0"/>
    <c:plotArea>
      <c:layout/>
      <c:barChart>
        <c:barDir val="col"/>
        <c:grouping val="clustered"/>
        <c:varyColors val="0"/>
        <c:ser>
          <c:idx val="0"/>
          <c:order val="0"/>
          <c:tx>
            <c:strRef>
              <c:f>'Resumen OJT'!$B$10</c:f>
              <c:strCache>
                <c:ptCount val="1"/>
                <c:pt idx="0">
                  <c:v>N° aprobados</c:v>
                </c:pt>
              </c:strCache>
            </c:strRef>
          </c:tx>
          <c:spPr>
            <a:gradFill>
              <a:gsLst>
                <a:gs pos="0">
                  <a:srgbClr val="6A90C3"/>
                </a:gs>
                <a:gs pos="50000">
                  <a:srgbClr val="4E80BC"/>
                </a:gs>
                <a:gs pos="100000">
                  <a:srgbClr val="4572A7"/>
                </a:gs>
              </a:gsLst>
              <a:lin ang="5400000"/>
            </a:gradFill>
            <a:ln w="0">
              <a:noFill/>
            </a:ln>
          </c:spPr>
          <c:invertIfNegative val="0"/>
          <c:dLbls>
            <c:spPr>
              <a:noFill/>
              <a:ln>
                <a:noFill/>
              </a:ln>
              <a:effectLst/>
            </c:spPr>
            <c:txPr>
              <a:bodyPr wrap="square"/>
              <a:lstStyle/>
              <a:p>
                <a:pPr>
                  <a:defRPr sz="900" b="0" strike="noStrike" spc="-1">
                    <a:solidFill>
                      <a:srgbClr val="D9D9D9"/>
                    </a:solidFill>
                    <a:latin typeface="Calibri"/>
                    <a:ea typeface="Calibri"/>
                  </a:defRPr>
                </a:pPr>
                <a:endParaRPr lang="es-CO"/>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'Resumen OJT'!$A$11:$A$14</c:f>
              <c:strCache>
                <c:ptCount val="4"/>
                <c:pt idx="0">
                  <c:v>Pregrado Virtual</c:v>
                </c:pt>
                <c:pt idx="1">
                  <c:v>Pregrado Presencial</c:v>
                </c:pt>
                <c:pt idx="2">
                  <c:v>Posgrados</c:v>
                </c:pt>
                <c:pt idx="3">
                  <c:v>Comercial B2B</c:v>
                </c:pt>
              </c:strCache>
            </c:strRef>
          </c:cat>
          <c:val>
            <c:numRef>
              <c:f>'Resumen OJT'!$B$11:$B$14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0515-473C-AA3D-0B14D33FC262}"/>
            </c:ext>
          </c:extLst>
        </c:ser>
        <c:dLbls>
          <c:showLegendKey val="0"/>
          <c:showVal val="0"/>
          <c:showCatName val="0"/>
          <c:showSerName val="0"/>
          <c:showPercent val="0"/>
          <c:showBubbleSize val="0"/>
        </c:dLbls>
        <c:gapWidth val="100"/>
        <c:overlap val="-24"/>
        <c:axId val="32760350"/>
        <c:axId val="91443856"/>
      </c:barChart>
      <c:catAx>
        <c:axId val="32760350"/>
        <c:scaling>
          <c:orientation val="minMax"/>
        </c:scaling>
        <c:delete val="0"/>
        <c:axPos val="b"/>
        <c:title>
          <c:tx>
            <c:rich>
              <a:bodyPr rot="0"/>
              <a:lstStyle/>
              <a:p>
                <a:pPr>
                  <a:defRPr lang="es-CO" sz="900" b="1" strike="noStrike" spc="-1">
                    <a:solidFill>
                      <a:srgbClr val="D9D9D9"/>
                    </a:solidFill>
                    <a:latin typeface="Calibri"/>
                    <a:ea typeface="Calibri"/>
                  </a:defRPr>
                </a:pPr>
                <a:r>
                  <a:rPr lang="es-CO" sz="900" b="1" strike="noStrike" spc="-1">
                    <a:solidFill>
                      <a:srgbClr val="D9D9D9"/>
                    </a:solidFill>
                    <a:latin typeface="Calibri"/>
                    <a:ea typeface="Calibri"/>
                  </a:rPr>
                  <a:t>Campaña</a:t>
                </a:r>
              </a:p>
            </c:rich>
          </c:tx>
          <c:overlay val="0"/>
          <c:spPr>
            <a:noFill/>
            <a:ln w="0">
              <a:noFill/>
            </a:ln>
          </c:spPr>
        </c:title>
        <c:numFmt formatCode="General" sourceLinked="0"/>
        <c:majorTickMark val="none"/>
        <c:minorTickMark val="none"/>
        <c:tickLblPos val="nextTo"/>
        <c:spPr>
          <a:ln w="12600">
            <a:solidFill>
              <a:srgbClr val="F2F2F2">
                <a:alpha val="54000"/>
              </a:srgbClr>
            </a:solidFill>
            <a:round/>
          </a:ln>
        </c:spPr>
        <c:txPr>
          <a:bodyPr/>
          <a:lstStyle/>
          <a:p>
            <a:pPr>
              <a:defRPr sz="900" b="0" strike="noStrike" spc="-1">
                <a:solidFill>
                  <a:srgbClr val="D9D9D9"/>
                </a:solidFill>
                <a:latin typeface="Calibri"/>
                <a:ea typeface="Calibri"/>
              </a:defRPr>
            </a:pPr>
            <a:endParaRPr lang="es-CO"/>
          </a:p>
        </c:txPr>
        <c:crossAx val="91443856"/>
        <c:crosses val="autoZero"/>
        <c:auto val="1"/>
        <c:lblAlgn val="ctr"/>
        <c:lblOffset val="100"/>
        <c:noMultiLvlLbl val="0"/>
      </c:catAx>
      <c:valAx>
        <c:axId val="91443856"/>
        <c:scaling>
          <c:orientation val="minMax"/>
        </c:scaling>
        <c:delete val="0"/>
        <c:axPos val="l"/>
        <c:majorGridlines>
          <c:spPr>
            <a:ln w="9360">
              <a:solidFill>
                <a:srgbClr val="F2F2F2">
                  <a:alpha val="10000"/>
                </a:srgbClr>
              </a:solidFill>
              <a:round/>
            </a:ln>
          </c:spPr>
        </c:majorGridlines>
        <c:title>
          <c:tx>
            <c:rich>
              <a:bodyPr rot="-5400000"/>
              <a:lstStyle/>
              <a:p>
                <a:pPr>
                  <a:defRPr lang="es-CO" sz="900" b="1" strike="noStrike" spc="-1">
                    <a:solidFill>
                      <a:srgbClr val="D9D9D9"/>
                    </a:solidFill>
                    <a:latin typeface="Calibri"/>
                    <a:ea typeface="Calibri"/>
                  </a:defRPr>
                </a:pPr>
                <a:r>
                  <a:rPr lang="es-CO" sz="900" b="1" strike="noStrike" spc="-1">
                    <a:solidFill>
                      <a:srgbClr val="D9D9D9"/>
                    </a:solidFill>
                    <a:latin typeface="Calibri"/>
                    <a:ea typeface="Calibri"/>
                  </a:rPr>
                  <a:t>N° aprobados</a:t>
                </a:r>
              </a:p>
            </c:rich>
          </c:tx>
          <c:overlay val="0"/>
          <c:spPr>
            <a:noFill/>
            <a:ln w="0">
              <a:noFill/>
            </a:ln>
          </c:spPr>
        </c:title>
        <c:numFmt formatCode="General" sourceLinked="0"/>
        <c:majorTickMark val="none"/>
        <c:minorTickMark val="none"/>
        <c:tickLblPos val="nextTo"/>
        <c:spPr>
          <a:ln w="6480">
            <a:noFill/>
          </a:ln>
        </c:spPr>
        <c:txPr>
          <a:bodyPr/>
          <a:lstStyle/>
          <a:p>
            <a:pPr>
              <a:defRPr sz="900" b="0" strike="noStrike" spc="-1">
                <a:solidFill>
                  <a:srgbClr val="D9D9D9"/>
                </a:solidFill>
                <a:latin typeface="Calibri"/>
                <a:ea typeface="Calibri"/>
              </a:defRPr>
            </a:pPr>
            <a:endParaRPr lang="es-CO"/>
          </a:p>
        </c:txPr>
        <c:crossAx val="32760350"/>
        <c:crosses val="autoZero"/>
        <c:crossBetween val="between"/>
      </c:valAx>
      <c:spPr>
        <a:noFill/>
        <a:ln w="0">
          <a:noFill/>
        </a:ln>
      </c:spPr>
    </c:plotArea>
    <c:plotVisOnly val="1"/>
    <c:dispBlanksAs val="gap"/>
    <c:showDLblsOverMax val="1"/>
  </c:chart>
  <c:spPr>
    <a:gradFill>
      <a:gsLst>
        <a:gs pos="0">
          <a:srgbClr val="595959"/>
        </a:gs>
        <a:gs pos="100000">
          <a:srgbClr val="262626"/>
        </a:gs>
      </a:gsLst>
      <a:path path="circle">
        <a:fillToRect l="50000" t="50000" r="50000" b="50000"/>
      </a:path>
    </a:gra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O" sz="1500" b="1" strike="noStrike" spc="97">
                <a:solidFill>
                  <a:srgbClr val="FFFFFF"/>
                </a:solidFill>
                <a:latin typeface="Calibri"/>
                <a:ea typeface="Calibri"/>
              </a:defRPr>
            </a:pPr>
            <a:r>
              <a:rPr lang="es-CO" sz="1500" b="1" strike="noStrike" spc="97">
                <a:solidFill>
                  <a:srgbClr val="FFFFFF"/>
                </a:solidFill>
                <a:latin typeface="Calibri"/>
                <a:ea typeface="Calibri"/>
              </a:rPr>
              <a:t>Nota Promedio por Campaña (OJT)</a:t>
            </a:r>
          </a:p>
        </c:rich>
      </c:tx>
      <c:overlay val="0"/>
      <c:spPr>
        <a:noFill/>
        <a:ln w="0">
          <a:noFill/>
        </a:ln>
      </c:spPr>
    </c:title>
    <c:autoTitleDeleted val="0"/>
    <c:plotArea>
      <c:layout/>
      <c:barChart>
        <c:barDir val="col"/>
        <c:grouping val="clustered"/>
        <c:varyColors val="0"/>
        <c:ser>
          <c:idx val="0"/>
          <c:order val="0"/>
          <c:tx>
            <c:strRef>
              <c:f>'Resumen OJT'!$D$10</c:f>
              <c:strCache>
                <c:ptCount val="1"/>
                <c:pt idx="0">
                  <c:v>Nota promedio</c:v>
                </c:pt>
              </c:strCache>
            </c:strRef>
          </c:tx>
          <c:spPr>
            <a:pattFill prst="ltUpDiag">
              <a:fgClr>
                <a:srgbClr val="4F81BD"/>
              </a:fgClr>
              <a:bgClr>
                <a:srgbClr val="FFFFFF"/>
              </a:bgClr>
            </a:pattFill>
            <a:ln w="0">
              <a:noFill/>
            </a:ln>
          </c:spPr>
          <c:invertIfNegative val="0"/>
          <c:dLbls>
            <c:spPr>
              <a:solidFill>
                <a:srgbClr val="4F81BD"/>
              </a:solidFill>
            </c:spPr>
            <c:txPr>
              <a:bodyPr wrap="square"/>
              <a:lstStyle/>
              <a:p>
                <a:pPr>
                  <a:defRPr sz="900" b="0" strike="noStrike" spc="-1">
                    <a:solidFill>
                      <a:srgbClr val="FFFFFF"/>
                    </a:solidFill>
                    <a:latin typeface="Calibri"/>
                    <a:ea typeface="Calibri"/>
                  </a:defRPr>
                </a:pPr>
                <a:endParaRPr lang="es-CO"/>
              </a:p>
            </c:txPr>
            <c:dLblPos val="in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0"/>
              </c:ext>
            </c:extLst>
          </c:dLbls>
          <c:cat>
            <c:strRef>
              <c:f>'Resumen OJT'!$A$11:$A$14</c:f>
              <c:strCache>
                <c:ptCount val="4"/>
                <c:pt idx="0">
                  <c:v>Pregrado Virtual</c:v>
                </c:pt>
                <c:pt idx="1">
                  <c:v>Pregrado Presencial</c:v>
                </c:pt>
                <c:pt idx="2">
                  <c:v>Posgrados</c:v>
                </c:pt>
                <c:pt idx="3">
                  <c:v>Comercial B2B</c:v>
                </c:pt>
              </c:strCache>
            </c:strRef>
          </c:cat>
          <c:val>
            <c:numRef>
              <c:f>'Resumen OJT'!$D$11:$D$14</c:f>
              <c:numCache>
                <c:formatCode>0.0</c:formatCode>
                <c:ptCount val="4"/>
                <c:pt idx="0">
                  <c:v>0</c:v>
                </c:pt>
                <c:pt idx="1">
                  <c:v>0</c:v>
                </c:pt>
                <c:pt idx="2">
                  <c:v>0</c:v>
                </c:pt>
                <c:pt idx="3">
                  <c:v>0</c:v>
                </c:pt>
              </c:numCache>
            </c:numRef>
          </c:val>
          <c:extLst>
            <c:ext xmlns:c16="http://schemas.microsoft.com/office/drawing/2014/chart" uri="{C3380CC4-5D6E-409C-BE32-E72D297353CC}">
              <c16:uniqueId val="{00000000-841C-41F0-AB9C-EE22D8C0B729}"/>
            </c:ext>
          </c:extLst>
        </c:ser>
        <c:dLbls>
          <c:showLegendKey val="0"/>
          <c:showVal val="0"/>
          <c:showCatName val="0"/>
          <c:showSerName val="0"/>
          <c:showPercent val="0"/>
          <c:showBubbleSize val="0"/>
        </c:dLbls>
        <c:gapWidth val="269"/>
        <c:overlap val="-20"/>
        <c:axId val="86959842"/>
        <c:axId val="58320478"/>
      </c:barChart>
      <c:catAx>
        <c:axId val="86959842"/>
        <c:scaling>
          <c:orientation val="minMax"/>
        </c:scaling>
        <c:delete val="0"/>
        <c:axPos val="b"/>
        <c:majorGridlines>
          <c:spPr>
            <a:ln w="9360">
              <a:solidFill>
                <a:srgbClr val="FFFFFF">
                  <a:alpha val="25000"/>
                </a:srgbClr>
              </a:solidFill>
              <a:round/>
            </a:ln>
          </c:spPr>
        </c:majorGridlines>
        <c:title>
          <c:tx>
            <c:rich>
              <a:bodyPr rot="0"/>
              <a:lstStyle/>
              <a:p>
                <a:pPr>
                  <a:defRPr lang="es-CO" sz="900" b="1" strike="noStrike" spc="-1">
                    <a:solidFill>
                      <a:srgbClr val="FFFFFF"/>
                    </a:solidFill>
                    <a:latin typeface="Calibri"/>
                    <a:ea typeface="Calibri"/>
                  </a:defRPr>
                </a:pPr>
                <a:r>
                  <a:rPr lang="es-CO" sz="900" b="1" strike="noStrike" spc="-1">
                    <a:solidFill>
                      <a:srgbClr val="FFFFFF"/>
                    </a:solidFill>
                    <a:latin typeface="Calibri"/>
                    <a:ea typeface="Calibri"/>
                  </a:rPr>
                  <a:t>Campaña</a:t>
                </a:r>
              </a:p>
            </c:rich>
          </c:tx>
          <c:overlay val="0"/>
          <c:spPr>
            <a:noFill/>
            <a:ln w="0">
              <a:noFill/>
            </a:ln>
          </c:spPr>
        </c:title>
        <c:numFmt formatCode="General" sourceLinked="0"/>
        <c:majorTickMark val="none"/>
        <c:minorTickMark val="none"/>
        <c:tickLblPos val="nextTo"/>
        <c:spPr>
          <a:ln w="3240">
            <a:solidFill>
              <a:srgbClr val="95B3D7"/>
            </a:solidFill>
            <a:round/>
          </a:ln>
        </c:spPr>
        <c:txPr>
          <a:bodyPr/>
          <a:lstStyle/>
          <a:p>
            <a:pPr>
              <a:defRPr sz="800" b="0" strike="noStrike" spc="148">
                <a:solidFill>
                  <a:srgbClr val="FFFFFF"/>
                </a:solidFill>
                <a:latin typeface="Calibri"/>
                <a:ea typeface="Calibri"/>
              </a:defRPr>
            </a:pPr>
            <a:endParaRPr lang="es-CO"/>
          </a:p>
        </c:txPr>
        <c:crossAx val="58320478"/>
        <c:crosses val="autoZero"/>
        <c:auto val="1"/>
        <c:lblAlgn val="ctr"/>
        <c:lblOffset val="100"/>
        <c:noMultiLvlLbl val="0"/>
      </c:catAx>
      <c:valAx>
        <c:axId val="58320478"/>
        <c:scaling>
          <c:orientation val="minMax"/>
        </c:scaling>
        <c:delete val="0"/>
        <c:axPos val="l"/>
        <c:title>
          <c:tx>
            <c:rich>
              <a:bodyPr rot="-5400000"/>
              <a:lstStyle/>
              <a:p>
                <a:pPr>
                  <a:defRPr lang="es-CO" sz="900" b="1" strike="noStrike" spc="-1">
                    <a:solidFill>
                      <a:srgbClr val="FFFFFF"/>
                    </a:solidFill>
                    <a:latin typeface="Calibri"/>
                    <a:ea typeface="Calibri"/>
                  </a:defRPr>
                </a:pPr>
                <a:r>
                  <a:rPr lang="es-CO" sz="900" b="1" strike="noStrike" spc="-1">
                    <a:solidFill>
                      <a:srgbClr val="FFFFFF"/>
                    </a:solidFill>
                    <a:latin typeface="Calibri"/>
                    <a:ea typeface="Calibri"/>
                  </a:rPr>
                  <a:t>Nota promedio</a:t>
                </a:r>
              </a:p>
            </c:rich>
          </c:tx>
          <c:overlay val="0"/>
          <c:spPr>
            <a:noFill/>
            <a:ln w="0">
              <a:noFill/>
            </a:ln>
          </c:spPr>
        </c:title>
        <c:numFmt formatCode="0.0" sourceLinked="0"/>
        <c:majorTickMark val="none"/>
        <c:minorTickMark val="none"/>
        <c:tickLblPos val="nextTo"/>
        <c:spPr>
          <a:ln w="6480">
            <a:noFill/>
          </a:ln>
        </c:spPr>
        <c:txPr>
          <a:bodyPr/>
          <a:lstStyle/>
          <a:p>
            <a:pPr>
              <a:defRPr sz="900" b="0" strike="noStrike" spc="-1">
                <a:solidFill>
                  <a:srgbClr val="FFFFFF"/>
                </a:solidFill>
                <a:latin typeface="Calibri"/>
                <a:ea typeface="Calibri"/>
              </a:defRPr>
            </a:pPr>
            <a:endParaRPr lang="es-CO"/>
          </a:p>
        </c:txPr>
        <c:crossAx val="86959842"/>
        <c:crosses val="autoZero"/>
        <c:crossBetween val="between"/>
      </c:valAx>
      <c:spPr>
        <a:noFill/>
        <a:ln w="0">
          <a:noFill/>
        </a:ln>
      </c:spPr>
    </c:plotArea>
    <c:plotVisOnly val="1"/>
    <c:dispBlanksAs val="gap"/>
    <c:showDLblsOverMax val="1"/>
  </c:chart>
  <c:spPr>
    <a:solidFill>
      <a:srgbClr val="4F81BD"/>
    </a:solidFill>
    <a:ln w="9360">
      <a:solidFill>
        <a:srgbClr val="4F81BD"/>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4</xdr:col>
      <xdr:colOff>895320</xdr:colOff>
      <xdr:row>33</xdr:row>
      <xdr:rowOff>190800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314280</xdr:colOff>
      <xdr:row>17</xdr:row>
      <xdr:rowOff>0</xdr:rowOff>
    </xdr:from>
    <xdr:to>
      <xdr:col>14</xdr:col>
      <xdr:colOff>266760</xdr:colOff>
      <xdr:row>33</xdr:row>
      <xdr:rowOff>190800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ISON HERNAN OLAYA TRIVIÑO" refreshedDate="46230.365198726853" createdVersion="5" refreshedVersion="8" minRefreshableVersion="3" recordCount="13" xr:uid="{FF4D2FCE-CC14-4EEB-8DB7-EBB1E93BE88C}">
  <cacheSource type="worksheet">
    <worksheetSource ref="A1:H14" sheet="OJT_APROBADOS"/>
  </cacheSource>
  <cacheFields count="8">
    <cacheField name="No. DOCUMENTO" numFmtId="0">
      <sharedItems containsSemiMixedTypes="0" containsString="0" containsNumber="1" containsInteger="1" minValue="53121281" maxValue="1193156026"/>
    </cacheField>
    <cacheField name="NOMBRE COMPLETO" numFmtId="0">
      <sharedItems/>
    </cacheField>
    <cacheField name="CORREO ELECTRÓNICO" numFmtId="0">
      <sharedItems/>
    </cacheField>
    <cacheField name="TELÉFONO MÓVIL" numFmtId="0">
      <sharedItems containsMixedTypes="1" containsNumber="1" containsInteger="1" minValue="3054399778" maxValue="3506517824"/>
    </cacheField>
    <cacheField name="FECHA DE INGRESO A FORMACIÓN" numFmtId="164">
      <sharedItems containsSemiMixedTypes="0" containsNonDate="0" containsDate="1" containsString="0" minDate="2026-07-01T00:00:00" maxDate="2026-07-09T00:00:00"/>
    </cacheField>
    <cacheField name="CAMPAÑA" numFmtId="0">
      <sharedItems count="1">
        <s v="Posgrados"/>
      </sharedItems>
    </cacheField>
    <cacheField name="NOTA FINAL" numFmtId="1">
      <sharedItems containsSemiMixedTypes="0" containsString="0" containsNumber="1" containsInteger="1" minValue="70" maxValue="94"/>
    </cacheField>
    <cacheField name="APRUEBA" numFmtId="0">
      <sharedItems count="1">
        <s v="Aprueb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ISON HERNAN OLAYA TRIVIÑO" refreshedDate="46232.496779861111" createdVersion="5" refreshedVersion="8" minRefreshableVersion="3" recordCount="34" xr:uid="{1024A13E-882A-4306-B6E8-06F8521C38FA}">
  <cacheSource type="worksheet">
    <worksheetSource ref="A1:R35" sheet="Registro"/>
  </cacheSource>
  <cacheFields count="18">
    <cacheField name="No." numFmtId="0">
      <sharedItems containsSemiMixedTypes="0" containsString="0" containsNumber="1" containsInteger="1" minValue="1" maxValue="34"/>
    </cacheField>
    <cacheField name="CAMPAÑA" numFmtId="0">
      <sharedItems count="2">
        <s v="Posgrados"/>
        <s v="Pregrado Virtual"/>
      </sharedItems>
    </cacheField>
    <cacheField name="FECHA DE INGRESO A FORMACIÓN" numFmtId="164">
      <sharedItems containsSemiMixedTypes="0" containsNonDate="0" containsDate="1" containsString="0" minDate="2026-07-01T00:00:00" maxDate="2026-07-22T00:00:00"/>
    </cacheField>
    <cacheField name="CARGO" numFmtId="0">
      <sharedItems count="1">
        <s v="Auxiliar gestor  de vinculaciones"/>
      </sharedItems>
    </cacheField>
    <cacheField name="No. DOCUMENTO" numFmtId="49">
      <sharedItems containsSemiMixedTypes="0" containsString="0" containsNumber="1" containsInteger="1" minValue="52956322" maxValue="10191156098"/>
    </cacheField>
    <cacheField name="NOMBRE COMPLETO" numFmtId="0">
      <sharedItems/>
    </cacheField>
    <cacheField name="CORREO ELECTRÓNICO" numFmtId="0">
      <sharedItems/>
    </cacheField>
    <cacheField name="TELÉFONO MÓVIL" numFmtId="0">
      <sharedItems containsMixedTypes="1" containsNumber="1" containsInteger="1" minValue="3003020830" maxValue="3506517824"/>
    </cacheField>
    <cacheField name="FORMADOR" numFmtId="0">
      <sharedItems/>
    </cacheField>
    <cacheField name="PRESENTACIÓN PERSONAL 5%" numFmtId="1">
      <sharedItems containsSemiMixedTypes="0" containsString="0" containsNumber="1" containsInteger="1" minValue="3" maxValue="5"/>
    </cacheField>
    <cacheField name="PARTICIPACIÓN Y PUNTUALIDAD 10%" numFmtId="1">
      <sharedItems containsString="0" containsBlank="1" containsNumber="1" containsInteger="1" minValue="2" maxValue="5"/>
    </cacheField>
    <cacheField name="EVALUACIÓN CONOCIMIENTO (DIA 2) 5%" numFmtId="1">
      <sharedItems containsString="0" containsBlank="1" containsNumber="1" containsInteger="1" minValue="2" maxValue="5"/>
    </cacheField>
    <cacheField name="EVALUACIÓN TÉCNICA 10%" numFmtId="1">
      <sharedItems containsString="0" containsBlank="1" containsNumber="1" containsInteger="1" minValue="3" maxValue="5"/>
    </cacheField>
    <cacheField name="SIMULACIÓN CON IA 20%" numFmtId="0">
      <sharedItems containsString="0" containsBlank="1" containsNumber="1" containsInteger="1" minValue="2" maxValue="5"/>
    </cacheField>
    <cacheField name="EVALUACIÓN FINAL (CLÍNICA DE VENTAS) 50%" numFmtId="1">
      <sharedItems containsString="0" containsBlank="1" containsNumber="1" containsInteger="1" minValue="1" maxValue="4"/>
    </cacheField>
    <cacheField name="NOTA FINAL" numFmtId="1">
      <sharedItems containsSemiMixedTypes="0" containsString="0" containsNumber="1" containsInteger="1" minValue="3" maxValue="94"/>
    </cacheField>
    <cacheField name="APRUEBA" numFmtId="0">
      <sharedItems count="3">
        <s v="Aprueba"/>
        <s v="No aprueba"/>
        <e v="#VALUE!" u="1"/>
      </sharedItems>
    </cacheField>
    <cacheField name="OBSERVACION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193156026"/>
    <s v="Sara Isabel Molina Sánchez"/>
    <s v="Molinasara453@gmail.com"/>
    <n v="3245742876"/>
    <d v="2026-07-01T00:00:00"/>
    <x v="0"/>
    <n v="72"/>
    <x v="0"/>
  </r>
  <r>
    <n v="1016001652"/>
    <s v="Helen Sofia Calderon Camelo"/>
    <s v="helencalderon910@gmail.com"/>
    <s v="‪3239227093‬"/>
    <d v="2026-07-01T00:00:00"/>
    <x v="0"/>
    <n v="70"/>
    <x v="0"/>
  </r>
  <r>
    <n v="1001314657"/>
    <s v="Thomas Bernardo Fernandez Laverde"/>
    <s v="tfernandezlaverde@gmail.com"/>
    <n v="3103798566"/>
    <d v="2026-07-01T00:00:00"/>
    <x v="0"/>
    <n v="72"/>
    <x v="0"/>
  </r>
  <r>
    <n v="1033096735"/>
    <s v="Pablo Steven Ochoa Rodriguez"/>
    <s v="Pablorodriguez8q@gmail.com"/>
    <n v="3196588439"/>
    <d v="2026-07-01T00:00:00"/>
    <x v="0"/>
    <n v="81"/>
    <x v="0"/>
  </r>
  <r>
    <n v="1004961429"/>
    <s v="Jhon Stiven Marin Valencia"/>
    <s v="jhonstivenmarin02@gmail.com"/>
    <n v="3219466413"/>
    <d v="2026-07-01T00:00:00"/>
    <x v="0"/>
    <n v="73"/>
    <x v="0"/>
  </r>
  <r>
    <n v="53121281"/>
    <s v="Yulieth Paola Rodriguez Cañon"/>
    <s v="ypaolarodriguez14@gmail.com"/>
    <n v="3112142736"/>
    <d v="2026-07-01T00:00:00"/>
    <x v="0"/>
    <n v="78"/>
    <x v="0"/>
  </r>
  <r>
    <n v="1024585365"/>
    <s v="Cristian David Celis Garcia"/>
    <s v="cristianceliss9719@gmail.com"/>
    <n v="3216686201"/>
    <d v="2026-07-08T00:00:00"/>
    <x v="0"/>
    <n v="73"/>
    <x v="0"/>
  </r>
  <r>
    <n v="1000547797"/>
    <s v="Kamy Lizeth Rios Gomez"/>
    <s v="riosgomezkamy@gmail.com"/>
    <n v="3112534635"/>
    <d v="2026-07-08T00:00:00"/>
    <x v="0"/>
    <n v="90"/>
    <x v="0"/>
  </r>
  <r>
    <n v="1023867138"/>
    <s v="Yisell Dayana Castro González"/>
    <s v="Gonzalezdayanna730@gmail.com"/>
    <n v="3143600585"/>
    <d v="2026-07-08T00:00:00"/>
    <x v="0"/>
    <n v="72"/>
    <x v="0"/>
  </r>
  <r>
    <n v="1000810776"/>
    <s v="Nataly Andrea Maecha Lizarazo"/>
    <s v="natamahecha23@gmail.com"/>
    <n v="3204984051"/>
    <d v="2026-07-08T00:00:00"/>
    <x v="0"/>
    <n v="74"/>
    <x v="0"/>
  </r>
  <r>
    <n v="1001271946"/>
    <s v="Luisa Fernanda Rodríguez Sarmiento"/>
    <s v="feryantonella13@gmail.com"/>
    <n v="3054399778"/>
    <d v="2026-07-08T00:00:00"/>
    <x v="0"/>
    <n v="74"/>
    <x v="0"/>
  </r>
  <r>
    <n v="1117813165"/>
    <s v="Yedinson Stiven Ramirez Perdómo"/>
    <s v="kramirezperdomo@gmail.com"/>
    <n v="3506517824"/>
    <d v="2026-07-08T00:00:00"/>
    <x v="0"/>
    <n v="94"/>
    <x v="0"/>
  </r>
  <r>
    <n v="1070595836"/>
    <s v="Hebert Julián Casilimas Ricardo"/>
    <s v="julian180703@icloud.com"/>
    <n v="3229087879"/>
    <d v="2026-07-08T00:00:00"/>
    <x v="0"/>
    <n v="9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n v="1"/>
    <x v="0"/>
    <d v="2026-07-01T00:00:00"/>
    <x v="0"/>
    <n v="1193156026"/>
    <s v="Sara Isabel Molina Sánchez"/>
    <s v="Molinasara453@gmail.com"/>
    <n v="3245742876"/>
    <s v="Todas"/>
    <n v="4"/>
    <n v="5"/>
    <m/>
    <n v="4"/>
    <n v="5"/>
    <n v="3"/>
    <n v="72"/>
    <x v="0"/>
    <m/>
  </r>
  <r>
    <n v="2"/>
    <x v="0"/>
    <d v="2026-07-01T00:00:00"/>
    <x v="0"/>
    <n v="1022988349"/>
    <s v="Michelle Geraldine Bejarano Torres"/>
    <s v="michelletorres2593@hotmail.com"/>
    <n v="3123702518"/>
    <s v="Todas"/>
    <n v="4"/>
    <n v="2"/>
    <m/>
    <n v="4"/>
    <n v="4"/>
    <n v="3"/>
    <n v="62"/>
    <x v="1"/>
    <m/>
  </r>
  <r>
    <n v="3"/>
    <x v="0"/>
    <d v="2026-07-01T00:00:00"/>
    <x v="0"/>
    <n v="1016001652"/>
    <s v="Helen Sofia Calderon Camelo"/>
    <s v="helencalderon910@gmail.com"/>
    <s v="‪3239227093‬"/>
    <s v="Todas"/>
    <n v="4"/>
    <n v="4"/>
    <m/>
    <n v="4"/>
    <n v="5"/>
    <n v="3"/>
    <n v="70"/>
    <x v="0"/>
    <m/>
  </r>
  <r>
    <n v="4"/>
    <x v="0"/>
    <d v="2026-07-01T00:00:00"/>
    <x v="0"/>
    <n v="1012385263"/>
    <s v="Cindy Paola Cuellar Montoya"/>
    <s v="Cindypaolacuellar@gmail.com"/>
    <n v="3172616867"/>
    <s v="Todas"/>
    <n v="3"/>
    <n v="3"/>
    <m/>
    <n v="3"/>
    <n v="5"/>
    <n v="3"/>
    <n v="65"/>
    <x v="1"/>
    <s v="Llega tarde "/>
  </r>
  <r>
    <n v="5"/>
    <x v="0"/>
    <d v="2026-07-01T00:00:00"/>
    <x v="0"/>
    <n v="1001314657"/>
    <s v="Thomas Bernardo Fernandez Laverde"/>
    <s v="tfernandezlaverde@gmail.com"/>
    <n v="3103798566"/>
    <s v="Todas"/>
    <n v="4"/>
    <n v="5"/>
    <m/>
    <n v="4"/>
    <n v="5"/>
    <n v="3"/>
    <n v="72"/>
    <x v="0"/>
    <m/>
  </r>
  <r>
    <n v="6"/>
    <x v="0"/>
    <d v="2026-07-01T00:00:00"/>
    <x v="0"/>
    <n v="52956322"/>
    <s v="Julie Caterine Villalobos Ortiz"/>
    <s v="Juliecaterine23@gmail.com"/>
    <n v="3213264788"/>
    <s v="Todas"/>
    <n v="5"/>
    <n v="5"/>
    <m/>
    <n v="4"/>
    <n v="4"/>
    <n v="3"/>
    <n v="69"/>
    <x v="1"/>
    <m/>
  </r>
  <r>
    <n v="7"/>
    <x v="0"/>
    <d v="2026-07-01T00:00:00"/>
    <x v="0"/>
    <n v="10191156098"/>
    <s v="Yaricet Bricet Cárcamo Morales"/>
    <s v="Yaricetbricet@gmail.com"/>
    <n v="3008533917"/>
    <s v="Todas"/>
    <n v="4"/>
    <n v="4"/>
    <m/>
    <n v="4"/>
    <n v="3"/>
    <n v="3"/>
    <n v="62"/>
    <x v="1"/>
    <m/>
  </r>
  <r>
    <n v="8"/>
    <x v="0"/>
    <d v="2026-07-01T00:00:00"/>
    <x v="0"/>
    <n v="1033096735"/>
    <s v="Pablo Steven Ochoa Rodriguez"/>
    <s v="Pablorodriguez8q@gmail.com"/>
    <n v="3196588439"/>
    <s v="Todas"/>
    <n v="3"/>
    <n v="4"/>
    <m/>
    <n v="5"/>
    <n v="5"/>
    <n v="4"/>
    <n v="81"/>
    <x v="0"/>
    <m/>
  </r>
  <r>
    <n v="9"/>
    <x v="0"/>
    <d v="2026-07-01T00:00:00"/>
    <x v="0"/>
    <n v="1000219286"/>
    <s v="Lucia Fernanda Cruz Canchila"/>
    <s v="Luciacruz0414@gmail.com"/>
    <n v="3005145730"/>
    <s v="Todas"/>
    <n v="4"/>
    <n v="2"/>
    <m/>
    <n v="5"/>
    <n v="5"/>
    <n v="3"/>
    <n v="68"/>
    <x v="1"/>
    <s v="Llega tarde "/>
  </r>
  <r>
    <n v="10"/>
    <x v="0"/>
    <d v="2026-07-01T00:00:00"/>
    <x v="0"/>
    <n v="1004961429"/>
    <s v="Jhon Stiven Marin Valencia"/>
    <s v="jhonstivenmarin02@gmail.com"/>
    <n v="3219466413"/>
    <s v="Todas"/>
    <n v="3"/>
    <n v="3"/>
    <m/>
    <n v="4"/>
    <n v="4"/>
    <n v="4"/>
    <n v="73"/>
    <x v="0"/>
    <s v="Llega tarde "/>
  </r>
  <r>
    <n v="11"/>
    <x v="0"/>
    <d v="2026-07-01T00:00:00"/>
    <x v="0"/>
    <n v="53121281"/>
    <s v="Yulieth Paola Rodriguez Cañon"/>
    <s v="ypaolarodriguez14@gmail.com"/>
    <n v="3112142736"/>
    <s v="Todas"/>
    <n v="4"/>
    <n v="4"/>
    <m/>
    <n v="3"/>
    <n v="5"/>
    <n v="4"/>
    <n v="78"/>
    <x v="0"/>
    <m/>
  </r>
  <r>
    <n v="12"/>
    <x v="0"/>
    <d v="2026-07-01T00:00:00"/>
    <x v="0"/>
    <n v="1019138287"/>
    <s v="Natalia Fernanda Mendieta Oicata"/>
    <s v="nataliamendieta2025@gmail.com"/>
    <n v="3003020830"/>
    <s v="Todas"/>
    <n v="5"/>
    <n v="5"/>
    <m/>
    <n v="3"/>
    <n v="4"/>
    <n v="3"/>
    <n v="67"/>
    <x v="1"/>
    <m/>
  </r>
  <r>
    <n v="13"/>
    <x v="0"/>
    <d v="2026-07-08T00:00:00"/>
    <x v="0"/>
    <n v="1019145849"/>
    <s v="Jhonatan David Londoño Baldovino"/>
    <s v="Jdlbaldovino199@gmail.com"/>
    <n v="3208836403"/>
    <s v="Todas"/>
    <n v="4"/>
    <n v="4"/>
    <n v="3"/>
    <n v="3"/>
    <n v="3"/>
    <n v="2"/>
    <n v="62"/>
    <x v="1"/>
    <m/>
  </r>
  <r>
    <n v="14"/>
    <x v="0"/>
    <d v="2026-07-08T00:00:00"/>
    <x v="0"/>
    <n v="1001056884"/>
    <s v="David Felipe Hernández Hernández"/>
    <s v="david.hernandez.dtk@gmail.com"/>
    <n v="3028250517"/>
    <s v="Todas"/>
    <n v="4"/>
    <n v="4"/>
    <n v="3"/>
    <n v="3"/>
    <n v="3"/>
    <n v="3"/>
    <n v="63"/>
    <x v="1"/>
    <m/>
  </r>
  <r>
    <n v="15"/>
    <x v="0"/>
    <d v="2026-07-08T00:00:00"/>
    <x v="0"/>
    <n v="1024585365"/>
    <s v="Cristian David Celis Garcia"/>
    <s v="cristianceliss9719@gmail.com"/>
    <n v="3216686201"/>
    <s v="Todas"/>
    <n v="4"/>
    <n v="4"/>
    <n v="3"/>
    <n v="3"/>
    <n v="4"/>
    <n v="3"/>
    <n v="73"/>
    <x v="0"/>
    <s v="Llega tarde "/>
  </r>
  <r>
    <n v="16"/>
    <x v="0"/>
    <d v="2026-07-08T00:00:00"/>
    <x v="0"/>
    <n v="1000547797"/>
    <s v="Kamy Lizeth Rios Gomez"/>
    <s v="riosgomezkamy@gmail.com"/>
    <n v="3112534635"/>
    <s v="Todas"/>
    <n v="5"/>
    <n v="4"/>
    <n v="2"/>
    <n v="5"/>
    <n v="5"/>
    <n v="3"/>
    <n v="90"/>
    <x v="0"/>
    <m/>
  </r>
  <r>
    <n v="17"/>
    <x v="0"/>
    <d v="2026-07-08T00:00:00"/>
    <x v="0"/>
    <n v="1023867138"/>
    <s v="Yisell Dayana Castro González"/>
    <s v="Gonzalezdayanna730@gmail.com"/>
    <n v="3143600585"/>
    <s v="Todas"/>
    <n v="4"/>
    <n v="4"/>
    <n v="3"/>
    <n v="3"/>
    <n v="4"/>
    <n v="2"/>
    <n v="72"/>
    <x v="0"/>
    <m/>
  </r>
  <r>
    <n v="18"/>
    <x v="0"/>
    <d v="2026-07-08T00:00:00"/>
    <x v="0"/>
    <n v="1000810776"/>
    <s v="Nataly Andrea Maecha Lizarazo"/>
    <s v="natamahecha23@gmail.com"/>
    <n v="3204984051"/>
    <s v="Todas"/>
    <n v="4"/>
    <n v="4"/>
    <n v="2"/>
    <n v="4"/>
    <n v="4"/>
    <n v="2"/>
    <n v="74"/>
    <x v="0"/>
    <m/>
  </r>
  <r>
    <n v="19"/>
    <x v="0"/>
    <d v="2026-07-08T00:00:00"/>
    <x v="0"/>
    <n v="1001271946"/>
    <s v="Luisa Fernanda Rodríguez Sarmiento"/>
    <s v="feryantonella13@gmail.com"/>
    <n v="3054399778"/>
    <s v="Todas"/>
    <n v="3"/>
    <n v="5"/>
    <n v="3"/>
    <n v="3"/>
    <n v="4"/>
    <n v="3"/>
    <n v="74"/>
    <x v="0"/>
    <s v="Presentación personal"/>
  </r>
  <r>
    <n v="20"/>
    <x v="0"/>
    <d v="2026-07-08T00:00:00"/>
    <x v="0"/>
    <n v="1117813165"/>
    <s v="Yedinson Stiven Ramirez Perdómo"/>
    <s v="kramirezperdomo@gmail.com"/>
    <n v="3506517824"/>
    <s v="Todas"/>
    <n v="5"/>
    <n v="5"/>
    <n v="3"/>
    <n v="5"/>
    <n v="5"/>
    <n v="3"/>
    <n v="94"/>
    <x v="0"/>
    <m/>
  </r>
  <r>
    <n v="21"/>
    <x v="0"/>
    <d v="2026-07-08T00:00:00"/>
    <x v="0"/>
    <n v="1045686807"/>
    <s v="Gisell Del Carmen Cabrera Maldonado"/>
    <s v="cgisell890@gmail.com"/>
    <n v="3017718956"/>
    <s v="Todas"/>
    <n v="4"/>
    <n v="3"/>
    <n v="5"/>
    <n v="4"/>
    <n v="2"/>
    <n v="2"/>
    <n v="58"/>
    <x v="1"/>
    <s v="Actitud"/>
  </r>
  <r>
    <n v="22"/>
    <x v="0"/>
    <d v="2026-07-08T00:00:00"/>
    <x v="0"/>
    <n v="1070595836"/>
    <s v="Hebert Julián Casilimas Ricardo"/>
    <s v="julian180703@icloud.com"/>
    <n v="3229087879"/>
    <s v="Todas"/>
    <n v="4"/>
    <n v="4"/>
    <n v="3"/>
    <n v="5"/>
    <n v="5"/>
    <n v="3"/>
    <n v="91"/>
    <x v="0"/>
    <m/>
  </r>
  <r>
    <n v="23"/>
    <x v="0"/>
    <d v="2026-07-08T00:00:00"/>
    <x v="0"/>
    <n v="1140850536"/>
    <s v="Nelvis Mirleth Gutiérrez Orozco"/>
    <s v="Milrthgutierrez@gmail.com"/>
    <n v="3028092333"/>
    <s v="Todas"/>
    <n v="3"/>
    <n v="3"/>
    <n v="2"/>
    <n v="3"/>
    <n v="3"/>
    <n v="1"/>
    <n v="56"/>
    <x v="1"/>
    <s v="Actitud "/>
  </r>
  <r>
    <n v="24"/>
    <x v="0"/>
    <d v="2026-07-08T00:00:00"/>
    <x v="0"/>
    <n v="1073709574"/>
    <s v="Johan Sebastian Peña Ramos"/>
    <s v="seebastian0118@gmail.com"/>
    <n v="3138749486"/>
    <s v="Todas"/>
    <n v="4"/>
    <n v="4"/>
    <n v="3"/>
    <n v="3"/>
    <n v="2"/>
    <n v="3"/>
    <n v="53"/>
    <x v="1"/>
    <m/>
  </r>
  <r>
    <n v="25"/>
    <x v="1"/>
    <d v="2026-07-21T00:00:00"/>
    <x v="0"/>
    <n v="1001187759"/>
    <s v="Julian David Jiménez Moreno"/>
    <s v="Julian.david.jimenez.moreno@gmail.com "/>
    <n v="3124832044"/>
    <s v="Karen Margarita Puerta"/>
    <n v="4"/>
    <m/>
    <m/>
    <m/>
    <m/>
    <m/>
    <n v="4"/>
    <x v="1"/>
    <m/>
  </r>
  <r>
    <n v="26"/>
    <x v="1"/>
    <d v="2026-07-21T00:00:00"/>
    <x v="0"/>
    <n v="1012455544"/>
    <s v="Claudia Yadira Suta Torres "/>
    <s v="claudiasuta029@gmail.com"/>
    <n v="3227861878"/>
    <s v="Karen Margarita Puerta"/>
    <n v="4"/>
    <m/>
    <m/>
    <m/>
    <m/>
    <m/>
    <n v="4"/>
    <x v="1"/>
    <m/>
  </r>
  <r>
    <n v="27"/>
    <x v="1"/>
    <d v="2026-07-21T00:00:00"/>
    <x v="0"/>
    <n v="1001056755"/>
    <s v="Cristian Manuel Jiménez Gómez "/>
    <s v="jimenezsc07@gmail.com"/>
    <n v="3123926446"/>
    <s v="Karen Margarita Puerta"/>
    <n v="3"/>
    <m/>
    <m/>
    <m/>
    <m/>
    <m/>
    <n v="3"/>
    <x v="1"/>
    <m/>
  </r>
  <r>
    <n v="28"/>
    <x v="1"/>
    <d v="2026-07-21T00:00:00"/>
    <x v="0"/>
    <n v="1000328420"/>
    <s v="Miguel Ángel Becerra Garcia"/>
    <s v="Saclaro920@gmail.com"/>
    <n v="3223167270"/>
    <s v="Karen Margarita Puerta"/>
    <n v="3"/>
    <m/>
    <m/>
    <m/>
    <m/>
    <m/>
    <n v="3"/>
    <x v="1"/>
    <m/>
  </r>
  <r>
    <n v="29"/>
    <x v="1"/>
    <d v="2026-07-21T00:00:00"/>
    <x v="0"/>
    <n v="1006118253"/>
    <s v="Alex Esteban Angarita Lozano"/>
    <s v="angarita20162001@gmail.com"/>
    <n v="3012268430"/>
    <s v="Karen Margarita Puerta"/>
    <n v="3"/>
    <m/>
    <m/>
    <m/>
    <m/>
    <m/>
    <n v="3"/>
    <x v="1"/>
    <m/>
  </r>
  <r>
    <n v="30"/>
    <x v="1"/>
    <d v="2026-07-21T00:00:00"/>
    <x v="0"/>
    <n v="1073671475"/>
    <s v="Dana Yurleidy Lugo Castro "/>
    <s v="danalugo12345@gmail.com"/>
    <n v="3147647259"/>
    <s v="Karen Margarita Puerta"/>
    <n v="4"/>
    <m/>
    <m/>
    <m/>
    <m/>
    <m/>
    <n v="4"/>
    <x v="1"/>
    <m/>
  </r>
  <r>
    <n v="31"/>
    <x v="1"/>
    <d v="2026-07-21T00:00:00"/>
    <x v="0"/>
    <n v="1013670551"/>
    <s v="Andersson Stiven Lozano Martinez "/>
    <s v="andersson19892014@gmail.com"/>
    <n v="3244759449"/>
    <s v="Karen Margarita Puerta"/>
    <n v="4"/>
    <m/>
    <m/>
    <m/>
    <m/>
    <m/>
    <n v="4"/>
    <x v="1"/>
    <m/>
  </r>
  <r>
    <n v="32"/>
    <x v="1"/>
    <d v="2026-07-21T00:00:00"/>
    <x v="0"/>
    <n v="1007343398"/>
    <s v="Duvan Alejandro Díaz Landinez"/>
    <s v="Alejithodiax@gmail.com"/>
    <n v="3026595949"/>
    <s v="Karen Margarita Puerta"/>
    <n v="4"/>
    <m/>
    <m/>
    <m/>
    <m/>
    <m/>
    <n v="4"/>
    <x v="1"/>
    <m/>
  </r>
  <r>
    <n v="33"/>
    <x v="1"/>
    <d v="2026-07-21T00:00:00"/>
    <x v="0"/>
    <n v="1007845676"/>
    <s v="Brandon Stiven Garces Arcos"/>
    <s v="Brandongarces2@gmail.com "/>
    <n v="3223299162"/>
    <s v="Karen Margarita Puerta"/>
    <n v="4"/>
    <m/>
    <m/>
    <m/>
    <m/>
    <m/>
    <n v="4"/>
    <x v="1"/>
    <m/>
  </r>
  <r>
    <n v="34"/>
    <x v="1"/>
    <d v="2026-07-21T00:00:00"/>
    <x v="0"/>
    <n v="1033772502"/>
    <s v="Juan Sebastian Acevedo Salazar "/>
    <s v="juansevedo02@gmail.com"/>
    <n v="3025718737"/>
    <s v="Karen Margarita Puerta"/>
    <n v="4"/>
    <m/>
    <m/>
    <m/>
    <m/>
    <m/>
    <n v="4"/>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E47274-C06C-4A82-AD90-268267555A91}" name="PT_Onboarding_Notas" cacheId="1" applyNumberFormats="0" applyBorderFormats="0" applyFontFormats="0" applyPatternFormats="0" applyAlignmentFormats="0" applyWidthHeightFormats="1" dataCaption="Valores" updatedVersion="8" minRefreshableVersion="3" useAutoFormatting="1" itemPrintTitles="1" createdVersion="5" indent="0" outline="1" outlineData="1" multipleFieldFilters="0">
  <location ref="G5:H8" firstHeaderRow="1" firstDataRow="1" firstDataCol="1"/>
  <pivotFields count="18">
    <pivotField showAll="0"/>
    <pivotField axis="axisRow" showAll="0">
      <items count="3">
        <item x="0"/>
        <item x="1"/>
        <item t="default"/>
      </items>
    </pivotField>
    <pivotField numFmtId="164" showAll="0"/>
    <pivotField showAll="0"/>
    <pivotField numFmtId="49" showAll="0"/>
    <pivotField showAll="0"/>
    <pivotField showAll="0"/>
    <pivotField showAll="0"/>
    <pivotField showAll="0"/>
    <pivotField numFmtId="1" showAll="0"/>
    <pivotField showAll="0"/>
    <pivotField showAll="0"/>
    <pivotField showAll="0"/>
    <pivotField showAll="0"/>
    <pivotField showAll="0"/>
    <pivotField dataField="1" showAll="0"/>
    <pivotField showAll="0"/>
    <pivotField showAll="0"/>
  </pivotFields>
  <rowFields count="1">
    <field x="1"/>
  </rowFields>
  <rowItems count="3">
    <i>
      <x/>
    </i>
    <i>
      <x v="1"/>
    </i>
    <i t="grand">
      <x/>
    </i>
  </rowItems>
  <colItems count="1">
    <i/>
  </colItems>
  <dataFields count="1">
    <dataField name="Nota Promedio" fld="15" subtotal="average" baseField="0" baseItem="0" numFmtId="167"/>
  </dataFields>
  <formats count="3">
    <format dxfId="6">
      <pivotArea collapsedLevelsAreSubtotals="1" fieldPosition="0">
        <references count="1">
          <reference field="1" count="1">
            <x v="0"/>
          </reference>
        </references>
      </pivotArea>
    </format>
    <format dxfId="5">
      <pivotArea collapsedLevelsAreSubtotals="1" fieldPosition="0">
        <references count="1">
          <reference field="1" count="1">
            <x v="1"/>
          </reference>
        </references>
      </pivotArea>
    </format>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F9DE30-007D-4EE5-91AF-9043DF260E0A}" name="PT_Onboarding_Campana" cacheId="1" applyNumberFormats="0" applyBorderFormats="0" applyFontFormats="0" applyPatternFormats="0" applyAlignmentFormats="0" applyWidthHeightFormats="1" dataCaption="Valores" updatedVersion="8" minRefreshableVersion="3" useAutoFormatting="1" itemPrintTitles="1" createdVersion="5" indent="0" outline="1" outlineData="1" multipleFieldFilters="0">
  <location ref="A5:D9" firstHeaderRow="1" firstDataRow="2" firstDataCol="1"/>
  <pivotFields count="18">
    <pivotField showAll="0"/>
    <pivotField axis="axisRow" showAll="0">
      <items count="3">
        <item x="0"/>
        <item x="1"/>
        <item t="default"/>
      </items>
    </pivotField>
    <pivotField numFmtId="164" showAll="0"/>
    <pivotField showAll="0"/>
    <pivotField dataField="1" numFmtId="49" showAll="0"/>
    <pivotField showAll="0"/>
    <pivotField showAll="0"/>
    <pivotField showAll="0"/>
    <pivotField showAll="0"/>
    <pivotField numFmtId="1" showAll="0"/>
    <pivotField showAll="0"/>
    <pivotField showAll="0"/>
    <pivotField showAll="0"/>
    <pivotField showAll="0"/>
    <pivotField showAll="0"/>
    <pivotField showAll="0"/>
    <pivotField axis="axisCol" showAll="0">
      <items count="4">
        <item x="0"/>
        <item x="1"/>
        <item m="1" x="2"/>
        <item t="default"/>
      </items>
    </pivotField>
    <pivotField showAll="0"/>
  </pivotFields>
  <rowFields count="1">
    <field x="1"/>
  </rowFields>
  <rowItems count="3">
    <i>
      <x/>
    </i>
    <i>
      <x v="1"/>
    </i>
    <i t="grand">
      <x/>
    </i>
  </rowItems>
  <colFields count="1">
    <field x="16"/>
  </colFields>
  <colItems count="3">
    <i>
      <x/>
    </i>
    <i>
      <x v="1"/>
    </i>
    <i t="grand">
      <x/>
    </i>
  </colItems>
  <dataFields count="1">
    <dataField name="Cantida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7CECC-D623-4197-834C-86B55F3CE2FD}" name="PT_OJT_Notas" cacheId="0" applyNumberFormats="0" applyBorderFormats="0" applyFontFormats="0" applyPatternFormats="0" applyAlignmentFormats="0" applyWidthHeightFormats="1" dataCaption="Valores" updatedVersion="8" minRefreshableVersion="3" useAutoFormatting="1" itemPrintTitles="1" createdVersion="5" indent="0" outline="1" outlineData="1" multipleFieldFilters="0">
  <location ref="G21:H23" firstHeaderRow="1" firstDataRow="1" firstDataCol="1"/>
  <pivotFields count="8">
    <pivotField showAll="0"/>
    <pivotField showAll="0"/>
    <pivotField showAll="0"/>
    <pivotField showAll="0"/>
    <pivotField numFmtId="164" showAll="0"/>
    <pivotField axis="axisRow" showAll="0">
      <items count="2">
        <item x="0"/>
        <item t="default"/>
      </items>
    </pivotField>
    <pivotField dataField="1" numFmtId="1" showAll="0"/>
    <pivotField showAll="0"/>
  </pivotFields>
  <rowFields count="1">
    <field x="5"/>
  </rowFields>
  <rowItems count="2">
    <i>
      <x/>
    </i>
    <i t="grand">
      <x/>
    </i>
  </rowItems>
  <colItems count="1">
    <i/>
  </colItems>
  <dataFields count="1">
    <dataField name="Nota Promedio " fld="6"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9E3E94-D17B-48CC-95A0-84A7D7C5E77E}" name="PT_OJT_Campana" cacheId="0" applyNumberFormats="0" applyBorderFormats="0" applyFontFormats="0" applyPatternFormats="0" applyAlignmentFormats="0" applyWidthHeightFormats="1" dataCaption="Valores" updatedVersion="8" minRefreshableVersion="3" useAutoFormatting="1" itemPrintTitles="1" createdVersion="5" indent="0" outline="1" outlineData="1" multipleFieldFilters="0">
  <location ref="A21:C24" firstHeaderRow="1" firstDataRow="2" firstDataCol="1"/>
  <pivotFields count="8">
    <pivotField dataField="1" showAll="0"/>
    <pivotField showAll="0"/>
    <pivotField showAll="0"/>
    <pivotField showAll="0"/>
    <pivotField numFmtId="164" showAll="0"/>
    <pivotField axis="axisRow" showAll="0">
      <items count="2">
        <item x="0"/>
        <item t="default"/>
      </items>
    </pivotField>
    <pivotField numFmtId="1" showAll="0"/>
    <pivotField axis="axisCol" showAll="0">
      <items count="2">
        <item x="0"/>
        <item t="default"/>
      </items>
    </pivotField>
  </pivotFields>
  <rowFields count="1">
    <field x="5"/>
  </rowFields>
  <rowItems count="2">
    <i>
      <x/>
    </i>
    <i t="grand">
      <x/>
    </i>
  </rowItems>
  <colFields count="1">
    <field x="7"/>
  </colFields>
  <colItems count="2">
    <i>
      <x/>
    </i>
    <i t="grand">
      <x/>
    </i>
  </colItems>
  <dataFields count="1">
    <dataField name="Cantidad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F26FD7-15A9-43D0-BB54-C5374415611B}" name="PT_Onboarding_Cargo" cacheId="1" applyNumberFormats="0" applyBorderFormats="0" applyFontFormats="0" applyPatternFormats="0" applyAlignmentFormats="0" applyWidthHeightFormats="1" dataCaption="Valores" updatedVersion="8" minRefreshableVersion="3" useAutoFormatting="1" itemPrintTitles="1" createdVersion="5" indent="0" outline="1" outlineData="1" multipleFieldFilters="0">
  <location ref="K5:N8" firstHeaderRow="1" firstDataRow="2" firstDataCol="1"/>
  <pivotFields count="18">
    <pivotField showAll="0"/>
    <pivotField showAll="0"/>
    <pivotField numFmtId="164" showAll="0"/>
    <pivotField axis="axisRow" showAll="0">
      <items count="2">
        <item x="0"/>
        <item t="default"/>
      </items>
    </pivotField>
    <pivotField dataField="1" numFmtId="49" showAll="0"/>
    <pivotField showAll="0"/>
    <pivotField showAll="0"/>
    <pivotField showAll="0"/>
    <pivotField showAll="0"/>
    <pivotField numFmtId="1" showAll="0"/>
    <pivotField showAll="0"/>
    <pivotField showAll="0"/>
    <pivotField showAll="0"/>
    <pivotField showAll="0"/>
    <pivotField showAll="0"/>
    <pivotField showAll="0"/>
    <pivotField axis="axisCol" showAll="0">
      <items count="4">
        <item x="0"/>
        <item x="1"/>
        <item m="1" x="2"/>
        <item t="default"/>
      </items>
    </pivotField>
    <pivotField showAll="0"/>
  </pivotFields>
  <rowFields count="1">
    <field x="3"/>
  </rowFields>
  <rowItems count="2">
    <i>
      <x/>
    </i>
    <i t="grand">
      <x/>
    </i>
  </rowItems>
  <colFields count="1">
    <field x="16"/>
  </colFields>
  <colItems count="3">
    <i>
      <x/>
    </i>
    <i>
      <x v="1"/>
    </i>
    <i t="grand">
      <x/>
    </i>
  </colItems>
  <dataFields count="1">
    <dataField name="Cantidad "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ypaolarodriguez14@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D32"/>
  </sheetPr>
  <dimension ref="A1:W995"/>
  <sheetViews>
    <sheetView topLeftCell="F1" zoomScale="80" zoomScaleNormal="80" workbookViewId="0">
      <pane ySplit="1" topLeftCell="A26" activePane="bottomLeft" state="frozen"/>
      <selection pane="bottomLeft" activeCell="J31" sqref="J31"/>
    </sheetView>
  </sheetViews>
  <sheetFormatPr baseColWidth="10" defaultColWidth="14.42578125" defaultRowHeight="15"/>
  <cols>
    <col min="1" max="1" width="5" customWidth="1"/>
    <col min="2" max="2" width="12.7109375" customWidth="1"/>
    <col min="3" max="3" width="15.7109375" customWidth="1"/>
    <col min="4" max="4" width="25.42578125" customWidth="1"/>
    <col min="5" max="5" width="13" customWidth="1"/>
    <col min="6" max="6" width="30.28515625" customWidth="1"/>
    <col min="7" max="7" width="34.28515625" customWidth="1"/>
    <col min="8" max="8" width="13.140625" customWidth="1"/>
    <col min="9" max="9" width="9.7109375" customWidth="1"/>
    <col min="10" max="10" width="13.140625" customWidth="1"/>
    <col min="11" max="11" width="14.140625" customWidth="1"/>
    <col min="12" max="13" width="15.28515625" customWidth="1"/>
    <col min="14" max="14" width="15.5703125" customWidth="1"/>
    <col min="15" max="15" width="22" customWidth="1"/>
    <col min="16" max="17" width="12" customWidth="1"/>
    <col min="18" max="18" width="28" customWidth="1"/>
    <col min="19" max="19" width="8" customWidth="1"/>
    <col min="20" max="23" width="8.5703125" hidden="1" customWidth="1"/>
    <col min="24" max="27" width="8.5703125" customWidth="1"/>
  </cols>
  <sheetData>
    <row r="1" spans="1:20" ht="39.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T1" s="2" t="s">
        <v>18</v>
      </c>
    </row>
    <row r="2" spans="1:20" ht="15" customHeight="1">
      <c r="A2" s="3">
        <f t="shared" ref="A2:A33" si="0">IF(F2="","",ROW()-1)</f>
        <v>1</v>
      </c>
      <c r="B2" s="4" t="s">
        <v>19</v>
      </c>
      <c r="C2" s="5">
        <v>46204</v>
      </c>
      <c r="D2" s="4" t="s">
        <v>20</v>
      </c>
      <c r="E2" s="6">
        <v>1193156026</v>
      </c>
      <c r="F2" s="4" t="s">
        <v>21</v>
      </c>
      <c r="G2" s="4" t="s">
        <v>22</v>
      </c>
      <c r="H2" s="7">
        <v>3245742876</v>
      </c>
      <c r="I2" s="4" t="s">
        <v>23</v>
      </c>
      <c r="J2" s="8">
        <v>4</v>
      </c>
      <c r="K2" s="8">
        <v>5</v>
      </c>
      <c r="L2" s="8">
        <v>3</v>
      </c>
      <c r="M2" s="8">
        <v>4</v>
      </c>
      <c r="N2" s="8">
        <v>5</v>
      </c>
      <c r="O2" s="8">
        <v>3</v>
      </c>
      <c r="P2" s="9">
        <f>IF(F2="","",IF(COUNTIF(J2:O2,"D")&gt;0,"",(IF(ISNUMBER(J2),J2,0)*Parametros!$K$4+IF(ISNUMBER(K2),K2,0)*Parametros!$K$5+IF(ISNUMBER(M2),M2,0)*Parametros!$K$6+IF(ISNUMBER(N2),N2,0)*Parametros!$K$7+IF(ISNUMBER(O2),O2,0)*Parametros!$K$8)/Parametros!$B$2))</f>
        <v>72</v>
      </c>
      <c r="Q2" s="3" t="str">
        <f>IF(F2="","",IF(COUNTIF(J2:O2,"D")&gt;0,"Desiste",IF(IFERROR(P2,0)&gt;=Parametros!$B$1,"Aprueba","No aprueba")))</f>
        <v>Aprueba</v>
      </c>
      <c r="R2" s="4"/>
      <c r="T2">
        <f>IF($Q2="Aprueba",COUNTIF($Q$2:$Q2,"Aprueba"),"")</f>
        <v>1</v>
      </c>
    </row>
    <row r="3" spans="1:20" ht="15" customHeight="1">
      <c r="A3" s="3">
        <f t="shared" si="0"/>
        <v>2</v>
      </c>
      <c r="B3" s="4" t="s">
        <v>19</v>
      </c>
      <c r="C3" s="5">
        <v>46204</v>
      </c>
      <c r="D3" s="4" t="s">
        <v>20</v>
      </c>
      <c r="E3" s="6">
        <v>1022988349</v>
      </c>
      <c r="F3" s="4" t="s">
        <v>24</v>
      </c>
      <c r="G3" s="4" t="s">
        <v>25</v>
      </c>
      <c r="H3" s="7">
        <v>3123702518</v>
      </c>
      <c r="I3" s="4" t="s">
        <v>23</v>
      </c>
      <c r="J3" s="8">
        <v>4</v>
      </c>
      <c r="K3" s="8">
        <v>2</v>
      </c>
      <c r="L3" s="8">
        <v>3</v>
      </c>
      <c r="M3" s="8">
        <v>4</v>
      </c>
      <c r="N3" s="8">
        <v>4</v>
      </c>
      <c r="O3" s="8">
        <v>3</v>
      </c>
      <c r="P3" s="9">
        <f>IF(F3="","",IF(COUNTIF(J3:O3,"D")&gt;0,"",(IF(ISNUMBER(J3),J3,0)*Parametros!$K$4+IF(ISNUMBER(K3),K3,0)*Parametros!$K$5+IF(ISNUMBER(M3),M3,0)*Parametros!$K$6+IF(ISNUMBER(N3),N3,0)*Parametros!$K$7+IF(ISNUMBER(O3),O3,0)*Parametros!$K$8)/Parametros!$B$2))</f>
        <v>62</v>
      </c>
      <c r="Q3" s="3" t="str">
        <f>IF(F3="","",IF(COUNTIF(J3:O3,"D")&gt;0,"Desiste",IF(IFERROR(P3,0)&gt;=Parametros!$B$1,"Aprueba","No aprueba")))</f>
        <v>No aprueba</v>
      </c>
      <c r="R3" s="4"/>
      <c r="T3" t="str">
        <f>IF($Q3="Aprueba",COUNTIF($Q$2:$Q3,"Aprueba"),"")</f>
        <v/>
      </c>
    </row>
    <row r="4" spans="1:20" ht="15" customHeight="1">
      <c r="A4" s="3">
        <f t="shared" si="0"/>
        <v>3</v>
      </c>
      <c r="B4" s="4" t="s">
        <v>19</v>
      </c>
      <c r="C4" s="5">
        <v>46204</v>
      </c>
      <c r="D4" s="4" t="s">
        <v>20</v>
      </c>
      <c r="E4" s="6">
        <v>1016001652</v>
      </c>
      <c r="F4" s="4" t="s">
        <v>26</v>
      </c>
      <c r="G4" s="4" t="s">
        <v>27</v>
      </c>
      <c r="H4" s="7" t="s">
        <v>28</v>
      </c>
      <c r="I4" s="4" t="s">
        <v>23</v>
      </c>
      <c r="J4" s="8">
        <v>4</v>
      </c>
      <c r="K4" s="8">
        <v>4</v>
      </c>
      <c r="L4" s="8">
        <v>3</v>
      </c>
      <c r="M4" s="8">
        <v>4</v>
      </c>
      <c r="N4" s="8">
        <v>5</v>
      </c>
      <c r="O4" s="8">
        <v>3</v>
      </c>
      <c r="P4" s="9">
        <f>IF(F4="","",IF(COUNTIF(J4:O4,"D")&gt;0,"",(IF(ISNUMBER(J4),J4,0)*Parametros!$K$4+IF(ISNUMBER(K4),K4,0)*Parametros!$K$5+IF(ISNUMBER(M4),M4,0)*Parametros!$K$6+IF(ISNUMBER(N4),N4,0)*Parametros!$K$7+IF(ISNUMBER(O4),O4,0)*Parametros!$K$8)/Parametros!$B$2))</f>
        <v>70</v>
      </c>
      <c r="Q4" s="3" t="str">
        <f>IF(F4="","",IF(COUNTIF(J4:O4,"D")&gt;0,"Desiste",IF(IFERROR(P4,0)&gt;=Parametros!$B$1,"Aprueba","No aprueba")))</f>
        <v>Aprueba</v>
      </c>
      <c r="R4" s="4"/>
      <c r="T4">
        <f>IF($Q4="Aprueba",COUNTIF($Q$2:$Q4,"Aprueba"),"")</f>
        <v>2</v>
      </c>
    </row>
    <row r="5" spans="1:20" ht="15" customHeight="1">
      <c r="A5" s="3">
        <f t="shared" si="0"/>
        <v>4</v>
      </c>
      <c r="B5" s="4" t="s">
        <v>19</v>
      </c>
      <c r="C5" s="5">
        <v>46204</v>
      </c>
      <c r="D5" s="4" t="s">
        <v>20</v>
      </c>
      <c r="E5" s="6">
        <v>1012385263</v>
      </c>
      <c r="F5" s="4" t="s">
        <v>29</v>
      </c>
      <c r="G5" s="4" t="s">
        <v>30</v>
      </c>
      <c r="H5" s="7">
        <v>3172616867</v>
      </c>
      <c r="I5" s="4" t="s">
        <v>23</v>
      </c>
      <c r="J5" s="8">
        <v>3</v>
      </c>
      <c r="K5" s="8">
        <v>3</v>
      </c>
      <c r="L5" s="8">
        <v>3</v>
      </c>
      <c r="M5" s="8">
        <v>3</v>
      </c>
      <c r="N5" s="8">
        <v>5</v>
      </c>
      <c r="O5" s="8">
        <v>3</v>
      </c>
      <c r="P5" s="9">
        <f>IF(F5="","",IF(COUNTIF(J5:O5,"D")&gt;0,"",(IF(ISNUMBER(J5),J5,0)*Parametros!$K$4+IF(ISNUMBER(K5),K5,0)*Parametros!$K$5+IF(ISNUMBER(M5),M5,0)*Parametros!$K$6+IF(ISNUMBER(N5),N5,0)*Parametros!$K$7+IF(ISNUMBER(O5),O5,0)*Parametros!$K$8)/Parametros!$B$2))</f>
        <v>65</v>
      </c>
      <c r="Q5" s="3" t="str">
        <f>IF(F5="","",IF(COUNTIF(J5:O5,"D")&gt;0,"Desiste",IF(IFERROR(P5,0)&gt;=Parametros!$B$1,"Aprueba","No aprueba")))</f>
        <v>No aprueba</v>
      </c>
      <c r="R5" s="4" t="s">
        <v>31</v>
      </c>
      <c r="T5" t="str">
        <f>IF($Q5="Aprueba",COUNTIF($Q$2:$Q5,"Aprueba"),"")</f>
        <v/>
      </c>
    </row>
    <row r="6" spans="1:20" ht="15" customHeight="1">
      <c r="A6" s="3">
        <f t="shared" si="0"/>
        <v>5</v>
      </c>
      <c r="B6" s="4" t="s">
        <v>19</v>
      </c>
      <c r="C6" s="5">
        <v>46204</v>
      </c>
      <c r="D6" s="4" t="s">
        <v>20</v>
      </c>
      <c r="E6" s="6">
        <v>1001314657</v>
      </c>
      <c r="F6" s="4" t="s">
        <v>32</v>
      </c>
      <c r="G6" s="4" t="s">
        <v>33</v>
      </c>
      <c r="H6" s="7">
        <v>3103798566</v>
      </c>
      <c r="I6" s="4" t="s">
        <v>23</v>
      </c>
      <c r="J6" s="8">
        <v>4</v>
      </c>
      <c r="K6" s="8">
        <v>5</v>
      </c>
      <c r="L6" s="8">
        <v>3</v>
      </c>
      <c r="M6" s="8">
        <v>4</v>
      </c>
      <c r="N6" s="8">
        <v>5</v>
      </c>
      <c r="O6" s="8">
        <v>3</v>
      </c>
      <c r="P6" s="9">
        <f>IF(F6="","",IF(COUNTIF(J6:O6,"D")&gt;0,"",(IF(ISNUMBER(J6),J6,0)*Parametros!$K$4+IF(ISNUMBER(K6),K6,0)*Parametros!$K$5+IF(ISNUMBER(M6),M6,0)*Parametros!$K$6+IF(ISNUMBER(N6),N6,0)*Parametros!$K$7+IF(ISNUMBER(O6),O6,0)*Parametros!$K$8)/Parametros!$B$2))</f>
        <v>72</v>
      </c>
      <c r="Q6" s="3" t="str">
        <f>IF(F6="","",IF(COUNTIF(J6:O6,"D")&gt;0,"Desiste",IF(IFERROR(P6,0)&gt;=Parametros!$B$1,"Aprueba","No aprueba")))</f>
        <v>Aprueba</v>
      </c>
      <c r="R6" s="4"/>
      <c r="T6">
        <f>IF($Q6="Aprueba",COUNTIF($Q$2:$Q6,"Aprueba"),"")</f>
        <v>3</v>
      </c>
    </row>
    <row r="7" spans="1:20" ht="15" customHeight="1">
      <c r="A7" s="3">
        <f t="shared" si="0"/>
        <v>6</v>
      </c>
      <c r="B7" s="4" t="s">
        <v>19</v>
      </c>
      <c r="C7" s="5">
        <v>46204</v>
      </c>
      <c r="D7" s="4" t="s">
        <v>20</v>
      </c>
      <c r="E7" s="6">
        <v>52956322</v>
      </c>
      <c r="F7" s="4" t="s">
        <v>34</v>
      </c>
      <c r="G7" s="4" t="s">
        <v>35</v>
      </c>
      <c r="H7" s="7">
        <v>3213264788</v>
      </c>
      <c r="I7" s="4" t="s">
        <v>23</v>
      </c>
      <c r="J7" s="8">
        <v>5</v>
      </c>
      <c r="K7" s="8">
        <v>5</v>
      </c>
      <c r="L7" s="8">
        <v>3</v>
      </c>
      <c r="M7" s="8">
        <v>4</v>
      </c>
      <c r="N7" s="8">
        <v>4</v>
      </c>
      <c r="O7" s="8">
        <v>3</v>
      </c>
      <c r="P7" s="9">
        <f>IF(F7="","",IF(COUNTIF(J7:O7,"D")&gt;0,"",(IF(ISNUMBER(J7),J7,0)*Parametros!$K$4+IF(ISNUMBER(K7),K7,0)*Parametros!$K$5+IF(ISNUMBER(M7),M7,0)*Parametros!$K$6+IF(ISNUMBER(N7),N7,0)*Parametros!$K$7+IF(ISNUMBER(O7),O7,0)*Parametros!$K$8)/Parametros!$B$2))</f>
        <v>69</v>
      </c>
      <c r="Q7" s="3" t="str">
        <f>IF(F7="","",IF(COUNTIF(J7:O7,"D")&gt;0,"Desiste",IF(IFERROR(P7,0)&gt;=Parametros!$B$1,"Aprueba","No aprueba")))</f>
        <v>No aprueba</v>
      </c>
      <c r="R7" s="4"/>
      <c r="T7" t="str">
        <f>IF($Q7="Aprueba",COUNTIF($Q$2:$Q7,"Aprueba"),"")</f>
        <v/>
      </c>
    </row>
    <row r="8" spans="1:20" ht="15" customHeight="1">
      <c r="A8" s="3">
        <f t="shared" si="0"/>
        <v>7</v>
      </c>
      <c r="B8" s="4" t="s">
        <v>19</v>
      </c>
      <c r="C8" s="5">
        <v>46204</v>
      </c>
      <c r="D8" s="4" t="s">
        <v>20</v>
      </c>
      <c r="E8" s="6">
        <v>10191156098</v>
      </c>
      <c r="F8" s="4" t="s">
        <v>36</v>
      </c>
      <c r="G8" s="4" t="s">
        <v>37</v>
      </c>
      <c r="H8" s="7">
        <v>3008533917</v>
      </c>
      <c r="I8" s="4" t="s">
        <v>23</v>
      </c>
      <c r="J8" s="8">
        <v>4</v>
      </c>
      <c r="K8" s="8">
        <v>4</v>
      </c>
      <c r="L8" s="8">
        <v>3</v>
      </c>
      <c r="M8" s="8">
        <v>4</v>
      </c>
      <c r="N8" s="8">
        <v>3</v>
      </c>
      <c r="O8" s="8">
        <v>3</v>
      </c>
      <c r="P8" s="9">
        <f>IF(F8="","",IF(COUNTIF(J8:O8,"D")&gt;0,"",(IF(ISNUMBER(J8),J8,0)*Parametros!$K$4+IF(ISNUMBER(K8),K8,0)*Parametros!$K$5+IF(ISNUMBER(M8),M8,0)*Parametros!$K$6+IF(ISNUMBER(N8),N8,0)*Parametros!$K$7+IF(ISNUMBER(O8),O8,0)*Parametros!$K$8)/Parametros!$B$2))</f>
        <v>62</v>
      </c>
      <c r="Q8" s="3" t="str">
        <f>IF(F8="","",IF(COUNTIF(J8:O8,"D")&gt;0,"Desiste",IF(IFERROR(P8,0)&gt;=Parametros!$B$1,"Aprueba","No aprueba")))</f>
        <v>No aprueba</v>
      </c>
      <c r="R8" s="4"/>
      <c r="T8" t="str">
        <f>IF($Q8="Aprueba",COUNTIF($Q$2:$Q8,"Aprueba"),"")</f>
        <v/>
      </c>
    </row>
    <row r="9" spans="1:20" ht="15" customHeight="1">
      <c r="A9" s="3">
        <f t="shared" si="0"/>
        <v>8</v>
      </c>
      <c r="B9" s="4" t="s">
        <v>19</v>
      </c>
      <c r="C9" s="5">
        <v>46204</v>
      </c>
      <c r="D9" s="4" t="s">
        <v>20</v>
      </c>
      <c r="E9" s="6">
        <v>1033096735</v>
      </c>
      <c r="F9" s="4" t="s">
        <v>38</v>
      </c>
      <c r="G9" s="4" t="s">
        <v>39</v>
      </c>
      <c r="H9" s="7">
        <v>3196588439</v>
      </c>
      <c r="I9" s="4" t="s">
        <v>23</v>
      </c>
      <c r="J9" s="8">
        <v>3</v>
      </c>
      <c r="K9" s="8">
        <v>4</v>
      </c>
      <c r="L9" s="8">
        <v>3</v>
      </c>
      <c r="M9" s="8">
        <v>5</v>
      </c>
      <c r="N9" s="8">
        <v>5</v>
      </c>
      <c r="O9" s="8">
        <v>4</v>
      </c>
      <c r="P9" s="9">
        <f>IF(F9="","",IF(COUNTIF(J9:O9,"D")&gt;0,"",(IF(ISNUMBER(J9),J9,0)*Parametros!$K$4+IF(ISNUMBER(K9),K9,0)*Parametros!$K$5+IF(ISNUMBER(M9),M9,0)*Parametros!$K$6+IF(ISNUMBER(N9),N9,0)*Parametros!$K$7+IF(ISNUMBER(O9),O9,0)*Parametros!$K$8)/Parametros!$B$2))</f>
        <v>81</v>
      </c>
      <c r="Q9" s="3" t="str">
        <f>IF(F9="","",IF(COUNTIF(J9:O9,"D")&gt;0,"Desiste",IF(IFERROR(P9,0)&gt;=Parametros!$B$1,"Aprueba","No aprueba")))</f>
        <v>Aprueba</v>
      </c>
      <c r="R9" s="4"/>
      <c r="T9">
        <f>IF($Q9="Aprueba",COUNTIF($Q$2:$Q9,"Aprueba"),"")</f>
        <v>4</v>
      </c>
    </row>
    <row r="10" spans="1:20" ht="15" customHeight="1">
      <c r="A10" s="3">
        <f t="shared" si="0"/>
        <v>9</v>
      </c>
      <c r="B10" s="4" t="s">
        <v>19</v>
      </c>
      <c r="C10" s="5">
        <v>46204</v>
      </c>
      <c r="D10" s="4" t="s">
        <v>20</v>
      </c>
      <c r="E10" s="6">
        <v>1000219286</v>
      </c>
      <c r="F10" s="4" t="s">
        <v>40</v>
      </c>
      <c r="G10" s="4" t="s">
        <v>41</v>
      </c>
      <c r="H10" s="7">
        <v>3005145730</v>
      </c>
      <c r="I10" s="4" t="s">
        <v>23</v>
      </c>
      <c r="J10" s="8">
        <v>4</v>
      </c>
      <c r="K10" s="8">
        <v>2</v>
      </c>
      <c r="L10" s="8">
        <v>3</v>
      </c>
      <c r="M10" s="8">
        <v>5</v>
      </c>
      <c r="N10" s="8">
        <v>5</v>
      </c>
      <c r="O10" s="8">
        <v>3</v>
      </c>
      <c r="P10" s="9">
        <f>IF(F10="","",IF(COUNTIF(J10:O10,"D")&gt;0,"",(IF(ISNUMBER(J10),J10,0)*Parametros!$K$4+IF(ISNUMBER(K10),K10,0)*Parametros!$K$5+IF(ISNUMBER(M10),M10,0)*Parametros!$K$6+IF(ISNUMBER(N10),N10,0)*Parametros!$K$7+IF(ISNUMBER(O10),O10,0)*Parametros!$K$8)/Parametros!$B$2))</f>
        <v>68</v>
      </c>
      <c r="Q10" s="3" t="str">
        <f>IF(F10="","",IF(COUNTIF(J10:O10,"D")&gt;0,"Desiste",IF(IFERROR(P10,0)&gt;=Parametros!$B$1,"Aprueba","No aprueba")))</f>
        <v>No aprueba</v>
      </c>
      <c r="R10" s="4" t="s">
        <v>31</v>
      </c>
      <c r="T10" t="str">
        <f>IF($Q10="Aprueba",COUNTIF($Q$2:$Q10,"Aprueba"),"")</f>
        <v/>
      </c>
    </row>
    <row r="11" spans="1:20" ht="15" customHeight="1">
      <c r="A11" s="3">
        <f t="shared" si="0"/>
        <v>10</v>
      </c>
      <c r="B11" s="4" t="s">
        <v>19</v>
      </c>
      <c r="C11" s="5">
        <v>46204</v>
      </c>
      <c r="D11" s="4" t="s">
        <v>20</v>
      </c>
      <c r="E11" s="6">
        <v>1004961429</v>
      </c>
      <c r="F11" s="4" t="s">
        <v>42</v>
      </c>
      <c r="G11" s="4" t="s">
        <v>43</v>
      </c>
      <c r="H11" s="7">
        <v>3219466413</v>
      </c>
      <c r="I11" s="4" t="s">
        <v>23</v>
      </c>
      <c r="J11" s="8">
        <v>3</v>
      </c>
      <c r="K11" s="8">
        <v>3</v>
      </c>
      <c r="L11" s="8">
        <v>3</v>
      </c>
      <c r="M11" s="8">
        <v>4</v>
      </c>
      <c r="N11" s="8">
        <v>4</v>
      </c>
      <c r="O11" s="8">
        <v>4</v>
      </c>
      <c r="P11" s="9">
        <f>IF(F11="","",IF(COUNTIF(J11:O11,"D")&gt;0,"",(IF(ISNUMBER(J11),J11,0)*Parametros!$K$4+IF(ISNUMBER(K11),K11,0)*Parametros!$K$5+IF(ISNUMBER(M11),M11,0)*Parametros!$K$6+IF(ISNUMBER(N11),N11,0)*Parametros!$K$7+IF(ISNUMBER(O11),O11,0)*Parametros!$K$8)/Parametros!$B$2))</f>
        <v>73</v>
      </c>
      <c r="Q11" s="3" t="str">
        <f>IF(F11="","",IF(COUNTIF(J11:O11,"D")&gt;0,"Desiste",IF(IFERROR(P11,0)&gt;=Parametros!$B$1,"Aprueba","No aprueba")))</f>
        <v>Aprueba</v>
      </c>
      <c r="R11" s="4" t="s">
        <v>31</v>
      </c>
      <c r="T11">
        <f>IF($Q11="Aprueba",COUNTIF($Q$2:$Q11,"Aprueba"),"")</f>
        <v>5</v>
      </c>
    </row>
    <row r="12" spans="1:20" ht="15" customHeight="1">
      <c r="A12" s="3">
        <f t="shared" si="0"/>
        <v>11</v>
      </c>
      <c r="B12" s="4" t="s">
        <v>19</v>
      </c>
      <c r="C12" s="5">
        <v>46204</v>
      </c>
      <c r="D12" s="4" t="s">
        <v>20</v>
      </c>
      <c r="E12" s="6">
        <v>53121281</v>
      </c>
      <c r="F12" s="4" t="s">
        <v>44</v>
      </c>
      <c r="G12" s="10" t="s">
        <v>45</v>
      </c>
      <c r="H12" s="7">
        <v>3112142736</v>
      </c>
      <c r="I12" s="4" t="s">
        <v>23</v>
      </c>
      <c r="J12" s="8">
        <v>4</v>
      </c>
      <c r="K12" s="8">
        <v>4</v>
      </c>
      <c r="L12" s="8">
        <v>3</v>
      </c>
      <c r="M12" s="8">
        <v>3</v>
      </c>
      <c r="N12" s="8">
        <v>5</v>
      </c>
      <c r="O12" s="8">
        <v>4</v>
      </c>
      <c r="P12" s="9">
        <f>IF(F12="","",IF(COUNTIF(J12:O12,"D")&gt;0,"",(IF(ISNUMBER(J12),J12,0)*Parametros!$K$4+IF(ISNUMBER(K12),K12,0)*Parametros!$K$5+IF(ISNUMBER(M12),M12,0)*Parametros!$K$6+IF(ISNUMBER(N12),N12,0)*Parametros!$K$7+IF(ISNUMBER(O12),O12,0)*Parametros!$K$8)/Parametros!$B$2))</f>
        <v>78</v>
      </c>
      <c r="Q12" s="3" t="str">
        <f>IF(F12="","",IF(COUNTIF(J12:O12,"D")&gt;0,"Desiste",IF(IFERROR(P12,0)&gt;=Parametros!$B$1,"Aprueba","No aprueba")))</f>
        <v>Aprueba</v>
      </c>
      <c r="R12" s="4"/>
      <c r="T12">
        <f>IF($Q12="Aprueba",COUNTIF($Q$2:$Q12,"Aprueba"),"")</f>
        <v>6</v>
      </c>
    </row>
    <row r="13" spans="1:20" ht="15" customHeight="1">
      <c r="A13" s="3">
        <f t="shared" si="0"/>
        <v>12</v>
      </c>
      <c r="B13" s="4" t="s">
        <v>19</v>
      </c>
      <c r="C13" s="5">
        <v>46204</v>
      </c>
      <c r="D13" s="4" t="s">
        <v>20</v>
      </c>
      <c r="E13" s="6">
        <v>1019138287</v>
      </c>
      <c r="F13" s="4" t="s">
        <v>46</v>
      </c>
      <c r="G13" s="4" t="s">
        <v>47</v>
      </c>
      <c r="H13" s="7">
        <v>3003020830</v>
      </c>
      <c r="I13" s="4" t="s">
        <v>23</v>
      </c>
      <c r="J13" s="8">
        <v>5</v>
      </c>
      <c r="K13" s="8">
        <v>5</v>
      </c>
      <c r="L13" s="8">
        <v>3</v>
      </c>
      <c r="M13" s="8">
        <v>3</v>
      </c>
      <c r="N13" s="8">
        <v>4</v>
      </c>
      <c r="O13" s="8">
        <v>3</v>
      </c>
      <c r="P13" s="9">
        <f>IF(F13="","",IF(COUNTIF(J13:O13,"D")&gt;0,"",(IF(ISNUMBER(J13),J13,0)*Parametros!$K$4+IF(ISNUMBER(K13),K13,0)*Parametros!$K$5+IF(ISNUMBER(M13),M13,0)*Parametros!$K$6+IF(ISNUMBER(N13),N13,0)*Parametros!$K$7+IF(ISNUMBER(O13),O13,0)*Parametros!$K$8)/Parametros!$B$2))</f>
        <v>67</v>
      </c>
      <c r="Q13" s="3" t="str">
        <f>IF(F13="","",IF(COUNTIF(J13:O13,"D")&gt;0,"Desiste",IF(IFERROR(P13,0)&gt;=Parametros!$B$1,"Aprueba","No aprueba")))</f>
        <v>No aprueba</v>
      </c>
      <c r="R13" s="4"/>
      <c r="T13" t="str">
        <f>IF($Q13="Aprueba",COUNTIF($Q$2:$Q13,"Aprueba"),"")</f>
        <v/>
      </c>
    </row>
    <row r="14" spans="1:20" ht="15" customHeight="1">
      <c r="A14" s="11">
        <f t="shared" si="0"/>
        <v>13</v>
      </c>
      <c r="B14" s="12" t="s">
        <v>19</v>
      </c>
      <c r="C14" s="13">
        <v>46211</v>
      </c>
      <c r="D14" s="12" t="s">
        <v>20</v>
      </c>
      <c r="E14" s="14">
        <v>1019145849</v>
      </c>
      <c r="F14" s="12" t="s">
        <v>48</v>
      </c>
      <c r="G14" s="12" t="s">
        <v>49</v>
      </c>
      <c r="H14" s="15">
        <v>3208836403</v>
      </c>
      <c r="I14" s="12" t="s">
        <v>23</v>
      </c>
      <c r="J14" s="16">
        <v>4</v>
      </c>
      <c r="K14" s="16">
        <v>4</v>
      </c>
      <c r="L14" s="16">
        <v>3</v>
      </c>
      <c r="M14" s="16">
        <v>3</v>
      </c>
      <c r="N14" s="16">
        <v>3</v>
      </c>
      <c r="O14" s="16">
        <v>2</v>
      </c>
      <c r="P14" s="17">
        <f>IF(F14="","",IF(COUNTIF(J14:O14,"D")&gt;0,"",(IF(ISNUMBER(J14),J14,0)*Parametros!$K$4+IF(ISNUMBER(K14),K14,0)*Parametros!$K$5+IF(ISNUMBER(L14),L14,0)*Parametros!$K$6+IF(ISNUMBER(M14),M14,0)*Parametros!$K$7+IF(ISNUMBER(N14),N14,0)*Parametros!$K$8+IF(ISNUMBER(O14),O14,0)*Parametros!$K$9)/Parametros!$B$2))</f>
        <v>62</v>
      </c>
      <c r="Q14" s="3" t="str">
        <f>IF(F14="","",IF(COUNTIF(J14:O14,"D")&gt;0,"Desiste",IF(IFERROR(P14,0)&gt;=Parametros!$B$1,"Aprueba","No aprueba")))</f>
        <v>No aprueba</v>
      </c>
      <c r="R14" s="12"/>
      <c r="T14" t="str">
        <f>IF($Q14="Aprueba",COUNTIF($Q$2:$Q14,"Aprueba"),"")</f>
        <v/>
      </c>
    </row>
    <row r="15" spans="1:20" ht="15" customHeight="1">
      <c r="A15" s="11">
        <f t="shared" si="0"/>
        <v>14</v>
      </c>
      <c r="B15" s="12" t="s">
        <v>19</v>
      </c>
      <c r="C15" s="13">
        <v>46211</v>
      </c>
      <c r="D15" s="12" t="s">
        <v>20</v>
      </c>
      <c r="E15" s="14">
        <v>1001056884</v>
      </c>
      <c r="F15" s="12" t="s">
        <v>50</v>
      </c>
      <c r="G15" s="12" t="s">
        <v>51</v>
      </c>
      <c r="H15" s="15">
        <v>3028250517</v>
      </c>
      <c r="I15" s="12" t="s">
        <v>23</v>
      </c>
      <c r="J15" s="16">
        <v>4</v>
      </c>
      <c r="K15" s="16">
        <v>4</v>
      </c>
      <c r="L15" s="16">
        <v>3</v>
      </c>
      <c r="M15" s="16">
        <v>3</v>
      </c>
      <c r="N15" s="16">
        <v>3</v>
      </c>
      <c r="O15" s="16">
        <v>3</v>
      </c>
      <c r="P15" s="17">
        <f>IF(F15="","",IF(COUNTIF(J15:O15,"D")&gt;0,"",(IF(ISNUMBER(J15),J15,0)*Parametros!$K$4+IF(ISNUMBER(K15),K15,0)*Parametros!$K$5+IF(ISNUMBER(L15),L15,0)*Parametros!$K$6+IF(ISNUMBER(M15),M15,0)*Parametros!$K$7+IF(ISNUMBER(N15),N15,0)*Parametros!$K$8+IF(ISNUMBER(O15),O15,0)*Parametros!$K$9)/Parametros!$B$2))</f>
        <v>63</v>
      </c>
      <c r="Q15" s="3" t="str">
        <f>IF(F15="","",IF(COUNTIF(J15:O15,"D")&gt;0,"Desiste",IF(IFERROR(P15,0)&gt;=Parametros!$B$1,"Aprueba","No aprueba")))</f>
        <v>No aprueba</v>
      </c>
      <c r="R15" s="12"/>
      <c r="T15" t="str">
        <f>IF($Q15="Aprueba",COUNTIF($Q$2:$Q15,"Aprueba"),"")</f>
        <v/>
      </c>
    </row>
    <row r="16" spans="1:20" ht="15" customHeight="1">
      <c r="A16" s="11">
        <f t="shared" si="0"/>
        <v>15</v>
      </c>
      <c r="B16" s="12" t="s">
        <v>19</v>
      </c>
      <c r="C16" s="13">
        <v>46211</v>
      </c>
      <c r="D16" s="12" t="s">
        <v>20</v>
      </c>
      <c r="E16" s="14">
        <v>1024585365</v>
      </c>
      <c r="F16" s="12" t="s">
        <v>52</v>
      </c>
      <c r="G16" s="12" t="s">
        <v>53</v>
      </c>
      <c r="H16" s="15">
        <v>3216686201</v>
      </c>
      <c r="I16" s="12" t="s">
        <v>23</v>
      </c>
      <c r="J16" s="16">
        <v>4</v>
      </c>
      <c r="K16" s="16">
        <v>4</v>
      </c>
      <c r="L16" s="16">
        <v>3</v>
      </c>
      <c r="M16" s="16">
        <v>3</v>
      </c>
      <c r="N16" s="16">
        <v>4</v>
      </c>
      <c r="O16" s="16">
        <v>3</v>
      </c>
      <c r="P16" s="17">
        <f>IF(F16="","",IF(COUNTIF(J16:O16,"D")&gt;0,"",(IF(ISNUMBER(J16),J16,0)*Parametros!$K$4+IF(ISNUMBER(K16),K16,0)*Parametros!$K$5+IF(ISNUMBER(L16),L16,0)*Parametros!$K$6+IF(ISNUMBER(M16),M16,0)*Parametros!$K$7+IF(ISNUMBER(N16),N16,0)*Parametros!$K$8+IF(ISNUMBER(O16),O16,0)*Parametros!$K$9)/Parametros!$B$2))</f>
        <v>73</v>
      </c>
      <c r="Q16" s="3" t="str">
        <f>IF(F16="","",IF(COUNTIF(J16:O16,"D")&gt;0,"Desiste",IF(IFERROR(P16,0)&gt;=Parametros!$B$1,"Aprueba","No aprueba")))</f>
        <v>Aprueba</v>
      </c>
      <c r="R16" s="12" t="s">
        <v>31</v>
      </c>
      <c r="T16">
        <f>IF($Q16="Aprueba",COUNTIF($Q$2:$Q16,"Aprueba"),"")</f>
        <v>7</v>
      </c>
    </row>
    <row r="17" spans="1:20" ht="15" customHeight="1">
      <c r="A17" s="11">
        <f t="shared" si="0"/>
        <v>16</v>
      </c>
      <c r="B17" s="12" t="s">
        <v>19</v>
      </c>
      <c r="C17" s="13">
        <v>46211</v>
      </c>
      <c r="D17" s="12" t="s">
        <v>20</v>
      </c>
      <c r="E17" s="14">
        <v>1000547797</v>
      </c>
      <c r="F17" s="12" t="s">
        <v>54</v>
      </c>
      <c r="G17" s="12" t="s">
        <v>55</v>
      </c>
      <c r="H17" s="15">
        <v>3112534635</v>
      </c>
      <c r="I17" s="12" t="s">
        <v>23</v>
      </c>
      <c r="J17" s="16">
        <v>5</v>
      </c>
      <c r="K17" s="16">
        <v>4</v>
      </c>
      <c r="L17" s="16">
        <v>2</v>
      </c>
      <c r="M17" s="16">
        <v>5</v>
      </c>
      <c r="N17" s="16">
        <v>5</v>
      </c>
      <c r="O17" s="16">
        <v>3</v>
      </c>
      <c r="P17" s="17">
        <f>IF(F17="","",IF(COUNTIF(J17:O17,"D")&gt;0,"",(IF(ISNUMBER(J17),J17,0)*Parametros!$K$4+IF(ISNUMBER(K17),K17,0)*Parametros!$K$5+IF(ISNUMBER(L17),L17,0)*Parametros!$K$6+IF(ISNUMBER(M17),M17,0)*Parametros!$K$7+IF(ISNUMBER(N17),N17,0)*Parametros!$K$8+IF(ISNUMBER(O17),O17,0)*Parametros!$K$9)/Parametros!$B$2))</f>
        <v>90</v>
      </c>
      <c r="Q17" s="3" t="str">
        <f>IF(F17="","",IF(COUNTIF(J17:O17,"D")&gt;0,"Desiste",IF(IFERROR(P17,0)&gt;=Parametros!$B$1,"Aprueba","No aprueba")))</f>
        <v>Aprueba</v>
      </c>
      <c r="R17" s="12"/>
      <c r="T17">
        <f>IF($Q17="Aprueba",COUNTIF($Q$2:$Q17,"Aprueba"),"")</f>
        <v>8</v>
      </c>
    </row>
    <row r="18" spans="1:20" ht="15" customHeight="1">
      <c r="A18" s="11">
        <f t="shared" si="0"/>
        <v>17</v>
      </c>
      <c r="B18" s="12" t="s">
        <v>19</v>
      </c>
      <c r="C18" s="13">
        <v>46211</v>
      </c>
      <c r="D18" s="12" t="s">
        <v>20</v>
      </c>
      <c r="E18" s="14">
        <v>1023867138</v>
      </c>
      <c r="F18" s="12" t="s">
        <v>56</v>
      </c>
      <c r="G18" s="12" t="s">
        <v>57</v>
      </c>
      <c r="H18" s="15">
        <v>3143600585</v>
      </c>
      <c r="I18" s="12" t="s">
        <v>23</v>
      </c>
      <c r="J18" s="16">
        <v>4</v>
      </c>
      <c r="K18" s="16">
        <v>4</v>
      </c>
      <c r="L18" s="16">
        <v>3</v>
      </c>
      <c r="M18" s="16">
        <v>3</v>
      </c>
      <c r="N18" s="16">
        <v>4</v>
      </c>
      <c r="O18" s="16">
        <v>2</v>
      </c>
      <c r="P18" s="17">
        <f>IF(F18="","",IF(COUNTIF(J18:O18,"D")&gt;0,"",(IF(ISNUMBER(J18),J18,0)*Parametros!$K$4+IF(ISNUMBER(K18),K18,0)*Parametros!$K$5+IF(ISNUMBER(L18),L18,0)*Parametros!$K$6+IF(ISNUMBER(M18),M18,0)*Parametros!$K$7+IF(ISNUMBER(N18),N18,0)*Parametros!$K$8+IF(ISNUMBER(O18),O18,0)*Parametros!$K$9)/Parametros!$B$2))</f>
        <v>72</v>
      </c>
      <c r="Q18" s="3" t="str">
        <f>IF(F18="","",IF(COUNTIF(J18:O18,"D")&gt;0,"Desiste",IF(IFERROR(P18,0)&gt;=Parametros!$B$1,"Aprueba","No aprueba")))</f>
        <v>Aprueba</v>
      </c>
      <c r="R18" s="12"/>
      <c r="T18">
        <f>IF($Q18="Aprueba",COUNTIF($Q$2:$Q18,"Aprueba"),"")</f>
        <v>9</v>
      </c>
    </row>
    <row r="19" spans="1:20" ht="15" customHeight="1">
      <c r="A19" s="11">
        <f t="shared" si="0"/>
        <v>18</v>
      </c>
      <c r="B19" s="12" t="s">
        <v>19</v>
      </c>
      <c r="C19" s="13">
        <v>46211</v>
      </c>
      <c r="D19" s="12" t="s">
        <v>20</v>
      </c>
      <c r="E19" s="14">
        <v>1000810776</v>
      </c>
      <c r="F19" s="12" t="s">
        <v>58</v>
      </c>
      <c r="G19" s="12" t="s">
        <v>59</v>
      </c>
      <c r="H19" s="15">
        <v>3204984051</v>
      </c>
      <c r="I19" s="12" t="s">
        <v>23</v>
      </c>
      <c r="J19" s="16">
        <v>4</v>
      </c>
      <c r="K19" s="16">
        <v>4</v>
      </c>
      <c r="L19" s="16">
        <v>2</v>
      </c>
      <c r="M19" s="16">
        <v>4</v>
      </c>
      <c r="N19" s="16">
        <v>4</v>
      </c>
      <c r="O19" s="16">
        <v>2</v>
      </c>
      <c r="P19" s="17">
        <f>IF(F19="","",IF(COUNTIF(J19:O19,"D")&gt;0,"",(IF(ISNUMBER(J19),J19,0)*Parametros!$K$4+IF(ISNUMBER(K19),K19,0)*Parametros!$K$5+IF(ISNUMBER(L19),L19,0)*Parametros!$K$6+IF(ISNUMBER(M19),M19,0)*Parametros!$K$7+IF(ISNUMBER(N19),N19,0)*Parametros!$K$8+IF(ISNUMBER(O19),O19,0)*Parametros!$K$9)/Parametros!$B$2))</f>
        <v>74</v>
      </c>
      <c r="Q19" s="3" t="str">
        <f>IF(F19="","",IF(COUNTIF(J19:O19,"D")&gt;0,"Desiste",IF(IFERROR(P19,0)&gt;=Parametros!$B$1,"Aprueba","No aprueba")))</f>
        <v>Aprueba</v>
      </c>
      <c r="R19" s="12"/>
      <c r="T19">
        <f>IF($Q19="Aprueba",COUNTIF($Q$2:$Q19,"Aprueba"),"")</f>
        <v>10</v>
      </c>
    </row>
    <row r="20" spans="1:20" ht="15" customHeight="1">
      <c r="A20" s="11">
        <f t="shared" si="0"/>
        <v>19</v>
      </c>
      <c r="B20" s="12" t="s">
        <v>19</v>
      </c>
      <c r="C20" s="13">
        <v>46211</v>
      </c>
      <c r="D20" s="12" t="s">
        <v>20</v>
      </c>
      <c r="E20" s="14">
        <v>1001271946</v>
      </c>
      <c r="F20" s="12" t="s">
        <v>60</v>
      </c>
      <c r="G20" s="12" t="s">
        <v>61</v>
      </c>
      <c r="H20" s="15">
        <v>3054399778</v>
      </c>
      <c r="I20" s="12" t="s">
        <v>23</v>
      </c>
      <c r="J20" s="16">
        <v>3</v>
      </c>
      <c r="K20" s="16">
        <v>5</v>
      </c>
      <c r="L20" s="16">
        <v>3</v>
      </c>
      <c r="M20" s="16">
        <v>3</v>
      </c>
      <c r="N20" s="16">
        <v>4</v>
      </c>
      <c r="O20" s="16">
        <v>3</v>
      </c>
      <c r="P20" s="17">
        <f>IF(F20="","",IF(COUNTIF(J20:O20,"D")&gt;0,"",(IF(ISNUMBER(J20),J20,0)*Parametros!$K$4+IF(ISNUMBER(K20),K20,0)*Parametros!$K$5+IF(ISNUMBER(L20),L20,0)*Parametros!$K$6+IF(ISNUMBER(M20),M20,0)*Parametros!$K$7+IF(ISNUMBER(N20),N20,0)*Parametros!$K$8+IF(ISNUMBER(O20),O20,0)*Parametros!$K$9)/Parametros!$B$2))</f>
        <v>74</v>
      </c>
      <c r="Q20" s="3" t="str">
        <f>IF(F20="","",IF(COUNTIF(J20:O20,"D")&gt;0,"Desiste",IF(IFERROR(P20,0)&gt;=Parametros!$B$1,"Aprueba","No aprueba")))</f>
        <v>Aprueba</v>
      </c>
      <c r="R20" s="12" t="s">
        <v>62</v>
      </c>
      <c r="T20">
        <f>IF($Q20="Aprueba",COUNTIF($Q$2:$Q20,"Aprueba"),"")</f>
        <v>11</v>
      </c>
    </row>
    <row r="21" spans="1:20" ht="15" customHeight="1">
      <c r="A21" s="11">
        <f t="shared" si="0"/>
        <v>20</v>
      </c>
      <c r="B21" s="12" t="s">
        <v>19</v>
      </c>
      <c r="C21" s="13">
        <v>46211</v>
      </c>
      <c r="D21" s="12" t="s">
        <v>20</v>
      </c>
      <c r="E21" s="14">
        <v>1117813165</v>
      </c>
      <c r="F21" s="12" t="s">
        <v>63</v>
      </c>
      <c r="G21" s="12" t="s">
        <v>64</v>
      </c>
      <c r="H21" s="15">
        <v>3506517824</v>
      </c>
      <c r="I21" s="12" t="s">
        <v>23</v>
      </c>
      <c r="J21" s="16">
        <v>5</v>
      </c>
      <c r="K21" s="16">
        <v>5</v>
      </c>
      <c r="L21" s="16">
        <v>3</v>
      </c>
      <c r="M21" s="16">
        <v>5</v>
      </c>
      <c r="N21" s="16">
        <v>5</v>
      </c>
      <c r="O21" s="16">
        <v>3</v>
      </c>
      <c r="P21" s="17">
        <f>IF(F21="","",IF(COUNTIF(J21:O21,"D")&gt;0,"",(IF(ISNUMBER(J21),J21,0)*Parametros!$K$4+IF(ISNUMBER(K21),K21,0)*Parametros!$K$5+IF(ISNUMBER(L21),L21,0)*Parametros!$K$6+IF(ISNUMBER(M21),M21,0)*Parametros!$K$7+IF(ISNUMBER(N21),N21,0)*Parametros!$K$8+IF(ISNUMBER(O21),O21,0)*Parametros!$K$9)/Parametros!$B$2))</f>
        <v>94</v>
      </c>
      <c r="Q21" s="3" t="str">
        <f>IF(F21="","",IF(COUNTIF(J21:O21,"D")&gt;0,"Desiste",IF(IFERROR(P21,0)&gt;=Parametros!$B$1,"Aprueba","No aprueba")))</f>
        <v>Aprueba</v>
      </c>
      <c r="R21" s="12"/>
      <c r="T21">
        <f>IF($Q21="Aprueba",COUNTIF($Q$2:$Q21,"Aprueba"),"")</f>
        <v>12</v>
      </c>
    </row>
    <row r="22" spans="1:20" ht="15" customHeight="1">
      <c r="A22" s="11">
        <f t="shared" si="0"/>
        <v>21</v>
      </c>
      <c r="B22" s="12" t="s">
        <v>19</v>
      </c>
      <c r="C22" s="13">
        <v>46211</v>
      </c>
      <c r="D22" s="12" t="s">
        <v>20</v>
      </c>
      <c r="E22" s="14">
        <v>1045686807</v>
      </c>
      <c r="F22" s="12" t="s">
        <v>65</v>
      </c>
      <c r="G22" s="12" t="s">
        <v>66</v>
      </c>
      <c r="H22" s="15">
        <v>3017718956</v>
      </c>
      <c r="I22" s="12" t="s">
        <v>23</v>
      </c>
      <c r="J22" s="16">
        <v>4</v>
      </c>
      <c r="K22" s="16">
        <v>3</v>
      </c>
      <c r="L22" s="16">
        <v>5</v>
      </c>
      <c r="M22" s="16">
        <v>4</v>
      </c>
      <c r="N22" s="16">
        <v>2</v>
      </c>
      <c r="O22" s="16">
        <v>2</v>
      </c>
      <c r="P22" s="17">
        <f>IF(F22="","",IF(COUNTIF(J22:O22,"D")&gt;0,"",(IF(ISNUMBER(J22),J22,0)*Parametros!$K$4+IF(ISNUMBER(K22),K22,0)*Parametros!$K$5+IF(ISNUMBER(L22),L22,0)*Parametros!$K$6+IF(ISNUMBER(M22),M22,0)*Parametros!$K$7+IF(ISNUMBER(N22),N22,0)*Parametros!$K$8+IF(ISNUMBER(O22),O22,0)*Parametros!$K$9)/Parametros!$B$2))</f>
        <v>58</v>
      </c>
      <c r="Q22" s="3" t="str">
        <f>IF(F22="","",IF(COUNTIF(J22:O22,"D")&gt;0,"Desiste",IF(IFERROR(P22,0)&gt;=Parametros!$B$1,"Aprueba","No aprueba")))</f>
        <v>No aprueba</v>
      </c>
      <c r="R22" s="12" t="s">
        <v>67</v>
      </c>
      <c r="T22" t="str">
        <f>IF($Q22="Aprueba",COUNTIF($Q$2:$Q22,"Aprueba"),"")</f>
        <v/>
      </c>
    </row>
    <row r="23" spans="1:20" ht="15" customHeight="1">
      <c r="A23" s="11">
        <f t="shared" si="0"/>
        <v>22</v>
      </c>
      <c r="B23" s="12" t="s">
        <v>19</v>
      </c>
      <c r="C23" s="13">
        <v>46211</v>
      </c>
      <c r="D23" s="12" t="s">
        <v>20</v>
      </c>
      <c r="E23" s="14">
        <v>1070595836</v>
      </c>
      <c r="F23" s="12" t="s">
        <v>68</v>
      </c>
      <c r="G23" s="12" t="s">
        <v>69</v>
      </c>
      <c r="H23" s="15">
        <v>3229087879</v>
      </c>
      <c r="I23" s="12" t="s">
        <v>23</v>
      </c>
      <c r="J23" s="16">
        <v>4</v>
      </c>
      <c r="K23" s="16">
        <v>4</v>
      </c>
      <c r="L23" s="16">
        <v>3</v>
      </c>
      <c r="M23" s="16">
        <v>5</v>
      </c>
      <c r="N23" s="16">
        <v>5</v>
      </c>
      <c r="O23" s="16">
        <v>3</v>
      </c>
      <c r="P23" s="17">
        <f>IF(F23="","",IF(COUNTIF(J23:O23,"D")&gt;0,"",(IF(ISNUMBER(J23),J23,0)*Parametros!$K$4+IF(ISNUMBER(K23),K23,0)*Parametros!$K$5+IF(ISNUMBER(L23),L23,0)*Parametros!$K$6+IF(ISNUMBER(M23),M23,0)*Parametros!$K$7+IF(ISNUMBER(N23),N23,0)*Parametros!$K$8+IF(ISNUMBER(O23),O23,0)*Parametros!$K$9)/Parametros!$B$2))</f>
        <v>91</v>
      </c>
      <c r="Q23" s="3" t="str">
        <f>IF(F23="","",IF(COUNTIF(J23:O23,"D")&gt;0,"Desiste",IF(IFERROR(P23,0)&gt;=Parametros!$B$1,"Aprueba","No aprueba")))</f>
        <v>Aprueba</v>
      </c>
      <c r="R23" s="12"/>
      <c r="T23">
        <f>IF($Q23="Aprueba",COUNTIF($Q$2:$Q23,"Aprueba"),"")</f>
        <v>13</v>
      </c>
    </row>
    <row r="24" spans="1:20" ht="15" customHeight="1">
      <c r="A24" s="11">
        <f t="shared" si="0"/>
        <v>23</v>
      </c>
      <c r="B24" s="12" t="s">
        <v>19</v>
      </c>
      <c r="C24" s="13">
        <v>46211</v>
      </c>
      <c r="D24" s="12" t="s">
        <v>20</v>
      </c>
      <c r="E24" s="14">
        <v>1140850536</v>
      </c>
      <c r="F24" s="12" t="s">
        <v>70</v>
      </c>
      <c r="G24" s="12" t="s">
        <v>71</v>
      </c>
      <c r="H24" s="15">
        <v>3028092333</v>
      </c>
      <c r="I24" s="12" t="s">
        <v>23</v>
      </c>
      <c r="J24" s="16">
        <v>3</v>
      </c>
      <c r="K24" s="16">
        <v>3</v>
      </c>
      <c r="L24" s="16">
        <v>2</v>
      </c>
      <c r="M24" s="16">
        <v>3</v>
      </c>
      <c r="N24" s="16">
        <v>3</v>
      </c>
      <c r="O24" s="16">
        <v>1</v>
      </c>
      <c r="P24" s="17">
        <f>IF(F24="","",IF(COUNTIF(J24:O24,"D")&gt;0,"",(IF(ISNUMBER(J24),J24,0)*Parametros!$K$4+IF(ISNUMBER(K24),K24,0)*Parametros!$K$5+IF(ISNUMBER(L24),L24,0)*Parametros!$K$6+IF(ISNUMBER(M24),M24,0)*Parametros!$K$7+IF(ISNUMBER(N24),N24,0)*Parametros!$K$8+IF(ISNUMBER(O24),O24,0)*Parametros!$K$9)/Parametros!$B$2))</f>
        <v>56</v>
      </c>
      <c r="Q24" s="3" t="str">
        <f>IF(F24="","",IF(COUNTIF(J24:O24,"D")&gt;0,"Desiste",IF(IFERROR(P24,0)&gt;=Parametros!$B$1,"Aprueba","No aprueba")))</f>
        <v>No aprueba</v>
      </c>
      <c r="R24" s="12" t="s">
        <v>72</v>
      </c>
      <c r="T24" t="str">
        <f>IF($Q24="Aprueba",COUNTIF($Q$2:$Q24,"Aprueba"),"")</f>
        <v/>
      </c>
    </row>
    <row r="25" spans="1:20" ht="15" customHeight="1">
      <c r="A25" s="11">
        <f t="shared" si="0"/>
        <v>24</v>
      </c>
      <c r="B25" s="12" t="s">
        <v>19</v>
      </c>
      <c r="C25" s="13">
        <v>46211</v>
      </c>
      <c r="D25" s="12" t="s">
        <v>20</v>
      </c>
      <c r="E25" s="14">
        <v>1073709574</v>
      </c>
      <c r="F25" s="12" t="s">
        <v>73</v>
      </c>
      <c r="G25" s="12" t="s">
        <v>74</v>
      </c>
      <c r="H25" s="15">
        <v>3138749486</v>
      </c>
      <c r="I25" s="12" t="s">
        <v>23</v>
      </c>
      <c r="J25" s="16">
        <v>4</v>
      </c>
      <c r="K25" s="16">
        <v>4</v>
      </c>
      <c r="L25" s="16">
        <v>3</v>
      </c>
      <c r="M25" s="16">
        <v>3</v>
      </c>
      <c r="N25" s="16">
        <v>2</v>
      </c>
      <c r="O25" s="16">
        <v>4</v>
      </c>
      <c r="P25" s="17">
        <f>IF(F25="","",IF(COUNTIF(J25:O25,"D")&gt;0,"",(IF(ISNUMBER(J25),J25,0)*Parametros!$K$4+IF(ISNUMBER(K25),K25,0)*Parametros!$K$5+IF(ISNUMBER(L25),L25,0)*Parametros!$K$6+IF(ISNUMBER(M25),M25,0)*Parametros!$K$7+IF(ISNUMBER(N25),N25,0)*Parametros!$K$8+IF(ISNUMBER(O25),O25,0)*Parametros!$K$9)/Parametros!$B$2))</f>
        <v>54</v>
      </c>
      <c r="Q25" s="3" t="str">
        <f>IF(F25="","",IF(COUNTIF(J25:O25,"D")&gt;0,"Desiste",IF(IFERROR(P25,0)&gt;=Parametros!$B$1,"Aprueba","No aprueba")))</f>
        <v>No aprueba</v>
      </c>
      <c r="R25" s="12"/>
      <c r="T25" t="str">
        <f>IF($Q25="Aprueba",COUNTIF($Q$2:$Q25,"Aprueba"),"")</f>
        <v/>
      </c>
    </row>
    <row r="26" spans="1:20" ht="15" customHeight="1">
      <c r="A26" s="18">
        <f t="shared" si="0"/>
        <v>25</v>
      </c>
      <c r="B26" s="19" t="s">
        <v>75</v>
      </c>
      <c r="C26" s="20">
        <v>46224</v>
      </c>
      <c r="D26" s="21" t="s">
        <v>20</v>
      </c>
      <c r="E26" s="22">
        <v>1001187759</v>
      </c>
      <c r="F26" s="23" t="s">
        <v>76</v>
      </c>
      <c r="G26" s="24" t="s">
        <v>77</v>
      </c>
      <c r="H26" s="24">
        <v>3124832044</v>
      </c>
      <c r="I26" s="19" t="s">
        <v>78</v>
      </c>
      <c r="J26" s="25">
        <v>4</v>
      </c>
      <c r="K26" s="25">
        <v>4</v>
      </c>
      <c r="L26" s="25">
        <v>3</v>
      </c>
      <c r="M26" s="25">
        <v>3</v>
      </c>
      <c r="N26" s="25">
        <v>5</v>
      </c>
      <c r="O26" s="25">
        <v>4</v>
      </c>
      <c r="P26" s="26">
        <v>4</v>
      </c>
      <c r="Q26" s="3" t="str">
        <f>IF(F26="","",IF(COUNTIF(J26:O26,"D")&gt;0,"Desiste",IF(IFERROR(P26,0)&gt;=Parametros!$B$1,"Aprueba","No aprueba")))</f>
        <v>No aprueba</v>
      </c>
      <c r="R26" s="19"/>
      <c r="T26" t="str">
        <f>IF($Q26="Aprueba",COUNTIF($Q$2:$Q26,"Aprueba"),"")</f>
        <v/>
      </c>
    </row>
    <row r="27" spans="1:20" ht="15" customHeight="1">
      <c r="A27" s="18">
        <f t="shared" si="0"/>
        <v>26</v>
      </c>
      <c r="B27" s="19" t="s">
        <v>75</v>
      </c>
      <c r="C27" s="20">
        <v>46224</v>
      </c>
      <c r="D27" s="21" t="s">
        <v>20</v>
      </c>
      <c r="E27" s="27">
        <v>1012455544</v>
      </c>
      <c r="F27" s="24" t="s">
        <v>79</v>
      </c>
      <c r="G27" s="24" t="s">
        <v>80</v>
      </c>
      <c r="H27" s="24">
        <v>3227861878</v>
      </c>
      <c r="I27" s="19" t="s">
        <v>78</v>
      </c>
      <c r="J27" s="25">
        <v>4</v>
      </c>
      <c r="K27" s="25">
        <v>3</v>
      </c>
      <c r="L27" s="25">
        <v>3</v>
      </c>
      <c r="M27" s="25">
        <v>4</v>
      </c>
      <c r="N27" s="25">
        <v>4</v>
      </c>
      <c r="O27" s="25">
        <v>4</v>
      </c>
      <c r="P27" s="26">
        <f>IF(F27="","",IF(COUNTIF(J27:O27,"D")&gt;0,"",(IF(ISNUMBER(J27),J27,0)*Parametros!$K$4+IF(ISNUMBER(K27),K27,0)*Parametros!$K$5+IF(ISNUMBER(M27),M27,0)*Parametros!$K$6+IF(ISNUMBER(N27),N27,0)*Parametros!$K$7+IF(ISNUMBER(O27),O27,0)*Parametros!$K$8)/Parametros!$B$2))</f>
        <v>74</v>
      </c>
      <c r="Q27" s="3" t="str">
        <f>IF(F27="","",IF(COUNTIF(J27:O27,"D")&gt;0,"Desiste",IF(IFERROR(P27,0)&gt;=Parametros!$B$1,"Aprueba","No aprueba")))</f>
        <v>Aprueba</v>
      </c>
      <c r="R27" s="19"/>
      <c r="T27">
        <f>IF($Q27="Aprueba",COUNTIF($Q$2:$Q27,"Aprueba"),"")</f>
        <v>14</v>
      </c>
    </row>
    <row r="28" spans="1:20" ht="15" customHeight="1">
      <c r="A28" s="18">
        <f t="shared" si="0"/>
        <v>27</v>
      </c>
      <c r="B28" s="19" t="s">
        <v>75</v>
      </c>
      <c r="C28" s="20">
        <v>46224</v>
      </c>
      <c r="D28" s="21" t="s">
        <v>20</v>
      </c>
      <c r="E28" s="27">
        <v>1001056755</v>
      </c>
      <c r="F28" s="24" t="s">
        <v>81</v>
      </c>
      <c r="G28" s="24" t="s">
        <v>82</v>
      </c>
      <c r="H28" s="24">
        <v>3123926446</v>
      </c>
      <c r="I28" s="19" t="s">
        <v>78</v>
      </c>
      <c r="J28" s="25">
        <v>3</v>
      </c>
      <c r="K28" s="25">
        <v>3</v>
      </c>
      <c r="L28" s="25">
        <v>2</v>
      </c>
      <c r="M28" s="25">
        <v>2</v>
      </c>
      <c r="N28" s="25">
        <v>4</v>
      </c>
      <c r="O28" s="25">
        <v>3</v>
      </c>
      <c r="P28" s="26">
        <f>IF(F28="","",IF(COUNTIF(J28:O28,"D")&gt;0,"",(IF(ISNUMBER(J28),J28,0)*Parametros!$K$4+IF(ISNUMBER(K28),K28,0)*Parametros!$K$5+IF(ISNUMBER(M28),M28,0)*Parametros!$K$6+IF(ISNUMBER(N28),N28,0)*Parametros!$K$7+IF(ISNUMBER(O28),O28,0)*Parametros!$K$8)/Parametros!$B$2))</f>
        <v>59</v>
      </c>
      <c r="Q28" s="3" t="str">
        <f>IF(F28="","",IF(COUNTIF(J28:O28,"D")&gt;0,"Desiste",IF(IFERROR(P28,0)&gt;=Parametros!$B$1,"Aprueba","No aprueba")))</f>
        <v>No aprueba</v>
      </c>
      <c r="R28" s="19"/>
      <c r="T28" t="str">
        <f>IF($Q28="Aprueba",COUNTIF($Q$2:$Q28,"Aprueba"),"")</f>
        <v/>
      </c>
    </row>
    <row r="29" spans="1:20" ht="15" customHeight="1">
      <c r="A29" s="18">
        <f t="shared" si="0"/>
        <v>28</v>
      </c>
      <c r="B29" s="19" t="s">
        <v>75</v>
      </c>
      <c r="C29" s="20">
        <v>46224</v>
      </c>
      <c r="D29" s="21" t="s">
        <v>20</v>
      </c>
      <c r="E29" s="27">
        <v>1000328420</v>
      </c>
      <c r="F29" s="24" t="s">
        <v>83</v>
      </c>
      <c r="G29" s="21" t="s">
        <v>84</v>
      </c>
      <c r="H29" s="24">
        <v>3223167270</v>
      </c>
      <c r="I29" s="19" t="s">
        <v>78</v>
      </c>
      <c r="J29" s="25">
        <v>3</v>
      </c>
      <c r="K29" s="25">
        <v>3</v>
      </c>
      <c r="L29" s="25">
        <v>4</v>
      </c>
      <c r="M29" s="25">
        <v>3</v>
      </c>
      <c r="N29" s="25">
        <v>5</v>
      </c>
      <c r="O29" s="25">
        <v>2</v>
      </c>
      <c r="P29" s="26">
        <f>IF(F29="","",IF(COUNTIF(J29:O29,"D")&gt;0,"",(IF(ISNUMBER(J29),J29,0)*Parametros!$K$4+IF(ISNUMBER(K29),K29,0)*Parametros!$K$5+IF(ISNUMBER(M29),M29,0)*Parametros!$K$6+IF(ISNUMBER(N29),N29,0)*Parametros!$K$7+IF(ISNUMBER(O29),O29,0)*Parametros!$K$8)/Parametros!$B$2))</f>
        <v>55</v>
      </c>
      <c r="Q29" s="3" t="str">
        <f>IF(F29="","",IF(COUNTIF(J29:O29,"D")&gt;0,"Desiste",IF(IFERROR(P29,0)&gt;=Parametros!$B$1,"Aprueba","No aprueba")))</f>
        <v>No aprueba</v>
      </c>
      <c r="R29" s="19"/>
      <c r="T29" t="str">
        <f>IF($Q29="Aprueba",COUNTIF($Q$2:$Q29,"Aprueba"),"")</f>
        <v/>
      </c>
    </row>
    <row r="30" spans="1:20" ht="15" customHeight="1">
      <c r="A30" s="18">
        <f t="shared" si="0"/>
        <v>29</v>
      </c>
      <c r="B30" s="19" t="s">
        <v>75</v>
      </c>
      <c r="C30" s="20">
        <v>46224</v>
      </c>
      <c r="D30" s="21" t="s">
        <v>20</v>
      </c>
      <c r="E30" s="27">
        <v>1006118253</v>
      </c>
      <c r="F30" s="24" t="s">
        <v>85</v>
      </c>
      <c r="G30" s="24" t="s">
        <v>86</v>
      </c>
      <c r="H30" s="24">
        <v>3012268430</v>
      </c>
      <c r="I30" s="19" t="s">
        <v>78</v>
      </c>
      <c r="J30" s="25">
        <v>4</v>
      </c>
      <c r="K30" s="25">
        <v>4</v>
      </c>
      <c r="L30" s="25">
        <v>4</v>
      </c>
      <c r="M30" s="25">
        <v>4</v>
      </c>
      <c r="N30" s="25">
        <v>5</v>
      </c>
      <c r="O30" s="25">
        <v>3</v>
      </c>
      <c r="P30" s="26">
        <f>IF(F30="","",IF(COUNTIF(J30:O30,"D")&gt;0,"",(IF(ISNUMBER(J30),J30,0)*Parametros!$K$4+IF(ISNUMBER(K30),K30,0)*Parametros!$K$5+IF(ISNUMBER(M30),M30,0)*Parametros!$K$6+IF(ISNUMBER(N30),N30,0)*Parametros!$K$7+IF(ISNUMBER(O30),O30,0)*Parametros!$K$8)/Parametros!$B$2))</f>
        <v>70</v>
      </c>
      <c r="Q30" s="3" t="str">
        <f>IF(F30="","",IF(COUNTIF(J30:O30,"D")&gt;0,"Desiste",IF(IFERROR(P30,0)&gt;=Parametros!$B$1,"Aprueba","No aprueba")))</f>
        <v>Aprueba</v>
      </c>
      <c r="R30" s="19"/>
      <c r="T30">
        <f>IF($Q30="Aprueba",COUNTIF($Q$2:$Q30,"Aprueba"),"")</f>
        <v>15</v>
      </c>
    </row>
    <row r="31" spans="1:20" ht="15" customHeight="1">
      <c r="A31" s="18">
        <f t="shared" si="0"/>
        <v>30</v>
      </c>
      <c r="B31" s="19" t="s">
        <v>75</v>
      </c>
      <c r="C31" s="20">
        <v>46224</v>
      </c>
      <c r="D31" s="21" t="s">
        <v>20</v>
      </c>
      <c r="E31" s="27">
        <v>1073671475</v>
      </c>
      <c r="F31" s="24" t="s">
        <v>87</v>
      </c>
      <c r="G31" s="24" t="s">
        <v>88</v>
      </c>
      <c r="H31" s="24">
        <v>3147647259</v>
      </c>
      <c r="I31" s="19" t="s">
        <v>78</v>
      </c>
      <c r="J31" s="25"/>
      <c r="K31" s="25" t="s">
        <v>177</v>
      </c>
      <c r="L31" s="25" t="s">
        <v>177</v>
      </c>
      <c r="M31" s="25" t="s">
        <v>177</v>
      </c>
      <c r="N31" s="25" t="s">
        <v>177</v>
      </c>
      <c r="O31" s="25" t="s">
        <v>177</v>
      </c>
      <c r="P31" s="26" t="str">
        <f>IF(F31="","",IF(COUNTIF(J31:O31,"D")&gt;0,"",(IF(ISNUMBER(J31),J31,0)*Parametros!$K$4+IF(ISNUMBER(K31),K31,0)*Parametros!$K$5+IF(ISNUMBER(M31),M31,0)*Parametros!$K$6+IF(ISNUMBER(N31),N31,0)*Parametros!$K$7+IF(ISNUMBER(O31),O31,0)*Parametros!$K$8)/Parametros!$B$2))</f>
        <v/>
      </c>
      <c r="Q31" s="3" t="str">
        <f>IF(F31="","",IF(COUNTIF(J31:O31,"D")&gt;0,"Desiste",IF(IFERROR(P31,0)&gt;=Parametros!$B$1,"Aprueba","No aprueba")))</f>
        <v>Desiste</v>
      </c>
      <c r="R31" s="19"/>
      <c r="T31" t="str">
        <f>IF($Q31="Aprueba",COUNTIF($Q$2:$Q31,"Aprueba"),"")</f>
        <v/>
      </c>
    </row>
    <row r="32" spans="1:20" ht="15" customHeight="1">
      <c r="A32" s="18">
        <f t="shared" si="0"/>
        <v>31</v>
      </c>
      <c r="B32" s="19" t="s">
        <v>75</v>
      </c>
      <c r="C32" s="20">
        <v>46224</v>
      </c>
      <c r="D32" s="21" t="s">
        <v>20</v>
      </c>
      <c r="E32" s="27">
        <v>1013670551</v>
      </c>
      <c r="F32" s="24" t="s">
        <v>89</v>
      </c>
      <c r="G32" s="24" t="s">
        <v>90</v>
      </c>
      <c r="H32" s="24">
        <v>3244759449</v>
      </c>
      <c r="I32" s="19" t="s">
        <v>78</v>
      </c>
      <c r="J32" s="25">
        <v>3</v>
      </c>
      <c r="K32" s="25">
        <v>3</v>
      </c>
      <c r="L32" s="25">
        <v>3</v>
      </c>
      <c r="M32" s="25">
        <v>4</v>
      </c>
      <c r="N32" s="28">
        <v>5</v>
      </c>
      <c r="O32" s="25">
        <v>2</v>
      </c>
      <c r="P32" s="26">
        <f>IF(F32="","",IF(COUNTIF(J32:O32,"D")&gt;0,"",(IF(ISNUMBER(J32),J32,0)*Parametros!$K$4+IF(ISNUMBER(K32),K32,0)*Parametros!$K$5+IF(ISNUMBER(M32),M32,0)*Parametros!$K$6+IF(ISNUMBER(N32),N32,0)*Parametros!$K$7+IF(ISNUMBER(O32),O32,0)*Parametros!$K$8)/Parametros!$B$2))</f>
        <v>57</v>
      </c>
      <c r="Q32" s="3" t="str">
        <f>IF(F32="","",IF(COUNTIF(J32:O32,"D")&gt;0,"Desiste",IF(IFERROR(P32,0)&gt;=Parametros!$B$1,"Aprueba","No aprueba")))</f>
        <v>No aprueba</v>
      </c>
      <c r="R32" s="19"/>
      <c r="T32" t="str">
        <f>IF($Q32="Aprueba",COUNTIF($Q$2:$Q32,"Aprueba"),"")</f>
        <v/>
      </c>
    </row>
    <row r="33" spans="1:20" ht="15" customHeight="1">
      <c r="A33" s="18">
        <f t="shared" si="0"/>
        <v>32</v>
      </c>
      <c r="B33" s="19" t="s">
        <v>75</v>
      </c>
      <c r="C33" s="20">
        <v>46224</v>
      </c>
      <c r="D33" s="21" t="s">
        <v>20</v>
      </c>
      <c r="E33" s="27">
        <v>1007343398</v>
      </c>
      <c r="F33" s="24" t="s">
        <v>91</v>
      </c>
      <c r="G33" s="24" t="s">
        <v>92</v>
      </c>
      <c r="H33" s="24">
        <v>3026595949</v>
      </c>
      <c r="I33" s="19" t="s">
        <v>78</v>
      </c>
      <c r="J33" s="25">
        <v>4</v>
      </c>
      <c r="K33" s="25">
        <v>4</v>
      </c>
      <c r="L33" s="25">
        <v>3</v>
      </c>
      <c r="M33" s="25">
        <v>3</v>
      </c>
      <c r="N33" s="29">
        <v>4</v>
      </c>
      <c r="O33" s="25">
        <v>4</v>
      </c>
      <c r="P33" s="26">
        <f>IF(F33="","",IF(COUNTIF(J33:O33,"D")&gt;0,"",(IF(ISNUMBER(J33),J33,0)*Parametros!$K$4+IF(ISNUMBER(K33),K33,0)*Parametros!$K$5+IF(ISNUMBER(M33),M33,0)*Parametros!$K$6+IF(ISNUMBER(N33),N33,0)*Parametros!$K$7+IF(ISNUMBER(O33),O33,0)*Parametros!$K$8)/Parametros!$B$2))</f>
        <v>74</v>
      </c>
      <c r="Q33" s="3" t="str">
        <f>IF(F33="","",IF(COUNTIF(J33:O33,"D")&gt;0,"Desiste",IF(IFERROR(P33,0)&gt;=Parametros!$B$1,"Aprueba","No aprueba")))</f>
        <v>Aprueba</v>
      </c>
      <c r="R33" s="19"/>
      <c r="T33">
        <f>IF($Q33="Aprueba",COUNTIF($Q$2:$Q33,"Aprueba"),"")</f>
        <v>16</v>
      </c>
    </row>
    <row r="34" spans="1:20" ht="15" customHeight="1">
      <c r="A34" s="18">
        <f t="shared" ref="A34:A65" si="1">IF(F34="","",ROW()-1)</f>
        <v>33</v>
      </c>
      <c r="B34" s="19" t="s">
        <v>75</v>
      </c>
      <c r="C34" s="20">
        <v>46224</v>
      </c>
      <c r="D34" s="21" t="s">
        <v>20</v>
      </c>
      <c r="E34" s="27">
        <v>1007845676</v>
      </c>
      <c r="F34" s="24" t="s">
        <v>93</v>
      </c>
      <c r="G34" s="24" t="s">
        <v>94</v>
      </c>
      <c r="H34" s="24">
        <v>3223299162</v>
      </c>
      <c r="I34" s="19" t="s">
        <v>78</v>
      </c>
      <c r="J34" s="25">
        <v>4</v>
      </c>
      <c r="K34" s="25">
        <v>4</v>
      </c>
      <c r="L34" s="25">
        <v>3</v>
      </c>
      <c r="M34" s="25">
        <v>3</v>
      </c>
      <c r="N34" s="25">
        <v>3</v>
      </c>
      <c r="O34" s="25">
        <v>2</v>
      </c>
      <c r="P34" s="26">
        <f>IF(F34="","",IF(COUNTIF(J34:O34,"D")&gt;0,"",(IF(ISNUMBER(J34),J34,0)*Parametros!$K$4+IF(ISNUMBER(K34),K34,0)*Parametros!$K$5+IF(ISNUMBER(M34),M34,0)*Parametros!$K$6+IF(ISNUMBER(N34),N34,0)*Parametros!$K$7+IF(ISNUMBER(O34),O34,0)*Parametros!$K$8)/Parametros!$B$2))</f>
        <v>50</v>
      </c>
      <c r="Q34" s="3" t="str">
        <f>IF(F34="","",IF(COUNTIF(J34:O34,"D")&gt;0,"Desiste",IF(IFERROR(P34,0)&gt;=Parametros!$B$1,"Aprueba","No aprueba")))</f>
        <v>No aprueba</v>
      </c>
      <c r="R34" s="19"/>
      <c r="T34" t="str">
        <f>IF($Q34="Aprueba",COUNTIF($Q$2:$Q34,"Aprueba"),"")</f>
        <v/>
      </c>
    </row>
    <row r="35" spans="1:20" ht="15" customHeight="1">
      <c r="A35" s="18">
        <f t="shared" si="1"/>
        <v>34</v>
      </c>
      <c r="B35" s="19" t="s">
        <v>75</v>
      </c>
      <c r="C35" s="20">
        <v>46224</v>
      </c>
      <c r="D35" s="21" t="s">
        <v>20</v>
      </c>
      <c r="E35" s="27">
        <v>1033772502</v>
      </c>
      <c r="F35" s="24" t="s">
        <v>95</v>
      </c>
      <c r="G35" s="24" t="s">
        <v>96</v>
      </c>
      <c r="H35" s="24">
        <v>3025718737</v>
      </c>
      <c r="I35" s="19" t="s">
        <v>78</v>
      </c>
      <c r="J35" s="25">
        <v>4</v>
      </c>
      <c r="K35" s="25">
        <v>4</v>
      </c>
      <c r="L35" s="25">
        <v>2</v>
      </c>
      <c r="M35" s="25">
        <v>2</v>
      </c>
      <c r="N35" s="25">
        <v>4</v>
      </c>
      <c r="O35" s="25">
        <v>2</v>
      </c>
      <c r="P35" s="26">
        <f>IF(F35="","",IF(COUNTIF(J35:O35,"D")&gt;0,"",(IF(ISNUMBER(J35),J35,0)*Parametros!$K$4+IF(ISNUMBER(K35),K35,0)*Parametros!$K$5+IF(ISNUMBER(M35),M35,0)*Parametros!$K$6+IF(ISNUMBER(N35),N35,0)*Parametros!$K$7+IF(ISNUMBER(O35),O35,0)*Parametros!$K$8)/Parametros!$B$2))</f>
        <v>52</v>
      </c>
      <c r="Q35" s="3" t="str">
        <f>IF(F35="","",IF(COUNTIF(J35:O35,"D")&gt;0,"Desiste",IF(IFERROR(P35,0)&gt;=Parametros!$B$1,"Aprueba","No aprueba")))</f>
        <v>No aprueba</v>
      </c>
      <c r="R35" s="19"/>
      <c r="T35" t="str">
        <f>IF($Q35="Aprueba",COUNTIF($Q$2:$Q35,"Aprueba"),"")</f>
        <v/>
      </c>
    </row>
    <row r="36" spans="1:20" ht="15" customHeight="1">
      <c r="A36" s="18">
        <f t="shared" si="1"/>
        <v>35</v>
      </c>
      <c r="B36" s="19" t="s">
        <v>75</v>
      </c>
      <c r="C36" s="20">
        <v>46230</v>
      </c>
      <c r="D36" s="19" t="s">
        <v>20</v>
      </c>
      <c r="E36" s="22" t="s">
        <v>178</v>
      </c>
      <c r="F36" s="74" t="s">
        <v>179</v>
      </c>
      <c r="G36" s="74" t="s">
        <v>180</v>
      </c>
      <c r="H36" s="75" t="s">
        <v>181</v>
      </c>
      <c r="I36" s="19" t="s">
        <v>114</v>
      </c>
      <c r="J36" s="25">
        <v>5</v>
      </c>
      <c r="K36" s="25">
        <v>5</v>
      </c>
      <c r="L36" s="25">
        <v>3</v>
      </c>
      <c r="M36" s="25">
        <v>3</v>
      </c>
      <c r="N36" s="25">
        <v>4</v>
      </c>
      <c r="O36" s="25">
        <v>2</v>
      </c>
      <c r="P36" s="31">
        <f>IF(F36="","",IF(COUNTIF(J36:O36,"D")&gt;0,"",(IF(ISNUMBER(J36),J36,0)*Parametros!$K$4+IF(ISNUMBER(K36),K36,0)*Parametros!$K$5+IF(ISNUMBER(M36),M36,0)*Parametros!$K$6+IF(ISNUMBER(N36),N36,0)*Parametros!$K$7+IF(ISNUMBER(O36),O36,0)*Parametros!$K$8)/Parametros!$B$2))</f>
        <v>57</v>
      </c>
      <c r="Q36" s="3" t="str">
        <f>IF(F36="","",IF(COUNTIF(J36:O36,"D")&gt;0,"Desiste",IF(IFERROR(P36,0)&gt;=Parametros!$B$1,"Aprueba","No aprueba")))</f>
        <v>No aprueba</v>
      </c>
      <c r="R36" s="19"/>
      <c r="T36" t="str">
        <f>IF($Q36="Aprueba",COUNTIF($Q$2:$Q36,"Aprueba"),"")</f>
        <v/>
      </c>
    </row>
    <row r="37" spans="1:20" ht="15" customHeight="1">
      <c r="A37" s="18">
        <f t="shared" si="1"/>
        <v>36</v>
      </c>
      <c r="B37" s="19" t="s">
        <v>75</v>
      </c>
      <c r="C37" s="20">
        <v>46230</v>
      </c>
      <c r="D37" s="19" t="s">
        <v>20</v>
      </c>
      <c r="E37" s="22" t="s">
        <v>182</v>
      </c>
      <c r="F37" s="74" t="s">
        <v>183</v>
      </c>
      <c r="G37" s="74" t="s">
        <v>184</v>
      </c>
      <c r="H37" s="75" t="s">
        <v>185</v>
      </c>
      <c r="I37" s="19" t="s">
        <v>114</v>
      </c>
      <c r="J37" s="25">
        <v>5</v>
      </c>
      <c r="K37" s="25">
        <v>5</v>
      </c>
      <c r="L37" s="25">
        <v>3</v>
      </c>
      <c r="M37" s="25">
        <v>4</v>
      </c>
      <c r="N37" s="25">
        <v>5</v>
      </c>
      <c r="O37" s="25">
        <v>3</v>
      </c>
      <c r="P37" s="31">
        <f>IF(F37="","",IF(COUNTIF(J37:O37,"D")&gt;0,"",(IF(ISNUMBER(J37),J37,0)*Parametros!$K$4+IF(ISNUMBER(K37),K37,0)*Parametros!$K$5+IF(ISNUMBER(M37),M37,0)*Parametros!$K$6+IF(ISNUMBER(N37),N37,0)*Parametros!$K$7+IF(ISNUMBER(O37),O37,0)*Parametros!$K$8)/Parametros!$B$2))</f>
        <v>73</v>
      </c>
      <c r="Q37" s="3" t="str">
        <f>IF(F37="","",IF(COUNTIF(J37:O37,"D")&gt;0,"Desiste",IF(IFERROR(P37,0)&gt;=Parametros!$B$1,"Aprueba","No aprueba")))</f>
        <v>Aprueba</v>
      </c>
      <c r="R37" s="19"/>
      <c r="T37">
        <f>IF($Q37="Aprueba",COUNTIF($Q$2:$Q37,"Aprueba"),"")</f>
        <v>17</v>
      </c>
    </row>
    <row r="38" spans="1:20" ht="15" customHeight="1">
      <c r="A38" s="18">
        <f t="shared" si="1"/>
        <v>37</v>
      </c>
      <c r="B38" s="19" t="s">
        <v>75</v>
      </c>
      <c r="C38" s="20">
        <v>46230</v>
      </c>
      <c r="D38" s="19" t="s">
        <v>20</v>
      </c>
      <c r="E38" s="22" t="s">
        <v>186</v>
      </c>
      <c r="F38" s="74" t="s">
        <v>187</v>
      </c>
      <c r="G38" s="74" t="s">
        <v>188</v>
      </c>
      <c r="H38" s="75" t="s">
        <v>189</v>
      </c>
      <c r="I38" s="19" t="s">
        <v>114</v>
      </c>
      <c r="J38" s="25">
        <v>5</v>
      </c>
      <c r="K38" s="25">
        <v>5</v>
      </c>
      <c r="L38" s="25">
        <v>5</v>
      </c>
      <c r="M38" s="25">
        <v>5</v>
      </c>
      <c r="N38" s="25">
        <v>5</v>
      </c>
      <c r="O38" s="25">
        <v>3</v>
      </c>
      <c r="P38" s="31">
        <f>IF(F38="","",IF(COUNTIF(J38:O38,"D")&gt;0,"",(IF(ISNUMBER(J38),J38,0)*Parametros!$K$4+IF(ISNUMBER(K38),K38,0)*Parametros!$K$5+IF(ISNUMBER(M38),M38,0)*Parametros!$K$6+IF(ISNUMBER(N38),N38,0)*Parametros!$K$7+IF(ISNUMBER(O38),O38,0)*Parametros!$K$8)/Parametros!$B$2))</f>
        <v>75</v>
      </c>
      <c r="Q38" s="3" t="str">
        <f>IF(F38="","",IF(COUNTIF(J38:O38,"D")&gt;0,"Desiste",IF(IFERROR(P38,0)&gt;=Parametros!$B$1,"Aprueba","No aprueba")))</f>
        <v>Aprueba</v>
      </c>
      <c r="R38" s="19"/>
      <c r="T38">
        <f>IF($Q38="Aprueba",COUNTIF($Q$2:$Q38,"Aprueba"),"")</f>
        <v>18</v>
      </c>
    </row>
    <row r="39" spans="1:20" ht="15" customHeight="1">
      <c r="A39" s="18">
        <f t="shared" si="1"/>
        <v>38</v>
      </c>
      <c r="B39" s="19" t="s">
        <v>75</v>
      </c>
      <c r="C39" s="20">
        <v>46230</v>
      </c>
      <c r="D39" s="19" t="s">
        <v>20</v>
      </c>
      <c r="E39" s="22" t="s">
        <v>190</v>
      </c>
      <c r="F39" s="74" t="s">
        <v>191</v>
      </c>
      <c r="G39" s="74" t="s">
        <v>192</v>
      </c>
      <c r="H39" s="75" t="s">
        <v>193</v>
      </c>
      <c r="I39" s="19" t="s">
        <v>114</v>
      </c>
      <c r="J39" s="25">
        <v>5</v>
      </c>
      <c r="K39" s="25">
        <v>5</v>
      </c>
      <c r="L39" s="25">
        <v>5</v>
      </c>
      <c r="M39" s="25">
        <v>4</v>
      </c>
      <c r="N39" s="25">
        <v>5</v>
      </c>
      <c r="O39" s="25">
        <v>3</v>
      </c>
      <c r="P39" s="31">
        <f>IF(F39="","",IF(COUNTIF(J39:O39,"D")&gt;0,"",(IF(ISNUMBER(J39),J39,0)*Parametros!$K$4+IF(ISNUMBER(K39),K39,0)*Parametros!$K$5+IF(ISNUMBER(M39),M39,0)*Parametros!$K$6+IF(ISNUMBER(N39),N39,0)*Parametros!$K$7+IF(ISNUMBER(O39),O39,0)*Parametros!$K$8)/Parametros!$B$2))</f>
        <v>73</v>
      </c>
      <c r="Q39" s="3" t="str">
        <f>IF(F39="","",IF(COUNTIF(J39:O39,"D")&gt;0,"Desiste",IF(IFERROR(P39,0)&gt;=Parametros!$B$1,"Aprueba","No aprueba")))</f>
        <v>Aprueba</v>
      </c>
      <c r="R39" s="19"/>
      <c r="T39">
        <f>IF($Q39="Aprueba",COUNTIF($Q$2:$Q39,"Aprueba"),"")</f>
        <v>19</v>
      </c>
    </row>
    <row r="40" spans="1:20" ht="15" customHeight="1">
      <c r="A40" s="18">
        <f t="shared" si="1"/>
        <v>39</v>
      </c>
      <c r="B40" s="19" t="s">
        <v>75</v>
      </c>
      <c r="C40" s="20">
        <v>46230</v>
      </c>
      <c r="D40" s="19" t="s">
        <v>20</v>
      </c>
      <c r="E40" s="22" t="s">
        <v>194</v>
      </c>
      <c r="F40" s="74" t="s">
        <v>195</v>
      </c>
      <c r="G40" s="74" t="s">
        <v>196</v>
      </c>
      <c r="H40" s="75" t="s">
        <v>197</v>
      </c>
      <c r="I40" s="19" t="s">
        <v>114</v>
      </c>
      <c r="J40" s="25">
        <v>5</v>
      </c>
      <c r="K40" s="25">
        <v>5</v>
      </c>
      <c r="L40" s="25">
        <v>4</v>
      </c>
      <c r="M40" s="25">
        <v>4</v>
      </c>
      <c r="N40" s="25">
        <v>5</v>
      </c>
      <c r="O40" s="25">
        <v>3</v>
      </c>
      <c r="P40" s="31">
        <f>IF(F40="","",IF(COUNTIF(J40:O40,"D")&gt;0,"",(IF(ISNUMBER(J40),J40,0)*Parametros!$K$4+IF(ISNUMBER(K40),K40,0)*Parametros!$K$5+IF(ISNUMBER(M40),M40,0)*Parametros!$K$6+IF(ISNUMBER(N40),N40,0)*Parametros!$K$7+IF(ISNUMBER(O40),O40,0)*Parametros!$K$8)/Parametros!$B$2))</f>
        <v>73</v>
      </c>
      <c r="Q40" s="3" t="str">
        <f>IF(F40="","",IF(COUNTIF(J40:O40,"D")&gt;0,"Desiste",IF(IFERROR(P40,0)&gt;=Parametros!$B$1,"Aprueba","No aprueba")))</f>
        <v>Aprueba</v>
      </c>
      <c r="R40" s="19"/>
      <c r="T40">
        <f>IF($Q40="Aprueba",COUNTIF($Q$2:$Q40,"Aprueba"),"")</f>
        <v>20</v>
      </c>
    </row>
    <row r="41" spans="1:20" ht="15" customHeight="1">
      <c r="A41" s="18">
        <f t="shared" si="1"/>
        <v>40</v>
      </c>
      <c r="B41" s="19" t="s">
        <v>75</v>
      </c>
      <c r="C41" s="20">
        <v>46230</v>
      </c>
      <c r="D41" s="19" t="s">
        <v>20</v>
      </c>
      <c r="E41" s="22" t="s">
        <v>198</v>
      </c>
      <c r="F41" s="74" t="s">
        <v>199</v>
      </c>
      <c r="G41" s="74" t="s">
        <v>200</v>
      </c>
      <c r="H41" s="75" t="s">
        <v>201</v>
      </c>
      <c r="I41" s="19" t="s">
        <v>114</v>
      </c>
      <c r="J41" s="25">
        <v>5</v>
      </c>
      <c r="K41" s="25">
        <v>5</v>
      </c>
      <c r="L41" s="25">
        <v>5</v>
      </c>
      <c r="M41" s="25">
        <v>4</v>
      </c>
      <c r="N41" s="25">
        <v>5</v>
      </c>
      <c r="O41" s="25">
        <v>3</v>
      </c>
      <c r="P41" s="31">
        <f>IF(F41="","",IF(COUNTIF(J41:O41,"D")&gt;0,"",(IF(ISNUMBER(J41),J41,0)*Parametros!$K$4+IF(ISNUMBER(K41),K41,0)*Parametros!$K$5+IF(ISNUMBER(M41),M41,0)*Parametros!$K$6+IF(ISNUMBER(N41),N41,0)*Parametros!$K$7+IF(ISNUMBER(O41),O41,0)*Parametros!$K$8)/Parametros!$B$2))</f>
        <v>73</v>
      </c>
      <c r="Q41" s="3" t="str">
        <f>IF(F41="","",IF(COUNTIF(J41:O41,"D")&gt;0,"Desiste",IF(IFERROR(P41,0)&gt;=Parametros!$B$1,"Aprueba","No aprueba")))</f>
        <v>Aprueba</v>
      </c>
      <c r="R41" s="19"/>
      <c r="T41">
        <f>IF($Q41="Aprueba",COUNTIF($Q$2:$Q41,"Aprueba"),"")</f>
        <v>21</v>
      </c>
    </row>
    <row r="42" spans="1:20" ht="15" customHeight="1">
      <c r="A42" s="18">
        <f t="shared" si="1"/>
        <v>41</v>
      </c>
      <c r="B42" s="19" t="s">
        <v>75</v>
      </c>
      <c r="C42" s="20">
        <v>46230</v>
      </c>
      <c r="D42" s="19" t="s">
        <v>20</v>
      </c>
      <c r="E42" s="22" t="s">
        <v>202</v>
      </c>
      <c r="F42" s="74" t="s">
        <v>203</v>
      </c>
      <c r="G42" s="74" t="s">
        <v>204</v>
      </c>
      <c r="H42" s="75" t="s">
        <v>205</v>
      </c>
      <c r="I42" s="19" t="s">
        <v>114</v>
      </c>
      <c r="J42" s="25">
        <v>5</v>
      </c>
      <c r="K42" s="25">
        <v>5</v>
      </c>
      <c r="L42" s="25">
        <v>4</v>
      </c>
      <c r="M42" s="25">
        <v>5</v>
      </c>
      <c r="N42" s="25">
        <v>4</v>
      </c>
      <c r="O42" s="25">
        <v>3</v>
      </c>
      <c r="P42" s="31">
        <f>IF(F42="","",IF(COUNTIF(J42:O42,"D")&gt;0,"",(IF(ISNUMBER(J42),J42,0)*Parametros!$K$4+IF(ISNUMBER(K42),K42,0)*Parametros!$K$5+IF(ISNUMBER(M42),M42,0)*Parametros!$K$6+IF(ISNUMBER(N42),N42,0)*Parametros!$K$7+IF(ISNUMBER(O42),O42,0)*Parametros!$K$8)/Parametros!$B$2))</f>
        <v>71</v>
      </c>
      <c r="Q42" s="3" t="str">
        <f>IF(F42="","",IF(COUNTIF(J42:O42,"D")&gt;0,"Desiste",IF(IFERROR(P42,0)&gt;=Parametros!$B$1,"Aprueba","No aprueba")))</f>
        <v>Aprueba</v>
      </c>
      <c r="R42" s="19"/>
      <c r="T42">
        <f>IF($Q42="Aprueba",COUNTIF($Q$2:$Q42,"Aprueba"),"")</f>
        <v>22</v>
      </c>
    </row>
    <row r="43" spans="1:20" ht="15" customHeight="1">
      <c r="A43" s="18">
        <f t="shared" si="1"/>
        <v>42</v>
      </c>
      <c r="B43" s="19" t="s">
        <v>75</v>
      </c>
      <c r="C43" s="20">
        <v>46230</v>
      </c>
      <c r="D43" s="19" t="s">
        <v>20</v>
      </c>
      <c r="E43" s="22" t="s">
        <v>206</v>
      </c>
      <c r="F43" s="74" t="s">
        <v>207</v>
      </c>
      <c r="G43" s="74" t="s">
        <v>208</v>
      </c>
      <c r="H43" s="75" t="s">
        <v>209</v>
      </c>
      <c r="I43" s="19" t="s">
        <v>114</v>
      </c>
      <c r="J43" s="25">
        <v>5</v>
      </c>
      <c r="K43" s="25">
        <v>5</v>
      </c>
      <c r="L43" s="25">
        <v>5</v>
      </c>
      <c r="M43" s="25">
        <v>4</v>
      </c>
      <c r="N43" s="25">
        <v>5</v>
      </c>
      <c r="O43" s="25">
        <v>3</v>
      </c>
      <c r="P43" s="31">
        <f>IF(F43="","",IF(COUNTIF(J43:O43,"D")&gt;0,"",(IF(ISNUMBER(J43),J43,0)*Parametros!$K$4+IF(ISNUMBER(K43),K43,0)*Parametros!$K$5+IF(ISNUMBER(M43),M43,0)*Parametros!$K$6+IF(ISNUMBER(N43),N43,0)*Parametros!$K$7+IF(ISNUMBER(O43),O43,0)*Parametros!$K$8)/Parametros!$B$2))</f>
        <v>73</v>
      </c>
      <c r="Q43" s="3" t="str">
        <f>IF(F43="","",IF(COUNTIF(J43:O43,"D")&gt;0,"Desiste",IF(IFERROR(P43,0)&gt;=Parametros!$B$1,"Aprueba","No aprueba")))</f>
        <v>Aprueba</v>
      </c>
      <c r="R43" s="19"/>
      <c r="T43">
        <f>IF($Q43="Aprueba",COUNTIF($Q$2:$Q43,"Aprueba"),"")</f>
        <v>23</v>
      </c>
    </row>
    <row r="44" spans="1:20" ht="15" customHeight="1">
      <c r="A44" s="18">
        <f t="shared" si="1"/>
        <v>43</v>
      </c>
      <c r="B44" s="19" t="s">
        <v>75</v>
      </c>
      <c r="C44" s="20">
        <v>46230</v>
      </c>
      <c r="D44" s="19" t="s">
        <v>20</v>
      </c>
      <c r="E44" s="22" t="s">
        <v>210</v>
      </c>
      <c r="F44" s="74" t="s">
        <v>211</v>
      </c>
      <c r="G44" s="74" t="s">
        <v>212</v>
      </c>
      <c r="H44" s="75" t="s">
        <v>210</v>
      </c>
      <c r="I44" s="19" t="s">
        <v>114</v>
      </c>
      <c r="J44" s="25">
        <v>5</v>
      </c>
      <c r="K44" s="25">
        <v>5</v>
      </c>
      <c r="L44" s="25">
        <v>5</v>
      </c>
      <c r="M44" s="25">
        <v>4</v>
      </c>
      <c r="N44" s="25">
        <v>5</v>
      </c>
      <c r="O44" s="25">
        <v>3</v>
      </c>
      <c r="P44" s="31">
        <f>IF(F44="","",IF(COUNTIF(J44:O44,"D")&gt;0,"",(IF(ISNUMBER(J44),J44,0)*Parametros!$K$4+IF(ISNUMBER(K44),K44,0)*Parametros!$K$5+IF(ISNUMBER(M44),M44,0)*Parametros!$K$6+IF(ISNUMBER(N44),N44,0)*Parametros!$K$7+IF(ISNUMBER(O44),O44,0)*Parametros!$K$8)/Parametros!$B$2))</f>
        <v>73</v>
      </c>
      <c r="Q44" s="3" t="str">
        <f>IF(F44="","",IF(COUNTIF(J44:O44,"D")&gt;0,"Desiste",IF(IFERROR(P44,0)&gt;=Parametros!$B$1,"Aprueba","No aprueba")))</f>
        <v>Aprueba</v>
      </c>
      <c r="R44" s="19"/>
      <c r="T44">
        <f>IF($Q44="Aprueba",COUNTIF($Q$2:$Q44,"Aprueba"),"")</f>
        <v>24</v>
      </c>
    </row>
    <row r="45" spans="1:20" ht="15" customHeight="1">
      <c r="A45" s="18">
        <f t="shared" si="1"/>
        <v>44</v>
      </c>
      <c r="B45" s="19" t="s">
        <v>75</v>
      </c>
      <c r="C45" s="20">
        <v>46230</v>
      </c>
      <c r="D45" s="19" t="s">
        <v>20</v>
      </c>
      <c r="E45" s="22" t="s">
        <v>213</v>
      </c>
      <c r="F45" s="74" t="s">
        <v>214</v>
      </c>
      <c r="G45" s="74" t="s">
        <v>215</v>
      </c>
      <c r="H45" s="75" t="s">
        <v>216</v>
      </c>
      <c r="I45" s="19" t="s">
        <v>114</v>
      </c>
      <c r="J45" s="25">
        <v>5</v>
      </c>
      <c r="K45" s="25">
        <v>5</v>
      </c>
      <c r="L45" s="25">
        <v>4</v>
      </c>
      <c r="M45" s="25">
        <v>5</v>
      </c>
      <c r="N45" s="25">
        <v>4</v>
      </c>
      <c r="O45" s="25">
        <v>3</v>
      </c>
      <c r="P45" s="31">
        <f>IF(F45="","",IF(COUNTIF(J45:O45,"D")&gt;0,"",(IF(ISNUMBER(J45),J45,0)*Parametros!$K$4+IF(ISNUMBER(K45),K45,0)*Parametros!$K$5+IF(ISNUMBER(M45),M45,0)*Parametros!$K$6+IF(ISNUMBER(N45),N45,0)*Parametros!$K$7+IF(ISNUMBER(O45),O45,0)*Parametros!$K$8)/Parametros!$B$2))</f>
        <v>71</v>
      </c>
      <c r="Q45" s="3" t="str">
        <f>IF(F45="","",IF(COUNTIF(J45:O45,"D")&gt;0,"Desiste",IF(IFERROR(P45,0)&gt;=Parametros!$B$1,"Aprueba","No aprueba")))</f>
        <v>Aprueba</v>
      </c>
      <c r="R45" s="19"/>
      <c r="T45">
        <f>IF($Q45="Aprueba",COUNTIF($Q$2:$Q45,"Aprueba"),"")</f>
        <v>25</v>
      </c>
    </row>
    <row r="46" spans="1:20" ht="15" customHeight="1">
      <c r="A46" s="18">
        <f t="shared" si="1"/>
        <v>45</v>
      </c>
      <c r="B46" s="19" t="s">
        <v>75</v>
      </c>
      <c r="C46" s="20">
        <v>46230</v>
      </c>
      <c r="D46" s="19" t="s">
        <v>20</v>
      </c>
      <c r="E46" s="22" t="s">
        <v>217</v>
      </c>
      <c r="F46" s="74" t="s">
        <v>218</v>
      </c>
      <c r="G46" s="74" t="s">
        <v>219</v>
      </c>
      <c r="H46" s="75" t="s">
        <v>220</v>
      </c>
      <c r="I46" s="19" t="s">
        <v>114</v>
      </c>
      <c r="J46" s="25">
        <v>5</v>
      </c>
      <c r="K46" s="25">
        <v>5</v>
      </c>
      <c r="L46" s="25">
        <v>4</v>
      </c>
      <c r="M46" s="25">
        <v>5</v>
      </c>
      <c r="N46" s="25">
        <v>4</v>
      </c>
      <c r="O46" s="25">
        <v>3</v>
      </c>
      <c r="P46" s="31">
        <f>IF(F46="","",IF(COUNTIF(J46:O46,"D")&gt;0,"",(IF(ISNUMBER(J46),J46,0)*Parametros!$K$4+IF(ISNUMBER(K46),K46,0)*Parametros!$K$5+IF(ISNUMBER(M46),M46,0)*Parametros!$K$6+IF(ISNUMBER(N46),N46,0)*Parametros!$K$7+IF(ISNUMBER(O46),O46,0)*Parametros!$K$8)/Parametros!$B$2))</f>
        <v>71</v>
      </c>
      <c r="Q46" s="3" t="str">
        <f>IF(F46="","",IF(COUNTIF(J46:O46,"D")&gt;0,"Desiste",IF(IFERROR(P46,0)&gt;=Parametros!$B$1,"Aprueba","No aprueba")))</f>
        <v>Aprueba</v>
      </c>
      <c r="R46" s="19"/>
      <c r="T46">
        <f>IF($Q46="Aprueba",COUNTIF($Q$2:$Q46,"Aprueba"),"")</f>
        <v>26</v>
      </c>
    </row>
    <row r="47" spans="1:20" ht="15" customHeight="1">
      <c r="A47" s="18">
        <f t="shared" si="1"/>
        <v>46</v>
      </c>
      <c r="B47" s="19" t="s">
        <v>75</v>
      </c>
      <c r="C47" s="20">
        <v>46230</v>
      </c>
      <c r="D47" s="19" t="s">
        <v>20</v>
      </c>
      <c r="E47" s="22" t="s">
        <v>221</v>
      </c>
      <c r="F47" s="74" t="s">
        <v>222</v>
      </c>
      <c r="G47" s="74" t="s">
        <v>223</v>
      </c>
      <c r="H47" s="75" t="s">
        <v>224</v>
      </c>
      <c r="I47" s="19" t="s">
        <v>114</v>
      </c>
      <c r="J47" s="25">
        <v>5</v>
      </c>
      <c r="K47" s="25">
        <v>5</v>
      </c>
      <c r="L47" s="25">
        <v>4</v>
      </c>
      <c r="M47" s="25">
        <v>1</v>
      </c>
      <c r="N47" s="25">
        <v>4</v>
      </c>
      <c r="O47" s="25">
        <v>2</v>
      </c>
      <c r="P47" s="31">
        <f>IF(F47="","",IF(COUNTIF(J47:O47,"D")&gt;0,"",(IF(ISNUMBER(J47),J47,0)*Parametros!$K$4+IF(ISNUMBER(K47),K47,0)*Parametros!$K$5+IF(ISNUMBER(M47),M47,0)*Parametros!$K$6+IF(ISNUMBER(N47),N47,0)*Parametros!$K$7+IF(ISNUMBER(O47),O47,0)*Parametros!$K$8)/Parametros!$B$2))</f>
        <v>53</v>
      </c>
      <c r="Q47" s="3" t="str">
        <f>IF(F47="","",IF(COUNTIF(J47:O47,"D")&gt;0,"Desiste",IF(IFERROR(P47,0)&gt;=Parametros!$B$1,"Aprueba","No aprueba")))</f>
        <v>No aprueba</v>
      </c>
      <c r="R47" s="19"/>
      <c r="T47" t="str">
        <f>IF($Q47="Aprueba",COUNTIF($Q$2:$Q47,"Aprueba"),"")</f>
        <v/>
      </c>
    </row>
    <row r="48" spans="1:20" ht="15" customHeight="1">
      <c r="A48" s="18"/>
      <c r="B48" s="19"/>
      <c r="C48" s="20"/>
      <c r="D48" s="19"/>
      <c r="E48" s="22"/>
      <c r="F48" s="74"/>
      <c r="G48" s="74"/>
      <c r="H48" s="75"/>
      <c r="I48" s="19"/>
      <c r="J48" s="25"/>
      <c r="K48" s="25"/>
      <c r="L48" s="25"/>
      <c r="M48" s="25"/>
      <c r="N48" s="25"/>
      <c r="O48" s="25"/>
      <c r="P48" s="31"/>
      <c r="Q48" s="3"/>
      <c r="R48" s="19"/>
      <c r="T48" t="str">
        <f>IF($Q48="Aprueba",COUNTIF($Q$2:$Q48,"Aprueba"),"")</f>
        <v/>
      </c>
    </row>
    <row r="49" spans="1:20" ht="15" customHeight="1">
      <c r="A49" s="18"/>
      <c r="B49" s="19"/>
      <c r="C49" s="20"/>
      <c r="D49" s="19"/>
      <c r="E49" s="22"/>
      <c r="F49" s="19"/>
      <c r="G49" s="19"/>
      <c r="H49" s="30"/>
      <c r="I49" s="19"/>
      <c r="J49" s="25"/>
      <c r="K49" s="25"/>
      <c r="L49" s="25"/>
      <c r="M49" s="25"/>
      <c r="N49" s="25"/>
      <c r="O49" s="25"/>
      <c r="P49" s="31"/>
      <c r="Q49" s="3"/>
      <c r="R49" s="19"/>
      <c r="T49" t="str">
        <f>IF($Q49="Aprueba",COUNTIF($Q$2:$Q49,"Aprueba"),"")</f>
        <v/>
      </c>
    </row>
    <row r="50" spans="1:20" ht="15" customHeight="1">
      <c r="A50" s="18" t="str">
        <f t="shared" si="1"/>
        <v/>
      </c>
      <c r="B50" s="19"/>
      <c r="C50" s="20"/>
      <c r="D50" s="19"/>
      <c r="E50" s="22"/>
      <c r="F50" s="19"/>
      <c r="G50" s="19"/>
      <c r="H50" s="30"/>
      <c r="I50" s="19"/>
      <c r="J50" s="25"/>
      <c r="K50" s="25"/>
      <c r="L50" s="25"/>
      <c r="M50" s="25"/>
      <c r="N50" s="25"/>
      <c r="O50" s="25"/>
      <c r="P50" s="31" t="str">
        <f>IF(F50="","",IF(COUNTIF(J50:O50,"D")&gt;0,"",(IF(ISNUMBER(J50),J50,0)*Parametros!$K$4+IF(ISNUMBER(K50),K50,0)*Parametros!$K$5+IF(ISNUMBER(M50),M50,0)*Parametros!$K$6+IF(ISNUMBER(N50),N50,0)*Parametros!$K$7+IF(ISNUMBER(O50),O50,0)*Parametros!$K$8)/Parametros!$B$2))</f>
        <v/>
      </c>
      <c r="Q50" s="3" t="str">
        <f>IF(F50="","",IF(COUNTIF(J50:O50,"D")&gt;0,"Desiste",IF(IFERROR(P50,0)&gt;=Parametros!$B$1,"Aprueba","No aprueba")))</f>
        <v/>
      </c>
      <c r="R50" s="19"/>
      <c r="T50" t="str">
        <f>IF($Q50="Aprueba",COUNTIF($Q$2:$Q50,"Aprueba"),"")</f>
        <v/>
      </c>
    </row>
    <row r="51" spans="1:20" ht="15" customHeight="1">
      <c r="A51" s="18" t="str">
        <f t="shared" si="1"/>
        <v/>
      </c>
      <c r="B51" s="19"/>
      <c r="C51" s="20"/>
      <c r="D51" s="19"/>
      <c r="E51" s="22"/>
      <c r="F51" s="19"/>
      <c r="G51" s="19"/>
      <c r="H51" s="30"/>
      <c r="I51" s="19"/>
      <c r="J51" s="25"/>
      <c r="K51" s="25"/>
      <c r="L51" s="25"/>
      <c r="M51" s="25"/>
      <c r="N51" s="25"/>
      <c r="O51" s="25"/>
      <c r="P51" s="31" t="str">
        <f>IF(F51="","",IF(COUNTIF(J51:O51,"D")&gt;0,"",(IF(ISNUMBER(J51),J51,0)*Parametros!$K$4+IF(ISNUMBER(K51),K51,0)*Parametros!$K$5+IF(ISNUMBER(M51),M51,0)*Parametros!$K$6+IF(ISNUMBER(N51),N51,0)*Parametros!$K$7+IF(ISNUMBER(O51),O51,0)*Parametros!$K$8)/Parametros!$B$2))</f>
        <v/>
      </c>
      <c r="Q51" s="3" t="str">
        <f>IF(F51="","",IF(COUNTIF(J51:O51,"D")&gt;0,"Desiste",IF(IFERROR(P51,0)&gt;=Parametros!$B$1,"Aprueba","No aprueba")))</f>
        <v/>
      </c>
      <c r="R51" s="19"/>
      <c r="T51" t="str">
        <f>IF($Q51="Aprueba",COUNTIF($Q$2:$Q51,"Aprueba"),"")</f>
        <v/>
      </c>
    </row>
    <row r="52" spans="1:20" ht="15" customHeight="1">
      <c r="A52" s="18" t="str">
        <f t="shared" si="1"/>
        <v/>
      </c>
      <c r="B52" s="19"/>
      <c r="C52" s="20"/>
      <c r="D52" s="19"/>
      <c r="E52" s="22"/>
      <c r="F52" s="19"/>
      <c r="G52" s="19"/>
      <c r="H52" s="30"/>
      <c r="I52" s="19"/>
      <c r="J52" s="25"/>
      <c r="K52" s="25"/>
      <c r="L52" s="25"/>
      <c r="M52" s="25"/>
      <c r="N52" s="25"/>
      <c r="O52" s="25"/>
      <c r="P52" s="31" t="str">
        <f>IF(F52="","",IF(COUNTIF(J52:O52,"D")&gt;0,"",(IF(ISNUMBER(J52),J52,0)*Parametros!$K$4+IF(ISNUMBER(K52),K52,0)*Parametros!$K$5+IF(ISNUMBER(M52),M52,0)*Parametros!$K$6+IF(ISNUMBER(N52),N52,0)*Parametros!$K$7+IF(ISNUMBER(O52),O52,0)*Parametros!$K$8)/Parametros!$B$2))</f>
        <v/>
      </c>
      <c r="Q52" s="3" t="str">
        <f>IF(F52="","",IF(COUNTIF(J52:O52,"D")&gt;0,"Desiste",IF(IFERROR(P52,0)&gt;=Parametros!$B$1,"Aprueba","No aprueba")))</f>
        <v/>
      </c>
      <c r="R52" s="19"/>
      <c r="T52" t="str">
        <f>IF($Q52="Aprueba",COUNTIF($Q$2:$Q52,"Aprueba"),"")</f>
        <v/>
      </c>
    </row>
    <row r="53" spans="1:20" ht="15" customHeight="1">
      <c r="A53" s="18" t="str">
        <f t="shared" si="1"/>
        <v/>
      </c>
      <c r="B53" s="19"/>
      <c r="C53" s="20"/>
      <c r="D53" s="19"/>
      <c r="E53" s="22"/>
      <c r="F53" s="19"/>
      <c r="G53" s="19"/>
      <c r="H53" s="30"/>
      <c r="I53" s="19"/>
      <c r="J53" s="25"/>
      <c r="K53" s="25"/>
      <c r="L53" s="25"/>
      <c r="M53" s="25"/>
      <c r="N53" s="25"/>
      <c r="O53" s="25"/>
      <c r="P53" s="31" t="str">
        <f>IF(F53="","",IF(COUNTIF(J53:O53,"D")&gt;0,"",(IF(ISNUMBER(J53),J53,0)*Parametros!$K$4+IF(ISNUMBER(K53),K53,0)*Parametros!$K$5+IF(ISNUMBER(M53),M53,0)*Parametros!$K$6+IF(ISNUMBER(N53),N53,0)*Parametros!$K$7+IF(ISNUMBER(O53),O53,0)*Parametros!$K$8)/Parametros!$B$2))</f>
        <v/>
      </c>
      <c r="Q53" s="3" t="str">
        <f>IF(F53="","",IF(COUNTIF(J53:O53,"D")&gt;0,"Desiste",IF(IFERROR(P53,0)&gt;=Parametros!$B$1,"Aprueba","No aprueba")))</f>
        <v/>
      </c>
      <c r="R53" s="19"/>
      <c r="T53" t="str">
        <f>IF($Q53="Aprueba",COUNTIF($Q$2:$Q53,"Aprueba"),"")</f>
        <v/>
      </c>
    </row>
    <row r="54" spans="1:20" ht="15" customHeight="1">
      <c r="A54" s="18" t="str">
        <f t="shared" si="1"/>
        <v/>
      </c>
      <c r="B54" s="19"/>
      <c r="C54" s="20"/>
      <c r="D54" s="19"/>
      <c r="E54" s="22"/>
      <c r="F54" s="19"/>
      <c r="G54" s="19"/>
      <c r="H54" s="30"/>
      <c r="I54" s="19"/>
      <c r="J54" s="25"/>
      <c r="K54" s="25"/>
      <c r="L54" s="25"/>
      <c r="M54" s="25"/>
      <c r="N54" s="25"/>
      <c r="O54" s="25"/>
      <c r="P54" s="31" t="str">
        <f>IF(F54="","",IF(COUNTIF(J54:O54,"D")&gt;0,"",(IF(ISNUMBER(J54),J54,0)*Parametros!$K$4+IF(ISNUMBER(K54),K54,0)*Parametros!$K$5+IF(ISNUMBER(M54),M54,0)*Parametros!$K$6+IF(ISNUMBER(N54),N54,0)*Parametros!$K$7+IF(ISNUMBER(O54),O54,0)*Parametros!$K$8)/Parametros!$B$2))</f>
        <v/>
      </c>
      <c r="Q54" s="3" t="str">
        <f>IF(F54="","",IF(COUNTIF(J54:O54,"D")&gt;0,"Desiste",IF(IFERROR(P54,0)&gt;=Parametros!$B$1,"Aprueba","No aprueba")))</f>
        <v/>
      </c>
      <c r="R54" s="19"/>
      <c r="T54" t="str">
        <f>IF($Q54="Aprueba",COUNTIF($Q$2:$Q54,"Aprueba"),"")</f>
        <v/>
      </c>
    </row>
    <row r="55" spans="1:20" ht="15" customHeight="1">
      <c r="A55" s="18" t="str">
        <f t="shared" si="1"/>
        <v/>
      </c>
      <c r="B55" s="19"/>
      <c r="C55" s="20"/>
      <c r="D55" s="19"/>
      <c r="E55" s="22"/>
      <c r="F55" s="19"/>
      <c r="G55" s="19"/>
      <c r="H55" s="30"/>
      <c r="I55" s="19"/>
      <c r="J55" s="25"/>
      <c r="K55" s="25"/>
      <c r="L55" s="25"/>
      <c r="M55" s="25"/>
      <c r="N55" s="25"/>
      <c r="O55" s="25"/>
      <c r="P55" s="31" t="str">
        <f>IF(F55="","",IF(COUNTIF(J55:O55,"D")&gt;0,"",(IF(ISNUMBER(J55),J55,0)*Parametros!$K$4+IF(ISNUMBER(K55),K55,0)*Parametros!$K$5+IF(ISNUMBER(M55),M55,0)*Parametros!$K$6+IF(ISNUMBER(N55),N55,0)*Parametros!$K$7+IF(ISNUMBER(O55),O55,0)*Parametros!$K$8)/Parametros!$B$2))</f>
        <v/>
      </c>
      <c r="Q55" s="3" t="str">
        <f>IF(F55="","",IF(COUNTIF(J55:O55,"D")&gt;0,"Desiste",IF(IFERROR(P55,0)&gt;=Parametros!$B$1,"Aprueba","No aprueba")))</f>
        <v/>
      </c>
      <c r="R55" s="19"/>
      <c r="T55" t="str">
        <f>IF($Q55="Aprueba",COUNTIF($Q$2:$Q55,"Aprueba"),"")</f>
        <v/>
      </c>
    </row>
    <row r="56" spans="1:20" ht="15" customHeight="1">
      <c r="A56" s="18" t="str">
        <f t="shared" si="1"/>
        <v/>
      </c>
      <c r="B56" s="19"/>
      <c r="C56" s="20"/>
      <c r="D56" s="19"/>
      <c r="E56" s="22"/>
      <c r="F56" s="19"/>
      <c r="G56" s="19"/>
      <c r="H56" s="30"/>
      <c r="I56" s="19"/>
      <c r="J56" s="25"/>
      <c r="K56" s="25"/>
      <c r="L56" s="25"/>
      <c r="M56" s="25"/>
      <c r="N56" s="25"/>
      <c r="O56" s="25"/>
      <c r="P56" s="31" t="str">
        <f>IF(F56="","",IF(COUNTIF(J56:O56,"D")&gt;0,"",(IF(ISNUMBER(J56),J56,0)*Parametros!$K$4+IF(ISNUMBER(K56),K56,0)*Parametros!$K$5+IF(ISNUMBER(M56),M56,0)*Parametros!$K$6+IF(ISNUMBER(N56),N56,0)*Parametros!$K$7+IF(ISNUMBER(O56),O56,0)*Parametros!$K$8)/Parametros!$B$2))</f>
        <v/>
      </c>
      <c r="Q56" s="3" t="str">
        <f>IF(F56="","",IF(COUNTIF(J56:O56,"D")&gt;0,"Desiste",IF(IFERROR(P56,0)&gt;=Parametros!$B$1,"Aprueba","No aprueba")))</f>
        <v/>
      </c>
      <c r="R56" s="19"/>
      <c r="T56" t="str">
        <f>IF($Q56="Aprueba",COUNTIF($Q$2:$Q56,"Aprueba"),"")</f>
        <v/>
      </c>
    </row>
    <row r="57" spans="1:20" ht="15" customHeight="1">
      <c r="A57" s="18" t="str">
        <f t="shared" si="1"/>
        <v/>
      </c>
      <c r="B57" s="19"/>
      <c r="C57" s="20"/>
      <c r="D57" s="19"/>
      <c r="E57" s="22"/>
      <c r="F57" s="19"/>
      <c r="G57" s="19"/>
      <c r="H57" s="30"/>
      <c r="I57" s="19"/>
      <c r="J57" s="25"/>
      <c r="K57" s="25"/>
      <c r="L57" s="25"/>
      <c r="M57" s="25"/>
      <c r="N57" s="25"/>
      <c r="O57" s="25"/>
      <c r="P57" s="31" t="str">
        <f>IF(F57="","",IF(COUNTIF(J57:O57,"D")&gt;0,"",(IF(ISNUMBER(J57),J57,0)*Parametros!$K$4+IF(ISNUMBER(K57),K57,0)*Parametros!$K$5+IF(ISNUMBER(M57),M57,0)*Parametros!$K$6+IF(ISNUMBER(N57),N57,0)*Parametros!$K$7+IF(ISNUMBER(O57),O57,0)*Parametros!$K$8)/Parametros!$B$2))</f>
        <v/>
      </c>
      <c r="Q57" s="3" t="str">
        <f>IF(F57="","",IF(COUNTIF(J57:O57,"D")&gt;0,"Desiste",IF(IFERROR(P57,0)&gt;=Parametros!$B$1,"Aprueba","No aprueba")))</f>
        <v/>
      </c>
      <c r="R57" s="19"/>
      <c r="T57" t="str">
        <f>IF($Q57="Aprueba",COUNTIF($Q$2:$Q57,"Aprueba"),"")</f>
        <v/>
      </c>
    </row>
    <row r="58" spans="1:20" ht="15" customHeight="1">
      <c r="A58" s="18" t="str">
        <f t="shared" si="1"/>
        <v/>
      </c>
      <c r="B58" s="19"/>
      <c r="C58" s="20"/>
      <c r="D58" s="19"/>
      <c r="E58" s="22"/>
      <c r="F58" s="19"/>
      <c r="G58" s="19"/>
      <c r="H58" s="30"/>
      <c r="I58" s="19"/>
      <c r="J58" s="25"/>
      <c r="K58" s="25"/>
      <c r="L58" s="25"/>
      <c r="M58" s="25"/>
      <c r="N58" s="25"/>
      <c r="O58" s="25"/>
      <c r="P58" s="31" t="str">
        <f>IF(F58="","",IF(COUNTIF(J58:O58,"D")&gt;0,"",(IF(ISNUMBER(J58),J58,0)*Parametros!$K$4+IF(ISNUMBER(K58),K58,0)*Parametros!$K$5+IF(ISNUMBER(M58),M58,0)*Parametros!$K$6+IF(ISNUMBER(N58),N58,0)*Parametros!$K$7+IF(ISNUMBER(O58),O58,0)*Parametros!$K$8)/Parametros!$B$2))</f>
        <v/>
      </c>
      <c r="Q58" s="3" t="str">
        <f>IF(F58="","",IF(COUNTIF(J58:O58,"D")&gt;0,"Desiste",IF(IFERROR(P58,0)&gt;=Parametros!$B$1,"Aprueba","No aprueba")))</f>
        <v/>
      </c>
      <c r="R58" s="19"/>
      <c r="T58" t="str">
        <f>IF($Q58="Aprueba",COUNTIF($Q$2:$Q58,"Aprueba"),"")</f>
        <v/>
      </c>
    </row>
    <row r="59" spans="1:20" ht="15" customHeight="1">
      <c r="A59" s="18" t="str">
        <f t="shared" si="1"/>
        <v/>
      </c>
      <c r="B59" s="19"/>
      <c r="C59" s="20"/>
      <c r="D59" s="19"/>
      <c r="E59" s="22"/>
      <c r="F59" s="19"/>
      <c r="G59" s="19"/>
      <c r="H59" s="30"/>
      <c r="I59" s="19"/>
      <c r="J59" s="25"/>
      <c r="K59" s="25"/>
      <c r="L59" s="25"/>
      <c r="M59" s="25"/>
      <c r="N59" s="25"/>
      <c r="O59" s="25"/>
      <c r="P59" s="31" t="str">
        <f>IF(F59="","",IF(COUNTIF(J59:O59,"D")&gt;0,"",(IF(ISNUMBER(J59),J59,0)*Parametros!$K$4+IF(ISNUMBER(K59),K59,0)*Parametros!$K$5+IF(ISNUMBER(M59),M59,0)*Parametros!$K$6+IF(ISNUMBER(N59),N59,0)*Parametros!$K$7+IF(ISNUMBER(O59),O59,0)*Parametros!$K$8)/Parametros!$B$2))</f>
        <v/>
      </c>
      <c r="Q59" s="3" t="str">
        <f>IF(F59="","",IF(COUNTIF(J59:O59,"D")&gt;0,"Desiste",IF(IFERROR(P59,0)&gt;=Parametros!$B$1,"Aprueba","No aprueba")))</f>
        <v/>
      </c>
      <c r="R59" s="19"/>
      <c r="T59" t="str">
        <f>IF($Q59="Aprueba",COUNTIF($Q$2:$Q59,"Aprueba"),"")</f>
        <v/>
      </c>
    </row>
    <row r="60" spans="1:20" ht="15" customHeight="1">
      <c r="A60" s="18" t="str">
        <f t="shared" si="1"/>
        <v/>
      </c>
      <c r="B60" s="19"/>
      <c r="C60" s="20"/>
      <c r="D60" s="19"/>
      <c r="E60" s="22"/>
      <c r="F60" s="19"/>
      <c r="G60" s="19"/>
      <c r="H60" s="30"/>
      <c r="I60" s="19"/>
      <c r="J60" s="25"/>
      <c r="K60" s="25"/>
      <c r="L60" s="25"/>
      <c r="M60" s="25"/>
      <c r="N60" s="25"/>
      <c r="O60" s="25"/>
      <c r="P60" s="31" t="str">
        <f>IF(F60="","",IF(COUNTIF(J60:O60,"D")&gt;0,"",(IF(ISNUMBER(J60),J60,0)*Parametros!$K$4+IF(ISNUMBER(K60),K60,0)*Parametros!$K$5+IF(ISNUMBER(M60),M60,0)*Parametros!$K$6+IF(ISNUMBER(N60),N60,0)*Parametros!$K$7+IF(ISNUMBER(O60),O60,0)*Parametros!$K$8)/Parametros!$B$2))</f>
        <v/>
      </c>
      <c r="Q60" s="3" t="str">
        <f>IF(F60="","",IF(COUNTIF(J60:O60,"D")&gt;0,"Desiste",IF(IFERROR(P60,0)&gt;=Parametros!$B$1,"Aprueba","No aprueba")))</f>
        <v/>
      </c>
      <c r="R60" s="19"/>
      <c r="T60" t="str">
        <f>IF($Q60="Aprueba",COUNTIF($Q$2:$Q60,"Aprueba"),"")</f>
        <v/>
      </c>
    </row>
    <row r="61" spans="1:20" ht="15" customHeight="1">
      <c r="A61" s="18" t="str">
        <f t="shared" si="1"/>
        <v/>
      </c>
      <c r="B61" s="19"/>
      <c r="C61" s="20"/>
      <c r="D61" s="19"/>
      <c r="E61" s="22"/>
      <c r="F61" s="19"/>
      <c r="G61" s="19"/>
      <c r="H61" s="30"/>
      <c r="I61" s="19"/>
      <c r="J61" s="25"/>
      <c r="K61" s="25"/>
      <c r="L61" s="25"/>
      <c r="M61" s="25"/>
      <c r="N61" s="25"/>
      <c r="O61" s="25"/>
      <c r="P61" s="31" t="str">
        <f>IF(F61="","",IF(COUNTIF(J61:O61,"D")&gt;0,"",(IF(ISNUMBER(J61),J61,0)*Parametros!$K$4+IF(ISNUMBER(K61),K61,0)*Parametros!$K$5+IF(ISNUMBER(M61),M61,0)*Parametros!$K$6+IF(ISNUMBER(N61),N61,0)*Parametros!$K$7+IF(ISNUMBER(O61),O61,0)*Parametros!$K$8)/Parametros!$B$2))</f>
        <v/>
      </c>
      <c r="Q61" s="3" t="str">
        <f>IF(F61="","",IF(COUNTIF(J61:O61,"D")&gt;0,"Desiste",IF(IFERROR(P61,0)&gt;=Parametros!$B$1,"Aprueba","No aprueba")))</f>
        <v/>
      </c>
      <c r="R61" s="19"/>
      <c r="T61" t="str">
        <f>IF($Q61="Aprueba",COUNTIF($Q$2:$Q61,"Aprueba"),"")</f>
        <v/>
      </c>
    </row>
    <row r="62" spans="1:20" ht="15" customHeight="1">
      <c r="A62" s="18" t="str">
        <f t="shared" si="1"/>
        <v/>
      </c>
      <c r="B62" s="19"/>
      <c r="C62" s="20"/>
      <c r="D62" s="19"/>
      <c r="E62" s="22"/>
      <c r="F62" s="19"/>
      <c r="G62" s="19"/>
      <c r="H62" s="30"/>
      <c r="I62" s="19"/>
      <c r="J62" s="25"/>
      <c r="K62" s="25"/>
      <c r="L62" s="25"/>
      <c r="M62" s="25"/>
      <c r="N62" s="25"/>
      <c r="O62" s="25"/>
      <c r="P62" s="31" t="str">
        <f>IF(F62="","",IF(COUNTIF(J62:O62,"D")&gt;0,"",(IF(ISNUMBER(J62),J62,0)*Parametros!$K$4+IF(ISNUMBER(K62),K62,0)*Parametros!$K$5+IF(ISNUMBER(M62),M62,0)*Parametros!$K$6+IF(ISNUMBER(N62),N62,0)*Parametros!$K$7+IF(ISNUMBER(O62),O62,0)*Parametros!$K$8)/Parametros!$B$2))</f>
        <v/>
      </c>
      <c r="Q62" s="3" t="str">
        <f>IF(F62="","",IF(COUNTIF(J62:O62,"D")&gt;0,"Desiste",IF(IFERROR(P62,0)&gt;=Parametros!$B$1,"Aprueba","No aprueba")))</f>
        <v/>
      </c>
      <c r="R62" s="19"/>
      <c r="T62" t="str">
        <f>IF($Q62="Aprueba",COUNTIF($Q$2:$Q62,"Aprueba"),"")</f>
        <v/>
      </c>
    </row>
    <row r="63" spans="1:20" ht="15" customHeight="1">
      <c r="A63" s="18" t="str">
        <f t="shared" si="1"/>
        <v/>
      </c>
      <c r="B63" s="19"/>
      <c r="C63" s="20"/>
      <c r="D63" s="19"/>
      <c r="E63" s="22"/>
      <c r="F63" s="19"/>
      <c r="G63" s="19"/>
      <c r="H63" s="30"/>
      <c r="I63" s="19"/>
      <c r="J63" s="25"/>
      <c r="K63" s="25"/>
      <c r="L63" s="25"/>
      <c r="M63" s="25"/>
      <c r="N63" s="25"/>
      <c r="O63" s="25"/>
      <c r="P63" s="31" t="str">
        <f>IF(F63="","",IF(COUNTIF(J63:O63,"D")&gt;0,"",(IF(ISNUMBER(J63),J63,0)*Parametros!$K$4+IF(ISNUMBER(K63),K63,0)*Parametros!$K$5+IF(ISNUMBER(M63),M63,0)*Parametros!$K$6+IF(ISNUMBER(N63),N63,0)*Parametros!$K$7+IF(ISNUMBER(O63),O63,0)*Parametros!$K$8)/Parametros!$B$2))</f>
        <v/>
      </c>
      <c r="Q63" s="3" t="str">
        <f>IF(F63="","",IF(COUNTIF(J63:O63,"D")&gt;0,"Desiste",IF(IFERROR(P63,0)&gt;=Parametros!$B$1,"Aprueba","No aprueba")))</f>
        <v/>
      </c>
      <c r="R63" s="19"/>
      <c r="T63" t="str">
        <f>IF($Q63="Aprueba",COUNTIF($Q$2:$Q63,"Aprueba"),"")</f>
        <v/>
      </c>
    </row>
    <row r="64" spans="1:20" ht="15" customHeight="1">
      <c r="A64" s="18" t="str">
        <f t="shared" si="1"/>
        <v/>
      </c>
      <c r="B64" s="19"/>
      <c r="C64" s="20"/>
      <c r="D64" s="19"/>
      <c r="E64" s="22"/>
      <c r="F64" s="19"/>
      <c r="G64" s="19"/>
      <c r="H64" s="30"/>
      <c r="I64" s="19"/>
      <c r="J64" s="25"/>
      <c r="K64" s="25"/>
      <c r="L64" s="25"/>
      <c r="M64" s="25"/>
      <c r="N64" s="25"/>
      <c r="O64" s="25"/>
      <c r="P64" s="31" t="str">
        <f>IF(F64="","",IF(COUNTIF(J64:O64,"D")&gt;0,"",(IF(ISNUMBER(J64),J64,0)*Parametros!$K$4+IF(ISNUMBER(K64),K64,0)*Parametros!$K$5+IF(ISNUMBER(M64),M64,0)*Parametros!$K$6+IF(ISNUMBER(N64),N64,0)*Parametros!$K$7+IF(ISNUMBER(O64),O64,0)*Parametros!$K$8)/Parametros!$B$2))</f>
        <v/>
      </c>
      <c r="Q64" s="3" t="str">
        <f>IF(F64="","",IF(COUNTIF(J64:O64,"D")&gt;0,"Desiste",IF(IFERROR(P64,0)&gt;=Parametros!$B$1,"Aprueba","No aprueba")))</f>
        <v/>
      </c>
      <c r="R64" s="19"/>
      <c r="T64" t="str">
        <f>IF($Q64="Aprueba",COUNTIF($Q$2:$Q64,"Aprueba"),"")</f>
        <v/>
      </c>
    </row>
    <row r="65" spans="1:20" ht="15" customHeight="1">
      <c r="A65" s="18" t="str">
        <f t="shared" si="1"/>
        <v/>
      </c>
      <c r="B65" s="19"/>
      <c r="C65" s="20"/>
      <c r="D65" s="19"/>
      <c r="E65" s="22"/>
      <c r="F65" s="19"/>
      <c r="G65" s="19"/>
      <c r="H65" s="30"/>
      <c r="I65" s="19"/>
      <c r="J65" s="25"/>
      <c r="K65" s="25"/>
      <c r="L65" s="25"/>
      <c r="M65" s="25"/>
      <c r="N65" s="25"/>
      <c r="O65" s="25"/>
      <c r="P65" s="31" t="str">
        <f>IF(F65="","",IF(COUNTIF(J65:O65,"D")&gt;0,"",(IF(ISNUMBER(J65),J65,0)*Parametros!$K$4+IF(ISNUMBER(K65),K65,0)*Parametros!$K$5+IF(ISNUMBER(M65),M65,0)*Parametros!$K$6+IF(ISNUMBER(N65),N65,0)*Parametros!$K$7+IF(ISNUMBER(O65),O65,0)*Parametros!$K$8)/Parametros!$B$2))</f>
        <v/>
      </c>
      <c r="Q65" s="3" t="str">
        <f>IF(F65="","",IF(COUNTIF(J65:O65,"D")&gt;0,"Desiste",IF(IFERROR(P65,0)&gt;=Parametros!$B$1,"Aprueba","No aprueba")))</f>
        <v/>
      </c>
      <c r="R65" s="19"/>
      <c r="T65" t="str">
        <f>IF($Q65="Aprueba",COUNTIF($Q$2:$Q65,"Aprueba"),"")</f>
        <v/>
      </c>
    </row>
    <row r="66" spans="1:20" ht="15" customHeight="1">
      <c r="A66" s="18" t="str">
        <f t="shared" ref="A66:A100" si="2">IF(F66="","",ROW()-1)</f>
        <v/>
      </c>
      <c r="B66" s="19"/>
      <c r="C66" s="20"/>
      <c r="D66" s="19"/>
      <c r="E66" s="22"/>
      <c r="F66" s="19"/>
      <c r="G66" s="19"/>
      <c r="H66" s="30"/>
      <c r="I66" s="19"/>
      <c r="J66" s="25"/>
      <c r="K66" s="25"/>
      <c r="L66" s="25"/>
      <c r="M66" s="25"/>
      <c r="N66" s="25"/>
      <c r="O66" s="25"/>
      <c r="P66" s="31" t="str">
        <f>IF(F66="","",IF(COUNTIF(J66:O66,"D")&gt;0,"",(IF(ISNUMBER(J66),J66,0)*Parametros!$K$4+IF(ISNUMBER(K66),K66,0)*Parametros!$K$5+IF(ISNUMBER(M66),M66,0)*Parametros!$K$6+IF(ISNUMBER(N66),N66,0)*Parametros!$K$7+IF(ISNUMBER(O66),O66,0)*Parametros!$K$8)/Parametros!$B$2))</f>
        <v/>
      </c>
      <c r="Q66" s="3" t="str">
        <f>IF(F66="","",IF(COUNTIF(J66:O66,"D")&gt;0,"Desiste",IF(IFERROR(P66,0)&gt;=Parametros!$B$1,"Aprueba","No aprueba")))</f>
        <v/>
      </c>
      <c r="R66" s="19"/>
      <c r="T66" t="str">
        <f>IF($Q66="Aprueba",COUNTIF($Q$2:$Q66,"Aprueba"),"")</f>
        <v/>
      </c>
    </row>
    <row r="67" spans="1:20" ht="15" customHeight="1">
      <c r="A67" s="18" t="str">
        <f t="shared" si="2"/>
        <v/>
      </c>
      <c r="B67" s="19"/>
      <c r="C67" s="20"/>
      <c r="D67" s="19"/>
      <c r="E67" s="22"/>
      <c r="F67" s="19"/>
      <c r="G67" s="19"/>
      <c r="H67" s="30"/>
      <c r="I67" s="19"/>
      <c r="J67" s="25"/>
      <c r="K67" s="25"/>
      <c r="L67" s="25"/>
      <c r="M67" s="25"/>
      <c r="N67" s="25"/>
      <c r="O67" s="25"/>
      <c r="P67" s="31" t="str">
        <f>IF(F67="","",IF(COUNTIF(J67:O67,"D")&gt;0,"",(IF(ISNUMBER(J67),J67,0)*Parametros!$K$4+IF(ISNUMBER(K67),K67,0)*Parametros!$K$5+IF(ISNUMBER(M67),M67,0)*Parametros!$K$6+IF(ISNUMBER(N67),N67,0)*Parametros!$K$7+IF(ISNUMBER(O67),O67,0)*Parametros!$K$8)/Parametros!$B$2))</f>
        <v/>
      </c>
      <c r="Q67" s="3" t="str">
        <f>IF(F67="","",IF(COUNTIF(J67:O67,"D")&gt;0,"Desiste",IF(IFERROR(P67,0)&gt;=Parametros!$B$1,"Aprueba","No aprueba")))</f>
        <v/>
      </c>
      <c r="R67" s="19"/>
      <c r="T67" t="str">
        <f>IF($Q67="Aprueba",COUNTIF($Q$2:$Q67,"Aprueba"),"")</f>
        <v/>
      </c>
    </row>
    <row r="68" spans="1:20" ht="15" customHeight="1">
      <c r="A68" s="18" t="str">
        <f t="shared" si="2"/>
        <v/>
      </c>
      <c r="B68" s="19"/>
      <c r="C68" s="20"/>
      <c r="D68" s="19"/>
      <c r="E68" s="22"/>
      <c r="F68" s="19"/>
      <c r="G68" s="19"/>
      <c r="H68" s="30"/>
      <c r="I68" s="19"/>
      <c r="J68" s="25"/>
      <c r="K68" s="25"/>
      <c r="L68" s="25"/>
      <c r="M68" s="25"/>
      <c r="N68" s="25"/>
      <c r="O68" s="25"/>
      <c r="P68" s="31" t="str">
        <f>IF(F68="","",IF(COUNTIF(J68:O68,"D")&gt;0,"",(IF(ISNUMBER(J68),J68,0)*Parametros!$K$4+IF(ISNUMBER(K68),K68,0)*Parametros!$K$5+IF(ISNUMBER(M68),M68,0)*Parametros!$K$6+IF(ISNUMBER(N68),N68,0)*Parametros!$K$7+IF(ISNUMBER(O68),O68,0)*Parametros!$K$8)/Parametros!$B$2))</f>
        <v/>
      </c>
      <c r="Q68" s="3" t="str">
        <f>IF(F68="","",IF(COUNTIF(J68:O68,"D")&gt;0,"Desiste",IF(IFERROR(P68,0)&gt;=Parametros!$B$1,"Aprueba","No aprueba")))</f>
        <v/>
      </c>
      <c r="R68" s="19"/>
      <c r="T68" t="str">
        <f>IF($Q68="Aprueba",COUNTIF($Q$2:$Q68,"Aprueba"),"")</f>
        <v/>
      </c>
    </row>
    <row r="69" spans="1:20" ht="15" customHeight="1">
      <c r="A69" s="18" t="str">
        <f t="shared" si="2"/>
        <v/>
      </c>
      <c r="B69" s="19"/>
      <c r="C69" s="20"/>
      <c r="D69" s="19"/>
      <c r="E69" s="22"/>
      <c r="F69" s="19"/>
      <c r="G69" s="19"/>
      <c r="H69" s="30"/>
      <c r="I69" s="19"/>
      <c r="J69" s="25"/>
      <c r="K69" s="25"/>
      <c r="L69" s="25"/>
      <c r="M69" s="25"/>
      <c r="N69" s="25"/>
      <c r="O69" s="25"/>
      <c r="P69" s="31" t="str">
        <f>IF(F69="","",IF(COUNTIF(J69:O69,"D")&gt;0,"",(IF(ISNUMBER(J69),J69,0)*Parametros!$K$4+IF(ISNUMBER(K69),K69,0)*Parametros!$K$5+IF(ISNUMBER(M69),M69,0)*Parametros!$K$6+IF(ISNUMBER(N69),N69,0)*Parametros!$K$7+IF(ISNUMBER(O69),O69,0)*Parametros!$K$8)/Parametros!$B$2))</f>
        <v/>
      </c>
      <c r="Q69" s="3" t="str">
        <f>IF(F69="","",IF(COUNTIF(J69:O69,"D")&gt;0,"Desiste",IF(IFERROR(P69,0)&gt;=Parametros!$B$1,"Aprueba","No aprueba")))</f>
        <v/>
      </c>
      <c r="R69" s="19"/>
      <c r="T69" t="str">
        <f>IF($Q69="Aprueba",COUNTIF($Q$2:$Q69,"Aprueba"),"")</f>
        <v/>
      </c>
    </row>
    <row r="70" spans="1:20" ht="15" customHeight="1">
      <c r="A70" s="18" t="str">
        <f t="shared" si="2"/>
        <v/>
      </c>
      <c r="B70" s="19"/>
      <c r="C70" s="20"/>
      <c r="D70" s="19"/>
      <c r="E70" s="22"/>
      <c r="F70" s="19"/>
      <c r="G70" s="19"/>
      <c r="H70" s="30"/>
      <c r="I70" s="19"/>
      <c r="J70" s="25"/>
      <c r="K70" s="25"/>
      <c r="L70" s="25"/>
      <c r="M70" s="25"/>
      <c r="N70" s="25"/>
      <c r="O70" s="25"/>
      <c r="P70" s="31" t="str">
        <f>IF(F70="","",IF(COUNTIF(J70:O70,"D")&gt;0,"",(IF(ISNUMBER(J70),J70,0)*Parametros!$K$4+IF(ISNUMBER(K70),K70,0)*Parametros!$K$5+IF(ISNUMBER(M70),M70,0)*Parametros!$K$6+IF(ISNUMBER(N70),N70,0)*Parametros!$K$7+IF(ISNUMBER(O70),O70,0)*Parametros!$K$8)/Parametros!$B$2))</f>
        <v/>
      </c>
      <c r="Q70" s="3" t="str">
        <f>IF(F70="","",IF(COUNTIF(J70:O70,"D")&gt;0,"Desiste",IF(IFERROR(P70,0)&gt;=Parametros!$B$1,"Aprueba","No aprueba")))</f>
        <v/>
      </c>
      <c r="R70" s="19"/>
      <c r="T70" t="str">
        <f>IF($Q70="Aprueba",COUNTIF($Q$2:$Q70,"Aprueba"),"")</f>
        <v/>
      </c>
    </row>
    <row r="71" spans="1:20" ht="15" customHeight="1">
      <c r="A71" s="18" t="str">
        <f t="shared" si="2"/>
        <v/>
      </c>
      <c r="B71" s="19"/>
      <c r="C71" s="20"/>
      <c r="D71" s="19"/>
      <c r="E71" s="22"/>
      <c r="F71" s="19"/>
      <c r="G71" s="19"/>
      <c r="H71" s="30"/>
      <c r="I71" s="19"/>
      <c r="J71" s="25"/>
      <c r="K71" s="25"/>
      <c r="L71" s="25"/>
      <c r="M71" s="25"/>
      <c r="N71" s="25"/>
      <c r="O71" s="25"/>
      <c r="P71" s="31" t="str">
        <f>IF(F71="","",IF(COUNTIF(J71:O71,"D")&gt;0,"",(IF(ISNUMBER(J71),J71,0)*Parametros!$K$4+IF(ISNUMBER(K71),K71,0)*Parametros!$K$5+IF(ISNUMBER(M71),M71,0)*Parametros!$K$6+IF(ISNUMBER(N71),N71,0)*Parametros!$K$7+IF(ISNUMBER(O71),O71,0)*Parametros!$K$8)/Parametros!$B$2))</f>
        <v/>
      </c>
      <c r="Q71" s="3" t="str">
        <f>IF(F71="","",IF(COUNTIF(J71:O71,"D")&gt;0,"Desiste",IF(IFERROR(P71,0)&gt;=Parametros!$B$1,"Aprueba","No aprueba")))</f>
        <v/>
      </c>
      <c r="R71" s="19"/>
      <c r="T71" t="str">
        <f>IF($Q71="Aprueba",COUNTIF($Q$2:$Q71,"Aprueba"),"")</f>
        <v/>
      </c>
    </row>
    <row r="72" spans="1:20" ht="15" customHeight="1">
      <c r="A72" s="18" t="str">
        <f t="shared" si="2"/>
        <v/>
      </c>
      <c r="B72" s="19"/>
      <c r="C72" s="20"/>
      <c r="D72" s="19"/>
      <c r="E72" s="22"/>
      <c r="F72" s="19"/>
      <c r="G72" s="19"/>
      <c r="H72" s="30"/>
      <c r="I72" s="19"/>
      <c r="J72" s="25"/>
      <c r="K72" s="25"/>
      <c r="L72" s="25"/>
      <c r="M72" s="25"/>
      <c r="N72" s="25"/>
      <c r="O72" s="25"/>
      <c r="P72" s="31" t="str">
        <f>IF(F72="","",IF(COUNTIF(J72:O72,"D")&gt;0,"",(IF(ISNUMBER(J72),J72,0)*Parametros!$K$4+IF(ISNUMBER(K72),K72,0)*Parametros!$K$5+IF(ISNUMBER(M72),M72,0)*Parametros!$K$6+IF(ISNUMBER(N72),N72,0)*Parametros!$K$7+IF(ISNUMBER(O72),O72,0)*Parametros!$K$8)/Parametros!$B$2))</f>
        <v/>
      </c>
      <c r="Q72" s="3" t="str">
        <f>IF(F72="","",IF(COUNTIF(J72:O72,"D")&gt;0,"Desiste",IF(IFERROR(P72,0)&gt;=Parametros!$B$1,"Aprueba","No aprueba")))</f>
        <v/>
      </c>
      <c r="R72" s="19"/>
      <c r="T72" t="str">
        <f>IF($Q72="Aprueba",COUNTIF($Q$2:$Q72,"Aprueba"),"")</f>
        <v/>
      </c>
    </row>
    <row r="73" spans="1:20" ht="15" customHeight="1">
      <c r="A73" s="18" t="str">
        <f t="shared" si="2"/>
        <v/>
      </c>
      <c r="B73" s="19"/>
      <c r="C73" s="20"/>
      <c r="D73" s="19"/>
      <c r="E73" s="22"/>
      <c r="F73" s="19"/>
      <c r="G73" s="19"/>
      <c r="H73" s="30"/>
      <c r="I73" s="19"/>
      <c r="J73" s="25"/>
      <c r="K73" s="25"/>
      <c r="L73" s="25"/>
      <c r="M73" s="25"/>
      <c r="N73" s="25"/>
      <c r="O73" s="25"/>
      <c r="P73" s="31" t="str">
        <f>IF(F73="","",IF(COUNTIF(J73:O73,"D")&gt;0,"",(IF(ISNUMBER(J73),J73,0)*Parametros!$K$4+IF(ISNUMBER(K73),K73,0)*Parametros!$K$5+IF(ISNUMBER(M73),M73,0)*Parametros!$K$6+IF(ISNUMBER(N73),N73,0)*Parametros!$K$7+IF(ISNUMBER(O73),O73,0)*Parametros!$K$8)/Parametros!$B$2))</f>
        <v/>
      </c>
      <c r="Q73" s="3" t="str">
        <f>IF(F73="","",IF(COUNTIF(J73:O73,"D")&gt;0,"Desiste",IF(IFERROR(P73,0)&gt;=Parametros!$B$1,"Aprueba","No aprueba")))</f>
        <v/>
      </c>
      <c r="R73" s="19"/>
      <c r="T73" t="str">
        <f>IF($Q73="Aprueba",COUNTIF($Q$2:$Q73,"Aprueba"),"")</f>
        <v/>
      </c>
    </row>
    <row r="74" spans="1:20" ht="15" customHeight="1">
      <c r="A74" s="18" t="str">
        <f t="shared" si="2"/>
        <v/>
      </c>
      <c r="B74" s="19"/>
      <c r="C74" s="20"/>
      <c r="D74" s="19"/>
      <c r="E74" s="22"/>
      <c r="F74" s="19"/>
      <c r="G74" s="19"/>
      <c r="H74" s="30"/>
      <c r="I74" s="19"/>
      <c r="J74" s="25"/>
      <c r="K74" s="25"/>
      <c r="L74" s="25"/>
      <c r="M74" s="25"/>
      <c r="N74" s="25"/>
      <c r="O74" s="25"/>
      <c r="P74" s="31" t="str">
        <f>IF(F74="","",IF(COUNTIF(J74:O74,"D")&gt;0,"",(IF(ISNUMBER(J74),J74,0)*Parametros!$K$4+IF(ISNUMBER(K74),K74,0)*Parametros!$K$5+IF(ISNUMBER(M74),M74,0)*Parametros!$K$6+IF(ISNUMBER(N74),N74,0)*Parametros!$K$7+IF(ISNUMBER(O74),O74,0)*Parametros!$K$8)/Parametros!$B$2))</f>
        <v/>
      </c>
      <c r="Q74" s="3" t="str">
        <f>IF(F74="","",IF(COUNTIF(J74:O74,"D")&gt;0,"Desiste",IF(IFERROR(P74,0)&gt;=Parametros!$B$1,"Aprueba","No aprueba")))</f>
        <v/>
      </c>
      <c r="R74" s="19"/>
      <c r="T74" t="str">
        <f>IF($Q74="Aprueba",COUNTIF($Q$2:$Q74,"Aprueba"),"")</f>
        <v/>
      </c>
    </row>
    <row r="75" spans="1:20" ht="15" customHeight="1">
      <c r="A75" s="18" t="str">
        <f t="shared" si="2"/>
        <v/>
      </c>
      <c r="B75" s="19"/>
      <c r="C75" s="20"/>
      <c r="D75" s="19"/>
      <c r="E75" s="22"/>
      <c r="F75" s="19"/>
      <c r="G75" s="19"/>
      <c r="H75" s="30"/>
      <c r="I75" s="19"/>
      <c r="J75" s="25"/>
      <c r="K75" s="25"/>
      <c r="L75" s="25"/>
      <c r="M75" s="25"/>
      <c r="N75" s="25"/>
      <c r="O75" s="25"/>
      <c r="P75" s="31" t="str">
        <f>IF(F75="","",IF(COUNTIF(J75:O75,"D")&gt;0,"",(IF(ISNUMBER(J75),J75,0)*Parametros!$K$4+IF(ISNUMBER(K75),K75,0)*Parametros!$K$5+IF(ISNUMBER(M75),M75,0)*Parametros!$K$6+IF(ISNUMBER(N75),N75,0)*Parametros!$K$7+IF(ISNUMBER(O75),O75,0)*Parametros!$K$8)/Parametros!$B$2))</f>
        <v/>
      </c>
      <c r="Q75" s="3" t="str">
        <f>IF(F75="","",IF(COUNTIF(J75:O75,"D")&gt;0,"Desiste",IF(IFERROR(P75,0)&gt;=Parametros!$B$1,"Aprueba","No aprueba")))</f>
        <v/>
      </c>
      <c r="R75" s="19"/>
      <c r="T75" t="str">
        <f>IF($Q75="Aprueba",COUNTIF($Q$2:$Q75,"Aprueba"),"")</f>
        <v/>
      </c>
    </row>
    <row r="76" spans="1:20" ht="15" customHeight="1">
      <c r="A76" s="18" t="str">
        <f t="shared" si="2"/>
        <v/>
      </c>
      <c r="B76" s="19"/>
      <c r="C76" s="20"/>
      <c r="D76" s="19"/>
      <c r="E76" s="22"/>
      <c r="F76" s="19"/>
      <c r="G76" s="19"/>
      <c r="H76" s="30"/>
      <c r="I76" s="19"/>
      <c r="J76" s="25"/>
      <c r="K76" s="25"/>
      <c r="L76" s="25"/>
      <c r="M76" s="25"/>
      <c r="N76" s="25"/>
      <c r="O76" s="25"/>
      <c r="P76" s="31" t="str">
        <f>IF(F76="","",IF(COUNTIF(J76:O76,"D")&gt;0,"",(IF(ISNUMBER(J76),J76,0)*Parametros!$K$4+IF(ISNUMBER(K76),K76,0)*Parametros!$K$5+IF(ISNUMBER(M76),M76,0)*Parametros!$K$6+IF(ISNUMBER(N76),N76,0)*Parametros!$K$7+IF(ISNUMBER(O76),O76,0)*Parametros!$K$8)/Parametros!$B$2))</f>
        <v/>
      </c>
      <c r="Q76" s="3" t="str">
        <f>IF(F76="","",IF(COUNTIF(J76:O76,"D")&gt;0,"Desiste",IF(IFERROR(P76,0)&gt;=Parametros!$B$1,"Aprueba","No aprueba")))</f>
        <v/>
      </c>
      <c r="R76" s="19"/>
      <c r="T76" t="str">
        <f>IF($Q76="Aprueba",COUNTIF($Q$2:$Q76,"Aprueba"),"")</f>
        <v/>
      </c>
    </row>
    <row r="77" spans="1:20" ht="15" customHeight="1">
      <c r="A77" s="18" t="str">
        <f t="shared" si="2"/>
        <v/>
      </c>
      <c r="B77" s="19"/>
      <c r="C77" s="20"/>
      <c r="D77" s="19"/>
      <c r="E77" s="22"/>
      <c r="F77" s="19"/>
      <c r="G77" s="19"/>
      <c r="H77" s="30"/>
      <c r="I77" s="19"/>
      <c r="J77" s="25"/>
      <c r="K77" s="25"/>
      <c r="L77" s="25"/>
      <c r="M77" s="25"/>
      <c r="N77" s="25"/>
      <c r="O77" s="25"/>
      <c r="P77" s="31" t="str">
        <f>IF(F77="","",IF(COUNTIF(J77:O77,"D")&gt;0,"",(IF(ISNUMBER(J77),J77,0)*Parametros!$K$4+IF(ISNUMBER(K77),K77,0)*Parametros!$K$5+IF(ISNUMBER(M77),M77,0)*Parametros!$K$6+IF(ISNUMBER(N77),N77,0)*Parametros!$K$7+IF(ISNUMBER(O77),O77,0)*Parametros!$K$8)/Parametros!$B$2))</f>
        <v/>
      </c>
      <c r="Q77" s="3" t="str">
        <f>IF(F77="","",IF(COUNTIF(J77:O77,"D")&gt;0,"Desiste",IF(IFERROR(P77,0)&gt;=Parametros!$B$1,"Aprueba","No aprueba")))</f>
        <v/>
      </c>
      <c r="R77" s="19"/>
      <c r="T77" t="str">
        <f>IF($Q77="Aprueba",COUNTIF($Q$2:$Q77,"Aprueba"),"")</f>
        <v/>
      </c>
    </row>
    <row r="78" spans="1:20" ht="15" customHeight="1">
      <c r="A78" s="18" t="str">
        <f t="shared" si="2"/>
        <v/>
      </c>
      <c r="B78" s="19"/>
      <c r="C78" s="20"/>
      <c r="D78" s="19"/>
      <c r="E78" s="22"/>
      <c r="F78" s="19"/>
      <c r="G78" s="19"/>
      <c r="H78" s="30"/>
      <c r="I78" s="19"/>
      <c r="J78" s="25"/>
      <c r="K78" s="25"/>
      <c r="L78" s="25"/>
      <c r="M78" s="25"/>
      <c r="N78" s="25"/>
      <c r="O78" s="25"/>
      <c r="P78" s="31" t="str">
        <f>IF(F78="","",IF(COUNTIF(J78:O78,"D")&gt;0,"",(IF(ISNUMBER(J78),J78,0)*Parametros!$K$4+IF(ISNUMBER(K78),K78,0)*Parametros!$K$5+IF(ISNUMBER(M78),M78,0)*Parametros!$K$6+IF(ISNUMBER(N78),N78,0)*Parametros!$K$7+IF(ISNUMBER(O78),O78,0)*Parametros!$K$8)/Parametros!$B$2))</f>
        <v/>
      </c>
      <c r="Q78" s="3" t="str">
        <f>IF(F78="","",IF(COUNTIF(J78:O78,"D")&gt;0,"Desiste",IF(IFERROR(P78,0)&gt;=Parametros!$B$1,"Aprueba","No aprueba")))</f>
        <v/>
      </c>
      <c r="R78" s="19"/>
      <c r="T78" t="str">
        <f>IF($Q78="Aprueba",COUNTIF($Q$2:$Q78,"Aprueba"),"")</f>
        <v/>
      </c>
    </row>
    <row r="79" spans="1:20" ht="15" customHeight="1">
      <c r="A79" s="18" t="str">
        <f t="shared" si="2"/>
        <v/>
      </c>
      <c r="B79" s="19"/>
      <c r="C79" s="20"/>
      <c r="D79" s="19"/>
      <c r="E79" s="22"/>
      <c r="F79" s="19"/>
      <c r="G79" s="19"/>
      <c r="H79" s="30"/>
      <c r="I79" s="19"/>
      <c r="J79" s="25"/>
      <c r="K79" s="25"/>
      <c r="L79" s="25"/>
      <c r="M79" s="25"/>
      <c r="N79" s="25"/>
      <c r="O79" s="25"/>
      <c r="P79" s="31" t="str">
        <f>IF(F79="","",IF(COUNTIF(J79:O79,"D")&gt;0,"",(IF(ISNUMBER(J79),J79,0)*Parametros!$K$4+IF(ISNUMBER(K79),K79,0)*Parametros!$K$5+IF(ISNUMBER(M79),M79,0)*Parametros!$K$6+IF(ISNUMBER(N79),N79,0)*Parametros!$K$7+IF(ISNUMBER(O79),O79,0)*Parametros!$K$8)/Parametros!$B$2))</f>
        <v/>
      </c>
      <c r="Q79" s="3" t="str">
        <f>IF(F79="","",IF(COUNTIF(J79:O79,"D")&gt;0,"Desiste",IF(IFERROR(P79,0)&gt;=Parametros!$B$1,"Aprueba","No aprueba")))</f>
        <v/>
      </c>
      <c r="R79" s="19"/>
      <c r="T79" t="str">
        <f>IF($Q79="Aprueba",COUNTIF($Q$2:$Q79,"Aprueba"),"")</f>
        <v/>
      </c>
    </row>
    <row r="80" spans="1:20" ht="15" customHeight="1">
      <c r="A80" s="18" t="str">
        <f t="shared" si="2"/>
        <v/>
      </c>
      <c r="B80" s="19"/>
      <c r="C80" s="20"/>
      <c r="D80" s="19"/>
      <c r="E80" s="22"/>
      <c r="F80" s="19"/>
      <c r="G80" s="19"/>
      <c r="H80" s="30"/>
      <c r="I80" s="19"/>
      <c r="J80" s="25"/>
      <c r="K80" s="25"/>
      <c r="L80" s="25"/>
      <c r="M80" s="25"/>
      <c r="N80" s="25"/>
      <c r="O80" s="25"/>
      <c r="P80" s="31" t="str">
        <f>IF(F80="","",IF(COUNTIF(J80:O80,"D")&gt;0,"",(IF(ISNUMBER(J80),J80,0)*Parametros!$K$4+IF(ISNUMBER(K80),K80,0)*Parametros!$K$5+IF(ISNUMBER(M80),M80,0)*Parametros!$K$6+IF(ISNUMBER(N80),N80,0)*Parametros!$K$7+IF(ISNUMBER(O80),O80,0)*Parametros!$K$8)/Parametros!$B$2))</f>
        <v/>
      </c>
      <c r="Q80" s="3" t="str">
        <f>IF(F80="","",IF(COUNTIF(J80:O80,"D")&gt;0,"Desiste",IF(IFERROR(P80,0)&gt;=Parametros!$B$1,"Aprueba","No aprueba")))</f>
        <v/>
      </c>
      <c r="R80" s="19"/>
      <c r="T80" t="str">
        <f>IF($Q80="Aprueba",COUNTIF($Q$2:$Q80,"Aprueba"),"")</f>
        <v/>
      </c>
    </row>
    <row r="81" spans="1:20" ht="15" customHeight="1">
      <c r="A81" s="18" t="str">
        <f t="shared" si="2"/>
        <v/>
      </c>
      <c r="B81" s="19"/>
      <c r="C81" s="20"/>
      <c r="D81" s="19"/>
      <c r="E81" s="22"/>
      <c r="F81" s="19"/>
      <c r="G81" s="19"/>
      <c r="H81" s="30"/>
      <c r="I81" s="19"/>
      <c r="J81" s="25"/>
      <c r="K81" s="25"/>
      <c r="L81" s="25"/>
      <c r="M81" s="25"/>
      <c r="N81" s="25"/>
      <c r="O81" s="25"/>
      <c r="P81" s="31" t="str">
        <f>IF(F81="","",IF(COUNTIF(J81:O81,"D")&gt;0,"",(IF(ISNUMBER(J81),J81,0)*Parametros!$K$4+IF(ISNUMBER(K81),K81,0)*Parametros!$K$5+IF(ISNUMBER(M81),M81,0)*Parametros!$K$6+IF(ISNUMBER(N81),N81,0)*Parametros!$K$7+IF(ISNUMBER(O81),O81,0)*Parametros!$K$8)/Parametros!$B$2))</f>
        <v/>
      </c>
      <c r="Q81" s="3" t="str">
        <f>IF(F81="","",IF(COUNTIF(J81:O81,"D")&gt;0,"Desiste",IF(IFERROR(P81,0)&gt;=Parametros!$B$1,"Aprueba","No aprueba")))</f>
        <v/>
      </c>
      <c r="R81" s="19"/>
      <c r="T81" t="str">
        <f>IF($Q81="Aprueba",COUNTIF($Q$2:$Q81,"Aprueba"),"")</f>
        <v/>
      </c>
    </row>
    <row r="82" spans="1:20" ht="15" customHeight="1">
      <c r="A82" s="18" t="str">
        <f t="shared" si="2"/>
        <v/>
      </c>
      <c r="B82" s="19"/>
      <c r="C82" s="20"/>
      <c r="D82" s="19"/>
      <c r="E82" s="22"/>
      <c r="F82" s="19"/>
      <c r="G82" s="19"/>
      <c r="H82" s="30"/>
      <c r="I82" s="19"/>
      <c r="J82" s="25"/>
      <c r="K82" s="25"/>
      <c r="L82" s="25"/>
      <c r="M82" s="25"/>
      <c r="N82" s="25"/>
      <c r="O82" s="25"/>
      <c r="P82" s="31" t="str">
        <f>IF(F82="","",IF(COUNTIF(J82:O82,"D")&gt;0,"",(IF(ISNUMBER(J82),J82,0)*Parametros!$K$4+IF(ISNUMBER(K82),K82,0)*Parametros!$K$5+IF(ISNUMBER(M82),M82,0)*Parametros!$K$6+IF(ISNUMBER(N82),N82,0)*Parametros!$K$7+IF(ISNUMBER(O82),O82,0)*Parametros!$K$8)/Parametros!$B$2))</f>
        <v/>
      </c>
      <c r="Q82" s="3" t="str">
        <f>IF(F82="","",IF(COUNTIF(J82:O82,"D")&gt;0,"Desiste",IF(IFERROR(P82,0)&gt;=Parametros!$B$1,"Aprueba","No aprueba")))</f>
        <v/>
      </c>
      <c r="R82" s="19"/>
      <c r="T82" t="str">
        <f>IF($Q82="Aprueba",COUNTIF($Q$2:$Q82,"Aprueba"),"")</f>
        <v/>
      </c>
    </row>
    <row r="83" spans="1:20" ht="15" customHeight="1">
      <c r="A83" s="18" t="str">
        <f t="shared" si="2"/>
        <v/>
      </c>
      <c r="B83" s="19"/>
      <c r="C83" s="20"/>
      <c r="D83" s="19"/>
      <c r="E83" s="22"/>
      <c r="F83" s="19"/>
      <c r="G83" s="19"/>
      <c r="H83" s="30"/>
      <c r="I83" s="19"/>
      <c r="J83" s="25"/>
      <c r="K83" s="25"/>
      <c r="L83" s="25"/>
      <c r="M83" s="25"/>
      <c r="N83" s="25"/>
      <c r="O83" s="25"/>
      <c r="P83" s="31" t="str">
        <f>IF(F83="","",IF(COUNTIF(J83:O83,"D")&gt;0,"",(IF(ISNUMBER(J83),J83,0)*Parametros!$K$4+IF(ISNUMBER(K83),K83,0)*Parametros!$K$5+IF(ISNUMBER(M83),M83,0)*Parametros!$K$6+IF(ISNUMBER(N83),N83,0)*Parametros!$K$7+IF(ISNUMBER(O83),O83,0)*Parametros!$K$8)/Parametros!$B$2))</f>
        <v/>
      </c>
      <c r="Q83" s="3" t="str">
        <f>IF(F83="","",IF(COUNTIF(J83:O83,"D")&gt;0,"Desiste",IF(IFERROR(P83,0)&gt;=Parametros!$B$1,"Aprueba","No aprueba")))</f>
        <v/>
      </c>
      <c r="R83" s="19"/>
      <c r="T83" t="str">
        <f>IF($Q83="Aprueba",COUNTIF($Q$2:$Q83,"Aprueba"),"")</f>
        <v/>
      </c>
    </row>
    <row r="84" spans="1:20" ht="15" customHeight="1">
      <c r="A84" s="18" t="str">
        <f t="shared" si="2"/>
        <v/>
      </c>
      <c r="B84" s="19"/>
      <c r="C84" s="20"/>
      <c r="D84" s="19"/>
      <c r="E84" s="22"/>
      <c r="F84" s="19"/>
      <c r="G84" s="19"/>
      <c r="H84" s="30"/>
      <c r="I84" s="19"/>
      <c r="J84" s="25"/>
      <c r="K84" s="25"/>
      <c r="L84" s="25"/>
      <c r="M84" s="25"/>
      <c r="N84" s="25"/>
      <c r="O84" s="25"/>
      <c r="P84" s="31" t="str">
        <f>IF(F84="","",IF(COUNTIF(J84:O84,"D")&gt;0,"",(IF(ISNUMBER(J84),J84,0)*Parametros!$K$4+IF(ISNUMBER(K84),K84,0)*Parametros!$K$5+IF(ISNUMBER(M84),M84,0)*Parametros!$K$6+IF(ISNUMBER(N84),N84,0)*Parametros!$K$7+IF(ISNUMBER(O84),O84,0)*Parametros!$K$8)/Parametros!$B$2))</f>
        <v/>
      </c>
      <c r="Q84" s="3" t="str">
        <f>IF(F84="","",IF(COUNTIF(J84:O84,"D")&gt;0,"Desiste",IF(IFERROR(P84,0)&gt;=Parametros!$B$1,"Aprueba","No aprueba")))</f>
        <v/>
      </c>
      <c r="R84" s="19"/>
      <c r="T84" t="str">
        <f>IF($Q84="Aprueba",COUNTIF($Q$2:$Q84,"Aprueba"),"")</f>
        <v/>
      </c>
    </row>
    <row r="85" spans="1:20" ht="15" customHeight="1">
      <c r="A85" s="18" t="str">
        <f t="shared" si="2"/>
        <v/>
      </c>
      <c r="B85" s="19"/>
      <c r="C85" s="20"/>
      <c r="D85" s="19"/>
      <c r="E85" s="22"/>
      <c r="F85" s="19"/>
      <c r="G85" s="19"/>
      <c r="H85" s="30"/>
      <c r="I85" s="19"/>
      <c r="J85" s="25"/>
      <c r="K85" s="25"/>
      <c r="L85" s="25"/>
      <c r="M85" s="25"/>
      <c r="N85" s="25"/>
      <c r="O85" s="25"/>
      <c r="P85" s="31" t="str">
        <f>IF(F85="","",IF(COUNTIF(J85:O85,"D")&gt;0,"",(IF(ISNUMBER(J85),J85,0)*Parametros!$K$4+IF(ISNUMBER(K85),K85,0)*Parametros!$K$5+IF(ISNUMBER(M85),M85,0)*Parametros!$K$6+IF(ISNUMBER(N85),N85,0)*Parametros!$K$7+IF(ISNUMBER(O85),O85,0)*Parametros!$K$8)/Parametros!$B$2))</f>
        <v/>
      </c>
      <c r="Q85" s="3" t="str">
        <f>IF(F85="","",IF(COUNTIF(J85:O85,"D")&gt;0,"Desiste",IF(IFERROR(P85,0)&gt;=Parametros!$B$1,"Aprueba","No aprueba")))</f>
        <v/>
      </c>
      <c r="R85" s="19"/>
      <c r="T85" t="str">
        <f>IF($Q85="Aprueba",COUNTIF($Q$2:$Q85,"Aprueba"),"")</f>
        <v/>
      </c>
    </row>
    <row r="86" spans="1:20" ht="15" customHeight="1">
      <c r="A86" s="18" t="str">
        <f t="shared" si="2"/>
        <v/>
      </c>
      <c r="B86" s="19"/>
      <c r="C86" s="20"/>
      <c r="D86" s="19"/>
      <c r="E86" s="22"/>
      <c r="F86" s="19"/>
      <c r="G86" s="19"/>
      <c r="H86" s="30"/>
      <c r="I86" s="19"/>
      <c r="J86" s="25"/>
      <c r="K86" s="25"/>
      <c r="L86" s="25"/>
      <c r="M86" s="25"/>
      <c r="N86" s="25"/>
      <c r="O86" s="25"/>
      <c r="P86" s="31" t="str">
        <f>IF(F86="","",IF(COUNTIF(J86:O86,"D")&gt;0,"",(IF(ISNUMBER(J86),J86,0)*Parametros!$K$4+IF(ISNUMBER(K86),K86,0)*Parametros!$K$5+IF(ISNUMBER(M86),M86,0)*Parametros!$K$6+IF(ISNUMBER(N86),N86,0)*Parametros!$K$7+IF(ISNUMBER(O86),O86,0)*Parametros!$K$8)/Parametros!$B$2))</f>
        <v/>
      </c>
      <c r="Q86" s="3" t="str">
        <f>IF(F86="","",IF(COUNTIF(J86:O86,"D")&gt;0,"Desiste",IF(IFERROR(P86,0)&gt;=Parametros!$B$1,"Aprueba","No aprueba")))</f>
        <v/>
      </c>
      <c r="R86" s="19"/>
      <c r="T86" t="str">
        <f>IF($Q86="Aprueba",COUNTIF($Q$2:$Q86,"Aprueba"),"")</f>
        <v/>
      </c>
    </row>
    <row r="87" spans="1:20" ht="15" customHeight="1">
      <c r="A87" s="18" t="str">
        <f t="shared" si="2"/>
        <v/>
      </c>
      <c r="B87" s="19"/>
      <c r="C87" s="20"/>
      <c r="D87" s="19"/>
      <c r="E87" s="22"/>
      <c r="F87" s="19"/>
      <c r="G87" s="19"/>
      <c r="H87" s="30"/>
      <c r="I87" s="19"/>
      <c r="J87" s="25"/>
      <c r="K87" s="25"/>
      <c r="L87" s="25"/>
      <c r="M87" s="25"/>
      <c r="N87" s="25"/>
      <c r="O87" s="25"/>
      <c r="P87" s="31" t="str">
        <f>IF(F87="","",IF(COUNTIF(J87:O87,"D")&gt;0,"",(IF(ISNUMBER(J87),J87,0)*Parametros!$K$4+IF(ISNUMBER(K87),K87,0)*Parametros!$K$5+IF(ISNUMBER(M87),M87,0)*Parametros!$K$6+IF(ISNUMBER(N87),N87,0)*Parametros!$K$7+IF(ISNUMBER(O87),O87,0)*Parametros!$K$8)/Parametros!$B$2))</f>
        <v/>
      </c>
      <c r="Q87" s="3" t="str">
        <f>IF(F87="","",IF(COUNTIF(J87:O87,"D")&gt;0,"Desiste",IF(IFERROR(P87,0)&gt;=Parametros!$B$1,"Aprueba","No aprueba")))</f>
        <v/>
      </c>
      <c r="R87" s="19"/>
      <c r="T87" t="str">
        <f>IF($Q87="Aprueba",COUNTIF($Q$2:$Q87,"Aprueba"),"")</f>
        <v/>
      </c>
    </row>
    <row r="88" spans="1:20" ht="15" customHeight="1">
      <c r="A88" s="18" t="str">
        <f t="shared" si="2"/>
        <v/>
      </c>
      <c r="B88" s="19"/>
      <c r="C88" s="20"/>
      <c r="D88" s="19"/>
      <c r="E88" s="22"/>
      <c r="F88" s="19"/>
      <c r="G88" s="19"/>
      <c r="H88" s="30"/>
      <c r="I88" s="19"/>
      <c r="J88" s="25"/>
      <c r="K88" s="25"/>
      <c r="L88" s="25"/>
      <c r="M88" s="25"/>
      <c r="N88" s="25"/>
      <c r="O88" s="25"/>
      <c r="P88" s="31" t="str">
        <f>IF(F88="","",IF(COUNTIF(J88:O88,"D")&gt;0,"",(IF(ISNUMBER(J88),J88,0)*Parametros!$K$4+IF(ISNUMBER(K88),K88,0)*Parametros!$K$5+IF(ISNUMBER(M88),M88,0)*Parametros!$K$6+IF(ISNUMBER(N88),N88,0)*Parametros!$K$7+IF(ISNUMBER(O88),O88,0)*Parametros!$K$8)/Parametros!$B$2))</f>
        <v/>
      </c>
      <c r="Q88" s="3" t="str">
        <f>IF(F88="","",IF(COUNTIF(J88:O88,"D")&gt;0,"Desiste",IF(IFERROR(P88,0)&gt;=Parametros!$B$1,"Aprueba","No aprueba")))</f>
        <v/>
      </c>
      <c r="R88" s="19"/>
      <c r="T88" t="str">
        <f>IF($Q88="Aprueba",COUNTIF($Q$2:$Q88,"Aprueba"),"")</f>
        <v/>
      </c>
    </row>
    <row r="89" spans="1:20" ht="15" customHeight="1">
      <c r="A89" s="18" t="str">
        <f t="shared" si="2"/>
        <v/>
      </c>
      <c r="B89" s="19"/>
      <c r="C89" s="20"/>
      <c r="D89" s="19"/>
      <c r="E89" s="22"/>
      <c r="F89" s="19"/>
      <c r="G89" s="19"/>
      <c r="H89" s="30"/>
      <c r="I89" s="19"/>
      <c r="J89" s="25"/>
      <c r="K89" s="25"/>
      <c r="L89" s="25"/>
      <c r="M89" s="25"/>
      <c r="N89" s="25"/>
      <c r="O89" s="25"/>
      <c r="P89" s="31" t="str">
        <f>IF(F89="","",IF(COUNTIF(J89:O89,"D")&gt;0,"",(IF(ISNUMBER(J89),J89,0)*Parametros!$K$4+IF(ISNUMBER(K89),K89,0)*Parametros!$K$5+IF(ISNUMBER(M89),M89,0)*Parametros!$K$6+IF(ISNUMBER(N89),N89,0)*Parametros!$K$7+IF(ISNUMBER(O89),O89,0)*Parametros!$K$8)/Parametros!$B$2))</f>
        <v/>
      </c>
      <c r="Q89" s="3" t="str">
        <f>IF(F89="","",IF(COUNTIF(J89:O89,"D")&gt;0,"Desiste",IF(IFERROR(P89,0)&gt;=Parametros!$B$1,"Aprueba","No aprueba")))</f>
        <v/>
      </c>
      <c r="R89" s="19"/>
      <c r="T89" t="str">
        <f>IF($Q89="Aprueba",COUNTIF($Q$2:$Q89,"Aprueba"),"")</f>
        <v/>
      </c>
    </row>
    <row r="90" spans="1:20" ht="15" customHeight="1">
      <c r="A90" s="18" t="str">
        <f t="shared" si="2"/>
        <v/>
      </c>
      <c r="B90" s="19"/>
      <c r="C90" s="20"/>
      <c r="D90" s="19"/>
      <c r="E90" s="22"/>
      <c r="F90" s="19"/>
      <c r="G90" s="19"/>
      <c r="H90" s="30"/>
      <c r="I90" s="19"/>
      <c r="J90" s="25"/>
      <c r="K90" s="25"/>
      <c r="L90" s="25"/>
      <c r="M90" s="25"/>
      <c r="N90" s="25"/>
      <c r="O90" s="25"/>
      <c r="P90" s="31" t="str">
        <f>IF(F90="","",IF(COUNTIF(J90:O90,"D")&gt;0,"",(IF(ISNUMBER(J90),J90,0)*Parametros!$K$4+IF(ISNUMBER(K90),K90,0)*Parametros!$K$5+IF(ISNUMBER(M90),M90,0)*Parametros!$K$6+IF(ISNUMBER(N90),N90,0)*Parametros!$K$7+IF(ISNUMBER(O90),O90,0)*Parametros!$K$8)/Parametros!$B$2))</f>
        <v/>
      </c>
      <c r="Q90" s="3" t="str">
        <f>IF(F90="","",IF(COUNTIF(J90:O90,"D")&gt;0,"Desiste",IF(IFERROR(P90,0)&gt;=Parametros!$B$1,"Aprueba","No aprueba")))</f>
        <v/>
      </c>
      <c r="R90" s="19"/>
      <c r="T90" t="str">
        <f>IF($Q90="Aprueba",COUNTIF($Q$2:$Q90,"Aprueba"),"")</f>
        <v/>
      </c>
    </row>
    <row r="91" spans="1:20" ht="15" customHeight="1">
      <c r="A91" s="18" t="str">
        <f t="shared" si="2"/>
        <v/>
      </c>
      <c r="B91" s="19"/>
      <c r="C91" s="20"/>
      <c r="D91" s="19"/>
      <c r="E91" s="22"/>
      <c r="F91" s="19"/>
      <c r="G91" s="19"/>
      <c r="H91" s="30"/>
      <c r="I91" s="19"/>
      <c r="J91" s="25"/>
      <c r="K91" s="25"/>
      <c r="L91" s="25"/>
      <c r="M91" s="25"/>
      <c r="N91" s="25"/>
      <c r="O91" s="25"/>
      <c r="P91" s="31" t="str">
        <f>IF(F91="","",IF(COUNTIF(J91:O91,"D")&gt;0,"",(IF(ISNUMBER(J91),J91,0)*Parametros!$K$4+IF(ISNUMBER(K91),K91,0)*Parametros!$K$5+IF(ISNUMBER(M91),M91,0)*Parametros!$K$6+IF(ISNUMBER(N91),N91,0)*Parametros!$K$7+IF(ISNUMBER(O91),O91,0)*Parametros!$K$8)/Parametros!$B$2))</f>
        <v/>
      </c>
      <c r="Q91" s="3" t="str">
        <f>IF(F91="","",IF(COUNTIF(J91:O91,"D")&gt;0,"Desiste",IF(IFERROR(P91,0)&gt;=Parametros!$B$1,"Aprueba","No aprueba")))</f>
        <v/>
      </c>
      <c r="R91" s="19"/>
      <c r="T91" t="str">
        <f>IF($Q91="Aprueba",COUNTIF($Q$2:$Q91,"Aprueba"),"")</f>
        <v/>
      </c>
    </row>
    <row r="92" spans="1:20" ht="15" customHeight="1">
      <c r="A92" s="18" t="str">
        <f t="shared" si="2"/>
        <v/>
      </c>
      <c r="B92" s="19"/>
      <c r="C92" s="20"/>
      <c r="D92" s="19"/>
      <c r="E92" s="22"/>
      <c r="F92" s="19"/>
      <c r="G92" s="19"/>
      <c r="H92" s="30"/>
      <c r="I92" s="19"/>
      <c r="J92" s="25"/>
      <c r="K92" s="25"/>
      <c r="L92" s="25"/>
      <c r="M92" s="25"/>
      <c r="N92" s="25"/>
      <c r="O92" s="25"/>
      <c r="P92" s="31" t="str">
        <f>IF(F92="","",IF(COUNTIF(J92:O92,"D")&gt;0,"",(IF(ISNUMBER(J92),J92,0)*Parametros!$K$4+IF(ISNUMBER(K92),K92,0)*Parametros!$K$5+IF(ISNUMBER(M92),M92,0)*Parametros!$K$6+IF(ISNUMBER(N92),N92,0)*Parametros!$K$7+IF(ISNUMBER(O92),O92,0)*Parametros!$K$8)/Parametros!$B$2))</f>
        <v/>
      </c>
      <c r="Q92" s="3" t="str">
        <f>IF(F92="","",IF(COUNTIF(J92:O92,"D")&gt;0,"Desiste",IF(IFERROR(P92,0)&gt;=Parametros!$B$1,"Aprueba","No aprueba")))</f>
        <v/>
      </c>
      <c r="R92" s="19"/>
      <c r="T92" t="str">
        <f>IF($Q92="Aprueba",COUNTIF($Q$2:$Q92,"Aprueba"),"")</f>
        <v/>
      </c>
    </row>
    <row r="93" spans="1:20" ht="15" customHeight="1">
      <c r="A93" s="18" t="str">
        <f t="shared" si="2"/>
        <v/>
      </c>
      <c r="B93" s="19"/>
      <c r="C93" s="20"/>
      <c r="D93" s="19"/>
      <c r="E93" s="22"/>
      <c r="F93" s="19"/>
      <c r="G93" s="19"/>
      <c r="H93" s="30"/>
      <c r="I93" s="19"/>
      <c r="J93" s="25"/>
      <c r="K93" s="25"/>
      <c r="L93" s="25"/>
      <c r="M93" s="25"/>
      <c r="N93" s="25"/>
      <c r="O93" s="25"/>
      <c r="P93" s="31" t="str">
        <f>IF(F93="","",IF(COUNTIF(J93:O93,"D")&gt;0,"",(IF(ISNUMBER(J93),J93,0)*Parametros!$K$4+IF(ISNUMBER(K93),K93,0)*Parametros!$K$5+IF(ISNUMBER(M93),M93,0)*Parametros!$K$6+IF(ISNUMBER(N93),N93,0)*Parametros!$K$7+IF(ISNUMBER(O93),O93,0)*Parametros!$K$8)/Parametros!$B$2))</f>
        <v/>
      </c>
      <c r="Q93" s="3" t="str">
        <f>IF(F93="","",IF(COUNTIF(J93:O93,"D")&gt;0,"Desiste",IF(IFERROR(P93,0)&gt;=Parametros!$B$1,"Aprueba","No aprueba")))</f>
        <v/>
      </c>
      <c r="R93" s="19"/>
      <c r="T93" t="str">
        <f>IF($Q93="Aprueba",COUNTIF($Q$2:$Q93,"Aprueba"),"")</f>
        <v/>
      </c>
    </row>
    <row r="94" spans="1:20" ht="15" customHeight="1">
      <c r="A94" s="18" t="str">
        <f t="shared" si="2"/>
        <v/>
      </c>
      <c r="B94" s="19"/>
      <c r="C94" s="20"/>
      <c r="D94" s="19"/>
      <c r="E94" s="22"/>
      <c r="F94" s="19"/>
      <c r="G94" s="19"/>
      <c r="H94" s="30"/>
      <c r="I94" s="19"/>
      <c r="J94" s="25"/>
      <c r="K94" s="25"/>
      <c r="L94" s="25"/>
      <c r="M94" s="25"/>
      <c r="N94" s="25"/>
      <c r="O94" s="25"/>
      <c r="P94" s="31" t="str">
        <f>IF(F94="","",IF(COUNTIF(J94:O94,"D")&gt;0,"",(IF(ISNUMBER(J94),J94,0)*Parametros!$K$4+IF(ISNUMBER(K94),K94,0)*Parametros!$K$5+IF(ISNUMBER(M94),M94,0)*Parametros!$K$6+IF(ISNUMBER(N94),N94,0)*Parametros!$K$7+IF(ISNUMBER(O94),O94,0)*Parametros!$K$8)/Parametros!$B$2))</f>
        <v/>
      </c>
      <c r="Q94" s="3" t="str">
        <f>IF(F94="","",IF(COUNTIF(J94:O94,"D")&gt;0,"Desiste",IF(IFERROR(P94,0)&gt;=Parametros!$B$1,"Aprueba","No aprueba")))</f>
        <v/>
      </c>
      <c r="R94" s="19"/>
      <c r="T94" t="str">
        <f>IF($Q94="Aprueba",COUNTIF($Q$2:$Q94,"Aprueba"),"")</f>
        <v/>
      </c>
    </row>
    <row r="95" spans="1:20" ht="15" customHeight="1">
      <c r="A95" s="18" t="str">
        <f t="shared" si="2"/>
        <v/>
      </c>
      <c r="B95" s="19"/>
      <c r="C95" s="20"/>
      <c r="D95" s="19"/>
      <c r="E95" s="22"/>
      <c r="F95" s="19"/>
      <c r="G95" s="19"/>
      <c r="H95" s="30"/>
      <c r="I95" s="19"/>
      <c r="J95" s="25"/>
      <c r="K95" s="25"/>
      <c r="L95" s="25"/>
      <c r="M95" s="25"/>
      <c r="N95" s="25"/>
      <c r="O95" s="25"/>
      <c r="P95" s="31" t="str">
        <f>IF(F95="","",IF(COUNTIF(J95:O95,"D")&gt;0,"",(IF(ISNUMBER(J95),J95,0)*Parametros!$K$4+IF(ISNUMBER(K95),K95,0)*Parametros!$K$5+IF(ISNUMBER(M95),M95,0)*Parametros!$K$6+IF(ISNUMBER(N95),N95,0)*Parametros!$K$7+IF(ISNUMBER(O95),O95,0)*Parametros!$K$8)/Parametros!$B$2))</f>
        <v/>
      </c>
      <c r="Q95" s="3" t="str">
        <f>IF(F95="","",IF(COUNTIF(J95:O95,"D")&gt;0,"Desiste",IF(IFERROR(P95,0)&gt;=Parametros!$B$1,"Aprueba","No aprueba")))</f>
        <v/>
      </c>
      <c r="R95" s="19"/>
      <c r="T95" t="str">
        <f>IF($Q95="Aprueba",COUNTIF($Q$2:$Q95,"Aprueba"),"")</f>
        <v/>
      </c>
    </row>
    <row r="96" spans="1:20" ht="15" customHeight="1">
      <c r="A96" s="18" t="str">
        <f t="shared" si="2"/>
        <v/>
      </c>
      <c r="B96" s="19"/>
      <c r="C96" s="20"/>
      <c r="D96" s="19"/>
      <c r="E96" s="22"/>
      <c r="F96" s="19"/>
      <c r="G96" s="19"/>
      <c r="H96" s="30"/>
      <c r="I96" s="19"/>
      <c r="J96" s="25"/>
      <c r="K96" s="25"/>
      <c r="L96" s="25"/>
      <c r="M96" s="25"/>
      <c r="N96" s="25"/>
      <c r="O96" s="25"/>
      <c r="P96" s="31" t="str">
        <f>IF(F96="","",IF(COUNTIF(J96:O96,"D")&gt;0,"",(IF(ISNUMBER(J96),J96,0)*Parametros!$K$4+IF(ISNUMBER(K96),K96,0)*Parametros!$K$5+IF(ISNUMBER(M96),M96,0)*Parametros!$K$6+IF(ISNUMBER(N96),N96,0)*Parametros!$K$7+IF(ISNUMBER(O96),O96,0)*Parametros!$K$8)/Parametros!$B$2))</f>
        <v/>
      </c>
      <c r="Q96" s="3" t="str">
        <f>IF(F96="","",IF(COUNTIF(J96:O96,"D")&gt;0,"Desiste",IF(IFERROR(P96,0)&gt;=Parametros!$B$1,"Aprueba","No aprueba")))</f>
        <v/>
      </c>
      <c r="R96" s="19"/>
      <c r="T96" t="str">
        <f>IF($Q96="Aprueba",COUNTIF($Q$2:$Q96,"Aprueba"),"")</f>
        <v/>
      </c>
    </row>
    <row r="97" spans="1:20" ht="14.25" customHeight="1">
      <c r="A97" t="str">
        <f t="shared" si="2"/>
        <v/>
      </c>
      <c r="P97" t="str">
        <f>IF(F97="","",IF(COUNTIF(J97:O97,"D")&gt;0,"",(IF(ISNUMBER(J97),J97,0)*Parametros!$K$4+IF(ISNUMBER(K97),K97,0)*Parametros!$K$5+IF(ISNUMBER(M97),M97,0)*Parametros!$K$6+IF(ISNUMBER(N97),N97,0)*Parametros!$K$7+IF(ISNUMBER(O97),O97,0)*Parametros!$K$8)/Parametros!$B$2))</f>
        <v/>
      </c>
      <c r="Q97" t="str">
        <f>IF(F97="","",IF(COUNTIF(J97:O97,"D")&gt;0,"Desiste",IF(IFERROR(P97,0)&gt;=Parametros!$B$1,"Aprueba","No aprueba")))</f>
        <v/>
      </c>
      <c r="T97" t="str">
        <f>IF($Q97="Aprueba",COUNTIF($Q$2:$Q97,"Aprueba"),"")</f>
        <v/>
      </c>
    </row>
    <row r="98" spans="1:20" ht="14.25" customHeight="1">
      <c r="A98" t="str">
        <f t="shared" si="2"/>
        <v/>
      </c>
      <c r="P98" t="str">
        <f>IF(F98="","",IF(COUNTIF(J98:O98,"D")&gt;0,"",(IF(ISNUMBER(J98),J98,0)*Parametros!$K$4+IF(ISNUMBER(K98),K98,0)*Parametros!$K$5+IF(ISNUMBER(M98),M98,0)*Parametros!$K$6+IF(ISNUMBER(N98),N98,0)*Parametros!$K$7+IF(ISNUMBER(O98),O98,0)*Parametros!$K$8)/Parametros!$B$2))</f>
        <v/>
      </c>
      <c r="Q98" t="str">
        <f>IF(F98="","",IF(COUNTIF(J98:O98,"D")&gt;0,"Desiste",IF(IFERROR(P98,0)&gt;=Parametros!$B$1,"Aprueba","No aprueba")))</f>
        <v/>
      </c>
      <c r="T98" t="str">
        <f>IF($Q98="Aprueba",COUNTIF($Q$2:$Q98,"Aprueba"),"")</f>
        <v/>
      </c>
    </row>
    <row r="99" spans="1:20" ht="14.25" customHeight="1">
      <c r="A99" t="str">
        <f t="shared" si="2"/>
        <v/>
      </c>
      <c r="P99" t="str">
        <f>IF(F99="","",IF(COUNTIF(J99:O99,"D")&gt;0,"",(IF(ISNUMBER(J99),J99,0)*Parametros!$K$4+IF(ISNUMBER(K99),K99,0)*Parametros!$K$5+IF(ISNUMBER(M99),M99,0)*Parametros!$K$6+IF(ISNUMBER(N99),N99,0)*Parametros!$K$7+IF(ISNUMBER(O99),O99,0)*Parametros!$K$8)/Parametros!$B$2))</f>
        <v/>
      </c>
      <c r="Q99" t="str">
        <f>IF(F99="","",IF(COUNTIF(J99:O99,"D")&gt;0,"Desiste",IF(IFERROR(P99,0)&gt;=Parametros!$B$1,"Aprueba","No aprueba")))</f>
        <v/>
      </c>
      <c r="T99" t="str">
        <f>IF($Q99="Aprueba",COUNTIF($Q$2:$Q99,"Aprueba"),"")</f>
        <v/>
      </c>
    </row>
    <row r="100" spans="1:20" ht="14.25" customHeight="1">
      <c r="A100" t="str">
        <f t="shared" si="2"/>
        <v/>
      </c>
      <c r="P100" t="str">
        <f>IF(F100="","",IF(COUNTIF(J100:O100,"D")&gt;0,"",(IF(ISNUMBER(J100),J100,0)*Parametros!$K$4+IF(ISNUMBER(K100),K100,0)*Parametros!$K$5+IF(ISNUMBER(M100),M100,0)*Parametros!$K$6+IF(ISNUMBER(N100),N100,0)*Parametros!$K$7+IF(ISNUMBER(O100),O100,0)*Parametros!$K$8)/Parametros!$B$2))</f>
        <v/>
      </c>
      <c r="Q100" t="str">
        <f>IF(F100="","",IF(COUNTIF(J100:O100,"D")&gt;0,"Desiste",IF(IFERROR(P100,0)&gt;=Parametros!$B$1,"Aprueba","No aprueba")))</f>
        <v/>
      </c>
      <c r="T100" t="str">
        <f>IF($Q100="Aprueba",COUNTIF($Q$2:$Q100,"Aprueba"),"")</f>
        <v/>
      </c>
    </row>
    <row r="101" spans="1:20" ht="14.25" customHeight="1">
      <c r="P101" t="str">
        <f>IF(F101="","",IF(COUNTIF(J101:O101,"D")&gt;0,"",(IF(ISNUMBER(J101),J101,0)*Parametros!$K$4+IF(ISNUMBER(K101),K101,0)*Parametros!$K$5+IF(ISNUMBER(M101),M101,0)*Parametros!$K$6+IF(ISNUMBER(N101),N101,0)*Parametros!$K$7+IF(ISNUMBER(O101),O101,0)*Parametros!$K$8)/Parametros!$B$2))</f>
        <v/>
      </c>
      <c r="Q101" t="str">
        <f>IF(F101="","",IF(COUNTIF(J101:O101,"D")&gt;0,"Desiste",IF(IFERROR(P101,0)&gt;=Parametros!$B$1,"Aprueba","No aprueba")))</f>
        <v/>
      </c>
      <c r="T101" t="str">
        <f>IF($Q101="Aprueba",COUNTIF($Q$2:$Q101,"Aprueba"),"")</f>
        <v/>
      </c>
    </row>
    <row r="102" spans="1:20" ht="14.25" customHeight="1">
      <c r="P102" t="str">
        <f>IF(F102="","",IF(COUNTIF(J102:O102,"D")&gt;0,"",(IF(ISNUMBER(J102),J102,0)*Parametros!$K$4+IF(ISNUMBER(K102),K102,0)*Parametros!$K$5+IF(ISNUMBER(M102),M102,0)*Parametros!$K$6+IF(ISNUMBER(N102),N102,0)*Parametros!$K$7+IF(ISNUMBER(O102),O102,0)*Parametros!$K$8)/Parametros!$B$2))</f>
        <v/>
      </c>
      <c r="Q102" t="str">
        <f>IF(F102="","",IF(COUNTIF(J102:O102,"D")&gt;0,"Desiste",IF(IFERROR(P102,0)&gt;=Parametros!$B$1,"Aprueba","No aprueba")))</f>
        <v/>
      </c>
      <c r="T102" t="str">
        <f>IF($Q102="Aprueba",COUNTIF($Q$2:$Q102,"Aprueba"),"")</f>
        <v/>
      </c>
    </row>
    <row r="103" spans="1:20" ht="14.25" customHeight="1">
      <c r="P103" t="str">
        <f>IF(F103="","",IF(COUNTIF(J103:O103,"D")&gt;0,"",(IF(ISNUMBER(J103),J103,0)*Parametros!$K$4+IF(ISNUMBER(K103),K103,0)*Parametros!$K$5+IF(ISNUMBER(M103),M103,0)*Parametros!$K$6+IF(ISNUMBER(N103),N103,0)*Parametros!$K$7+IF(ISNUMBER(O103),O103,0)*Parametros!$K$8)/Parametros!$B$2))</f>
        <v/>
      </c>
      <c r="Q103" t="str">
        <f>IF(F103="","",IF(COUNTIF(J103:O103,"D")&gt;0,"Desiste",IF(IFERROR(P103,0)&gt;=Parametros!$B$1,"Aprueba","No aprueba")))</f>
        <v/>
      </c>
      <c r="T103" t="str">
        <f>IF($Q103="Aprueba",COUNTIF($Q$2:$Q103,"Aprueba"),"")</f>
        <v/>
      </c>
    </row>
    <row r="104" spans="1:20" ht="14.25" customHeight="1">
      <c r="P104" t="str">
        <f>IF(F104="","",IF(COUNTIF(J104:O104,"D")&gt;0,"",(IF(ISNUMBER(J104),J104,0)*Parametros!$K$4+IF(ISNUMBER(K104),K104,0)*Parametros!$K$5+IF(ISNUMBER(M104),M104,0)*Parametros!$K$6+IF(ISNUMBER(N104),N104,0)*Parametros!$K$7+IF(ISNUMBER(O104),O104,0)*Parametros!$K$8)/Parametros!$B$2))</f>
        <v/>
      </c>
      <c r="Q104" t="str">
        <f>IF(F104="","",IF(COUNTIF(J104:O104,"D")&gt;0,"Desiste",IF(IFERROR(P104,0)&gt;=Parametros!$B$1,"Aprueba","No aprueba")))</f>
        <v/>
      </c>
      <c r="T104" t="str">
        <f>IF($Q104="Aprueba",COUNTIF($Q$2:$Q104,"Aprueba"),"")</f>
        <v/>
      </c>
    </row>
    <row r="105" spans="1:20" ht="14.25" customHeight="1">
      <c r="P105" t="str">
        <f>IF(F105="","",IF(COUNTIF(J105:O105,"D")&gt;0,"",(IF(ISNUMBER(J105),J105,0)*Parametros!$K$4+IF(ISNUMBER(K105),K105,0)*Parametros!$K$5+IF(ISNUMBER(M105),M105,0)*Parametros!$K$6+IF(ISNUMBER(N105),N105,0)*Parametros!$K$7+IF(ISNUMBER(O105),O105,0)*Parametros!$K$8)/Parametros!$B$2))</f>
        <v/>
      </c>
      <c r="Q105" t="str">
        <f>IF(F105="","",IF(COUNTIF(J105:O105,"D")&gt;0,"Desiste",IF(IFERROR(P105,0)&gt;=Parametros!$B$1,"Aprueba","No aprueba")))</f>
        <v/>
      </c>
      <c r="T105" t="str">
        <f>IF($Q105="Aprueba",COUNTIF($Q$2:$Q105,"Aprueba"),"")</f>
        <v/>
      </c>
    </row>
    <row r="106" spans="1:20" ht="14.25" customHeight="1">
      <c r="P106" t="str">
        <f>IF(F106="","",IF(COUNTIF(J106:O106,"D")&gt;0,"",(IF(ISNUMBER(J106),J106,0)*Parametros!$K$4+IF(ISNUMBER(K106),K106,0)*Parametros!$K$5+IF(ISNUMBER(M106),M106,0)*Parametros!$K$6+IF(ISNUMBER(N106),N106,0)*Parametros!$K$7+IF(ISNUMBER(O106),O106,0)*Parametros!$K$8)/Parametros!$B$2))</f>
        <v/>
      </c>
      <c r="Q106" t="str">
        <f>IF(F106="","",IF(COUNTIF(J106:O106,"D")&gt;0,"Desiste",IF(IFERROR(P106,0)&gt;=Parametros!$B$1,"Aprueba","No aprueba")))</f>
        <v/>
      </c>
      <c r="T106" t="str">
        <f>IF($Q106="Aprueba",COUNTIF($Q$2:$Q106,"Aprueba"),"")</f>
        <v/>
      </c>
    </row>
    <row r="107" spans="1:20" ht="14.25" customHeight="1">
      <c r="P107" t="str">
        <f>IF(F107="","",IF(COUNTIF(J107:O107,"D")&gt;0,"",(IF(ISNUMBER(J107),J107,0)*Parametros!$K$4+IF(ISNUMBER(K107),K107,0)*Parametros!$K$5+IF(ISNUMBER(M107),M107,0)*Parametros!$K$6+IF(ISNUMBER(N107),N107,0)*Parametros!$K$7+IF(ISNUMBER(O107),O107,0)*Parametros!$K$8)/Parametros!$B$2))</f>
        <v/>
      </c>
      <c r="Q107" t="str">
        <f>IF(F107="","",IF(COUNTIF(J107:O107,"D")&gt;0,"Desiste",IF(IFERROR(P107,0)&gt;=Parametros!$B$1,"Aprueba","No aprueba")))</f>
        <v/>
      </c>
      <c r="T107" t="str">
        <f>IF($Q107="Aprueba",COUNTIF($Q$2:$Q107,"Aprueba"),"")</f>
        <v/>
      </c>
    </row>
    <row r="108" spans="1:20" ht="14.25" customHeight="1">
      <c r="P108" t="str">
        <f>IF(F108="","",IF(COUNTIF(J108:O108,"D")&gt;0,"",(IF(ISNUMBER(J108),J108,0)*Parametros!$K$4+IF(ISNUMBER(K108),K108,0)*Parametros!$K$5+IF(ISNUMBER(M108),M108,0)*Parametros!$K$6+IF(ISNUMBER(N108),N108,0)*Parametros!$K$7+IF(ISNUMBER(O108),O108,0)*Parametros!$K$8)/Parametros!$B$2))</f>
        <v/>
      </c>
      <c r="Q108" t="str">
        <f>IF(F108="","",IF(COUNTIF(J108:O108,"D")&gt;0,"Desiste",IF(IFERROR(P108,0)&gt;=Parametros!$B$1,"Aprueba","No aprueba")))</f>
        <v/>
      </c>
      <c r="T108" t="str">
        <f>IF($Q108="Aprueba",COUNTIF($Q$2:$Q108,"Aprueba"),"")</f>
        <v/>
      </c>
    </row>
    <row r="109" spans="1:20" ht="14.25" customHeight="1">
      <c r="P109" t="str">
        <f>IF(F109="","",IF(COUNTIF(J109:O109,"D")&gt;0,"",(IF(ISNUMBER(J109),J109,0)*Parametros!$K$4+IF(ISNUMBER(K109),K109,0)*Parametros!$K$5+IF(ISNUMBER(M109),M109,0)*Parametros!$K$6+IF(ISNUMBER(N109),N109,0)*Parametros!$K$7+IF(ISNUMBER(O109),O109,0)*Parametros!$K$8)/Parametros!$B$2))</f>
        <v/>
      </c>
      <c r="Q109" t="str">
        <f>IF(F109="","",IF(COUNTIF(J109:O109,"D")&gt;0,"Desiste",IF(IFERROR(P109,0)&gt;=Parametros!$B$1,"Aprueba","No aprueba")))</f>
        <v/>
      </c>
      <c r="T109" t="str">
        <f>IF($Q109="Aprueba",COUNTIF($Q$2:$Q109,"Aprueba"),"")</f>
        <v/>
      </c>
    </row>
    <row r="110" spans="1:20" ht="14.25" customHeight="1">
      <c r="P110" t="str">
        <f>IF(F110="","",IF(COUNTIF(J110:O110,"D")&gt;0,"",(IF(ISNUMBER(J110),J110,0)*Parametros!$K$4+IF(ISNUMBER(K110),K110,0)*Parametros!$K$5+IF(ISNUMBER(M110),M110,0)*Parametros!$K$6+IF(ISNUMBER(N110),N110,0)*Parametros!$K$7+IF(ISNUMBER(O110),O110,0)*Parametros!$K$8)/Parametros!$B$2))</f>
        <v/>
      </c>
      <c r="Q110" t="str">
        <f>IF(F110="","",IF(COUNTIF(J110:O110,"D")&gt;0,"Desiste",IF(IFERROR(P110,0)&gt;=Parametros!$B$1,"Aprueba","No aprueba")))</f>
        <v/>
      </c>
      <c r="T110" t="str">
        <f>IF($Q110="Aprueba",COUNTIF($Q$2:$Q110,"Aprueba"),"")</f>
        <v/>
      </c>
    </row>
    <row r="111" spans="1:20" ht="14.25" customHeight="1">
      <c r="P111" t="str">
        <f>IF(F111="","",IF(COUNTIF(J111:O111,"D")&gt;0,"",(IF(ISNUMBER(J111),J111,0)*Parametros!$K$4+IF(ISNUMBER(K111),K111,0)*Parametros!$K$5+IF(ISNUMBER(M111),M111,0)*Parametros!$K$6+IF(ISNUMBER(N111),N111,0)*Parametros!$K$7+IF(ISNUMBER(O111),O111,0)*Parametros!$K$8)/Parametros!$B$2))</f>
        <v/>
      </c>
      <c r="Q111" t="str">
        <f>IF(F111="","",IF(COUNTIF(J111:O111,"D")&gt;0,"Desiste",IF(IFERROR(P111,0)&gt;=Parametros!$B$1,"Aprueba","No aprueba")))</f>
        <v/>
      </c>
      <c r="T111" t="str">
        <f>IF($Q111="Aprueba",COUNTIF($Q$2:$Q111,"Aprueba"),"")</f>
        <v/>
      </c>
    </row>
    <row r="112" spans="1:20" ht="14.25" customHeight="1">
      <c r="P112" t="str">
        <f>IF(F112="","",IF(COUNTIF(J112:O112,"D")&gt;0,"",(IF(ISNUMBER(J112),J112,0)*Parametros!$K$4+IF(ISNUMBER(K112),K112,0)*Parametros!$K$5+IF(ISNUMBER(M112),M112,0)*Parametros!$K$6+IF(ISNUMBER(N112),N112,0)*Parametros!$K$7+IF(ISNUMBER(O112),O112,0)*Parametros!$K$8)/Parametros!$B$2))</f>
        <v/>
      </c>
      <c r="Q112" t="str">
        <f>IF(F112="","",IF(COUNTIF(J112:O112,"D")&gt;0,"Desiste",IF(IFERROR(P112,0)&gt;=Parametros!$B$1,"Aprueba","No aprueba")))</f>
        <v/>
      </c>
      <c r="T112" t="str">
        <f>IF($Q112="Aprueba",COUNTIF($Q$2:$Q112,"Aprueba"),"")</f>
        <v/>
      </c>
    </row>
    <row r="113" spans="16:20" ht="14.25" customHeight="1">
      <c r="P113" t="str">
        <f>IF(F113="","",IF(COUNTIF(J113:O113,"D")&gt;0,"",(IF(ISNUMBER(J113),J113,0)*Parametros!$K$4+IF(ISNUMBER(K113),K113,0)*Parametros!$K$5+IF(ISNUMBER(M113),M113,0)*Parametros!$K$6+IF(ISNUMBER(N113),N113,0)*Parametros!$K$7+IF(ISNUMBER(O113),O113,0)*Parametros!$K$8)/Parametros!$B$2))</f>
        <v/>
      </c>
      <c r="Q113" t="str">
        <f>IF(F113="","",IF(COUNTIF(J113:O113,"D")&gt;0,"Desiste",IF(IFERROR(P113,0)&gt;=Parametros!$B$1,"Aprueba","No aprueba")))</f>
        <v/>
      </c>
      <c r="T113" t="str">
        <f>IF($Q113="Aprueba",COUNTIF($Q$2:$Q113,"Aprueba"),"")</f>
        <v/>
      </c>
    </row>
    <row r="114" spans="16:20" ht="14.25" customHeight="1">
      <c r="P114" t="str">
        <f>IF(F114="","",IF(COUNTIF(J114:O114,"D")&gt;0,"",(IF(ISNUMBER(J114),J114,0)*Parametros!$K$4+IF(ISNUMBER(K114),K114,0)*Parametros!$K$5+IF(ISNUMBER(M114),M114,0)*Parametros!$K$6+IF(ISNUMBER(N114),N114,0)*Parametros!$K$7+IF(ISNUMBER(O114),O114,0)*Parametros!$K$8)/Parametros!$B$2))</f>
        <v/>
      </c>
      <c r="Q114" t="str">
        <f>IF(F114="","",IF(COUNTIF(J114:O114,"D")&gt;0,"Desiste",IF(IFERROR(P114,0)&gt;=Parametros!$B$1,"Aprueba","No aprueba")))</f>
        <v/>
      </c>
      <c r="T114" t="str">
        <f>IF($Q114="Aprueba",COUNTIF($Q$2:$Q114,"Aprueba"),"")</f>
        <v/>
      </c>
    </row>
    <row r="115" spans="16:20" ht="14.25" customHeight="1">
      <c r="P115" t="str">
        <f>IF(F115="","",IF(COUNTIF(J115:O115,"D")&gt;0,"",(IF(ISNUMBER(J115),J115,0)*Parametros!$K$4+IF(ISNUMBER(K115),K115,0)*Parametros!$K$5+IF(ISNUMBER(M115),M115,0)*Parametros!$K$6+IF(ISNUMBER(N115),N115,0)*Parametros!$K$7+IF(ISNUMBER(O115),O115,0)*Parametros!$K$8)/Parametros!$B$2))</f>
        <v/>
      </c>
      <c r="Q115" t="str">
        <f>IF(F115="","",IF(COUNTIF(J115:O115,"D")&gt;0,"Desiste",IF(IFERROR(P115,0)&gt;=Parametros!$B$1,"Aprueba","No aprueba")))</f>
        <v/>
      </c>
      <c r="T115" t="str">
        <f>IF($Q115="Aprueba",COUNTIF($Q$2:$Q115,"Aprueba"),"")</f>
        <v/>
      </c>
    </row>
    <row r="116" spans="16:20" ht="14.25" customHeight="1">
      <c r="P116" t="str">
        <f>IF(F116="","",IF(COUNTIF(J116:O116,"D")&gt;0,"",(IF(ISNUMBER(J116),J116,0)*Parametros!$K$4+IF(ISNUMBER(K116),K116,0)*Parametros!$K$5+IF(ISNUMBER(M116),M116,0)*Parametros!$K$6+IF(ISNUMBER(N116),N116,0)*Parametros!$K$7+IF(ISNUMBER(O116),O116,0)*Parametros!$K$8)/Parametros!$B$2))</f>
        <v/>
      </c>
      <c r="Q116" t="str">
        <f>IF(F116="","",IF(COUNTIF(J116:O116,"D")&gt;0,"Desiste",IF(IFERROR(P116,0)&gt;=Parametros!$B$1,"Aprueba","No aprueba")))</f>
        <v/>
      </c>
      <c r="T116" t="str">
        <f>IF($Q116="Aprueba",COUNTIF($Q$2:$Q116,"Aprueba"),"")</f>
        <v/>
      </c>
    </row>
    <row r="117" spans="16:20" ht="14.25" customHeight="1">
      <c r="P117" t="str">
        <f>IF(F117="","",IF(COUNTIF(J117:O117,"D")&gt;0,"",(IF(ISNUMBER(J117),J117,0)*Parametros!$K$4+IF(ISNUMBER(K117),K117,0)*Parametros!$K$5+IF(ISNUMBER(M117),M117,0)*Parametros!$K$6+IF(ISNUMBER(N117),N117,0)*Parametros!$K$7+IF(ISNUMBER(O117),O117,0)*Parametros!$K$8)/Parametros!$B$2))</f>
        <v/>
      </c>
      <c r="Q117" t="str">
        <f>IF(F117="","",IF(COUNTIF(J117:O117,"D")&gt;0,"Desiste",IF(IFERROR(P117,0)&gt;=Parametros!$B$1,"Aprueba","No aprueba")))</f>
        <v/>
      </c>
      <c r="T117" t="str">
        <f>IF($Q117="Aprueba",COUNTIF($Q$2:$Q117,"Aprueba"),"")</f>
        <v/>
      </c>
    </row>
    <row r="118" spans="16:20" ht="14.25" customHeight="1">
      <c r="P118" t="str">
        <f>IF(F118="","",IF(COUNTIF(J118:O118,"D")&gt;0,"",(IF(ISNUMBER(J118),J118,0)*Parametros!$K$4+IF(ISNUMBER(K118),K118,0)*Parametros!$K$5+IF(ISNUMBER(M118),M118,0)*Parametros!$K$6+IF(ISNUMBER(N118),N118,0)*Parametros!$K$7+IF(ISNUMBER(O118),O118,0)*Parametros!$K$8)/Parametros!$B$2))</f>
        <v/>
      </c>
      <c r="Q118" t="str">
        <f>IF(F118="","",IF(COUNTIF(J118:O118,"D")&gt;0,"Desiste",IF(IFERROR(P118,0)&gt;=Parametros!$B$1,"Aprueba","No aprueba")))</f>
        <v/>
      </c>
      <c r="T118" t="str">
        <f>IF($Q118="Aprueba",COUNTIF($Q$2:$Q118,"Aprueba"),"")</f>
        <v/>
      </c>
    </row>
    <row r="119" spans="16:20" ht="14.25" customHeight="1">
      <c r="P119" t="str">
        <f>IF(F119="","",IF(COUNTIF(J119:O119,"D")&gt;0,"",(IF(ISNUMBER(J119),J119,0)*Parametros!$K$4+IF(ISNUMBER(K119),K119,0)*Parametros!$K$5+IF(ISNUMBER(M119),M119,0)*Parametros!$K$6+IF(ISNUMBER(N119),N119,0)*Parametros!$K$7+IF(ISNUMBER(O119),O119,0)*Parametros!$K$8)/Parametros!$B$2))</f>
        <v/>
      </c>
      <c r="Q119" t="str">
        <f>IF(F119="","",IF(COUNTIF(J119:O119,"D")&gt;0,"Desiste",IF(IFERROR(P119,0)&gt;=Parametros!$B$1,"Aprueba","No aprueba")))</f>
        <v/>
      </c>
      <c r="T119" t="str">
        <f>IF($Q119="Aprueba",COUNTIF($Q$2:$Q119,"Aprueba"),"")</f>
        <v/>
      </c>
    </row>
    <row r="120" spans="16:20" ht="14.25" customHeight="1">
      <c r="P120" t="str">
        <f>IF(F120="","",IF(COUNTIF(J120:O120,"D")&gt;0,"",(IF(ISNUMBER(J120),J120,0)*Parametros!$K$4+IF(ISNUMBER(K120),K120,0)*Parametros!$K$5+IF(ISNUMBER(M120),M120,0)*Parametros!$K$6+IF(ISNUMBER(N120),N120,0)*Parametros!$K$7+IF(ISNUMBER(O120),O120,0)*Parametros!$K$8)/Parametros!$B$2))</f>
        <v/>
      </c>
      <c r="Q120" t="str">
        <f>IF(F120="","",IF(COUNTIF(J120:O120,"D")&gt;0,"Desiste",IF(IFERROR(P120,0)&gt;=Parametros!$B$1,"Aprueba","No aprueba")))</f>
        <v/>
      </c>
      <c r="T120" t="str">
        <f>IF($Q120="Aprueba",COUNTIF($Q$2:$Q120,"Aprueba"),"")</f>
        <v/>
      </c>
    </row>
    <row r="121" spans="16:20" ht="14.25" customHeight="1">
      <c r="P121" t="str">
        <f>IF(F121="","",IF(COUNTIF(J121:O121,"D")&gt;0,"",(IF(ISNUMBER(J121),J121,0)*Parametros!$K$4+IF(ISNUMBER(K121),K121,0)*Parametros!$K$5+IF(ISNUMBER(M121),M121,0)*Parametros!$K$6+IF(ISNUMBER(N121),N121,0)*Parametros!$K$7+IF(ISNUMBER(O121),O121,0)*Parametros!$K$8)/Parametros!$B$2))</f>
        <v/>
      </c>
      <c r="Q121" t="str">
        <f>IF(F121="","",IF(COUNTIF(J121:O121,"D")&gt;0,"Desiste",IF(IFERROR(P121,0)&gt;=Parametros!$B$1,"Aprueba","No aprueba")))</f>
        <v/>
      </c>
      <c r="T121" t="str">
        <f>IF($Q121="Aprueba",COUNTIF($Q$2:$Q121,"Aprueba"),"")</f>
        <v/>
      </c>
    </row>
    <row r="122" spans="16:20" ht="14.25" customHeight="1">
      <c r="P122" t="str">
        <f>IF(F122="","",IF(COUNTIF(J122:O122,"D")&gt;0,"",(IF(ISNUMBER(J122),J122,0)*Parametros!$K$4+IF(ISNUMBER(K122),K122,0)*Parametros!$K$5+IF(ISNUMBER(M122),M122,0)*Parametros!$K$6+IF(ISNUMBER(N122),N122,0)*Parametros!$K$7+IF(ISNUMBER(O122),O122,0)*Parametros!$K$8)/Parametros!$B$2))</f>
        <v/>
      </c>
      <c r="Q122" t="str">
        <f>IF(F122="","",IF(COUNTIF(J122:O122,"D")&gt;0,"Desiste",IF(IFERROR(P122,0)&gt;=Parametros!$B$1,"Aprueba","No aprueba")))</f>
        <v/>
      </c>
      <c r="T122" t="str">
        <f>IF($Q122="Aprueba",COUNTIF($Q$2:$Q122,"Aprueba"),"")</f>
        <v/>
      </c>
    </row>
    <row r="123" spans="16:20" ht="14.25" customHeight="1">
      <c r="P123" t="str">
        <f>IF(F123="","",IF(COUNTIF(J123:O123,"D")&gt;0,"",(IF(ISNUMBER(J123),J123,0)*Parametros!$K$4+IF(ISNUMBER(K123),K123,0)*Parametros!$K$5+IF(ISNUMBER(M123),M123,0)*Parametros!$K$6+IF(ISNUMBER(N123),N123,0)*Parametros!$K$7+IF(ISNUMBER(O123),O123,0)*Parametros!$K$8)/Parametros!$B$2))</f>
        <v/>
      </c>
      <c r="Q123" t="str">
        <f>IF(F123="","",IF(COUNTIF(J123:O123,"D")&gt;0,"Desiste",IF(IFERROR(P123,0)&gt;=Parametros!$B$1,"Aprueba","No aprueba")))</f>
        <v/>
      </c>
      <c r="T123" t="str">
        <f>IF($Q123="Aprueba",COUNTIF($Q$2:$Q123,"Aprueba"),"")</f>
        <v/>
      </c>
    </row>
    <row r="124" spans="16:20" ht="14.25" customHeight="1">
      <c r="P124" t="str">
        <f>IF(F124="","",IF(COUNTIF(J124:O124,"D")&gt;0,"",(IF(ISNUMBER(J124),J124,0)*Parametros!$K$4+IF(ISNUMBER(K124),K124,0)*Parametros!$K$5+IF(ISNUMBER(M124),M124,0)*Parametros!$K$6+IF(ISNUMBER(N124),N124,0)*Parametros!$K$7+IF(ISNUMBER(O124),O124,0)*Parametros!$K$8)/Parametros!$B$2))</f>
        <v/>
      </c>
      <c r="Q124" t="str">
        <f>IF(F124="","",IF(COUNTIF(J124:O124,"D")&gt;0,"Desiste",IF(IFERROR(P124,0)&gt;=Parametros!$B$1,"Aprueba","No aprueba")))</f>
        <v/>
      </c>
      <c r="T124" t="str">
        <f>IF($Q124="Aprueba",COUNTIF($Q$2:$Q124,"Aprueba"),"")</f>
        <v/>
      </c>
    </row>
    <row r="125" spans="16:20" ht="14.25" customHeight="1">
      <c r="P125" t="str">
        <f>IF(F125="","",IF(COUNTIF(J125:O125,"D")&gt;0,"",(IF(ISNUMBER(J125),J125,0)*Parametros!$K$4+IF(ISNUMBER(K125),K125,0)*Parametros!$K$5+IF(ISNUMBER(M125),M125,0)*Parametros!$K$6+IF(ISNUMBER(N125),N125,0)*Parametros!$K$7+IF(ISNUMBER(O125),O125,0)*Parametros!$K$8)/Parametros!$B$2))</f>
        <v/>
      </c>
      <c r="Q125" t="str">
        <f>IF(F125="","",IF(COUNTIF(J125:O125,"D")&gt;0,"Desiste",IF(IFERROR(P125,0)&gt;=Parametros!$B$1,"Aprueba","No aprueba")))</f>
        <v/>
      </c>
      <c r="T125" t="str">
        <f>IF($Q125="Aprueba",COUNTIF($Q$2:$Q125,"Aprueba"),"")</f>
        <v/>
      </c>
    </row>
    <row r="126" spans="16:20" ht="14.25" customHeight="1">
      <c r="P126" t="str">
        <f>IF(F126="","",IF(COUNTIF(J126:O126,"D")&gt;0,"",(IF(ISNUMBER(J126),J126,0)*Parametros!$K$4+IF(ISNUMBER(K126),K126,0)*Parametros!$K$5+IF(ISNUMBER(M126),M126,0)*Parametros!$K$6+IF(ISNUMBER(N126),N126,0)*Parametros!$K$7+IF(ISNUMBER(O126),O126,0)*Parametros!$K$8)/Parametros!$B$2))</f>
        <v/>
      </c>
      <c r="Q126" t="str">
        <f>IF(F126="","",IF(COUNTIF(J126:O126,"D")&gt;0,"Desiste",IF(IFERROR(P126,0)&gt;=Parametros!$B$1,"Aprueba","No aprueba")))</f>
        <v/>
      </c>
      <c r="T126" t="str">
        <f>IF($Q126="Aprueba",COUNTIF($Q$2:$Q126,"Aprueba"),"")</f>
        <v/>
      </c>
    </row>
    <row r="127" spans="16:20" ht="14.25" customHeight="1">
      <c r="P127" t="str">
        <f>IF(F127="","",IF(COUNTIF(J127:O127,"D")&gt;0,"",(IF(ISNUMBER(J127),J127,0)*Parametros!$K$4+IF(ISNUMBER(K127),K127,0)*Parametros!$K$5+IF(ISNUMBER(M127),M127,0)*Parametros!$K$6+IF(ISNUMBER(N127),N127,0)*Parametros!$K$7+IF(ISNUMBER(O127),O127,0)*Parametros!$K$8)/Parametros!$B$2))</f>
        <v/>
      </c>
      <c r="Q127" t="str">
        <f>IF(F127="","",IF(COUNTIF(J127:O127,"D")&gt;0,"Desiste",IF(IFERROR(P127,0)&gt;=Parametros!$B$1,"Aprueba","No aprueba")))</f>
        <v/>
      </c>
      <c r="T127" t="str">
        <f>IF($Q127="Aprueba",COUNTIF($Q$2:$Q127,"Aprueba"),"")</f>
        <v/>
      </c>
    </row>
    <row r="128" spans="16:20" ht="14.25" customHeight="1">
      <c r="P128" t="str">
        <f>IF(F128="","",IF(COUNTIF(J128:O128,"D")&gt;0,"",(IF(ISNUMBER(J128),J128,0)*Parametros!$K$4+IF(ISNUMBER(K128),K128,0)*Parametros!$K$5+IF(ISNUMBER(M128),M128,0)*Parametros!$K$6+IF(ISNUMBER(N128),N128,0)*Parametros!$K$7+IF(ISNUMBER(O128),O128,0)*Parametros!$K$8)/Parametros!$B$2))</f>
        <v/>
      </c>
      <c r="Q128" t="str">
        <f>IF(F128="","",IF(COUNTIF(J128:O128,"D")&gt;0,"Desiste",IF(IFERROR(P128,0)&gt;=Parametros!$B$1,"Aprueba","No aprueba")))</f>
        <v/>
      </c>
      <c r="T128" t="str">
        <f>IF($Q128="Aprueba",COUNTIF($Q$2:$Q128,"Aprueba"),"")</f>
        <v/>
      </c>
    </row>
    <row r="129" spans="16:20" ht="14.25" customHeight="1">
      <c r="P129" t="str">
        <f>IF(F129="","",IF(COUNTIF(J129:O129,"D")&gt;0,"",(IF(ISNUMBER(J129),J129,0)*Parametros!$K$4+IF(ISNUMBER(K129),K129,0)*Parametros!$K$5+IF(ISNUMBER(M129),M129,0)*Parametros!$K$6+IF(ISNUMBER(N129),N129,0)*Parametros!$K$7+IF(ISNUMBER(O129),O129,0)*Parametros!$K$8)/Parametros!$B$2))</f>
        <v/>
      </c>
      <c r="Q129" t="str">
        <f>IF(F129="","",IF(COUNTIF(J129:O129,"D")&gt;0,"Desiste",IF(IFERROR(P129,0)&gt;=Parametros!$B$1,"Aprueba","No aprueba")))</f>
        <v/>
      </c>
      <c r="T129" t="str">
        <f>IF($Q129="Aprueba",COUNTIF($Q$2:$Q129,"Aprueba"),"")</f>
        <v/>
      </c>
    </row>
    <row r="130" spans="16:20" ht="14.25" customHeight="1">
      <c r="P130" t="str">
        <f>IF(F130="","",IF(COUNTIF(J130:O130,"D")&gt;0,"",(IF(ISNUMBER(J130),J130,0)*Parametros!$K$4+IF(ISNUMBER(K130),K130,0)*Parametros!$K$5+IF(ISNUMBER(M130),M130,0)*Parametros!$K$6+IF(ISNUMBER(N130),N130,0)*Parametros!$K$7+IF(ISNUMBER(O130),O130,0)*Parametros!$K$8)/Parametros!$B$2))</f>
        <v/>
      </c>
      <c r="Q130" t="str">
        <f>IF(F130="","",IF(COUNTIF(J130:O130,"D")&gt;0,"Desiste",IF(IFERROR(P130,0)&gt;=Parametros!$B$1,"Aprueba","No aprueba")))</f>
        <v/>
      </c>
      <c r="T130" t="str">
        <f>IF($Q130="Aprueba",COUNTIF($Q$2:$Q130,"Aprueba"),"")</f>
        <v/>
      </c>
    </row>
    <row r="131" spans="16:20" ht="14.25" customHeight="1">
      <c r="P131" t="str">
        <f>IF(F131="","",IF(COUNTIF(J131:O131,"D")&gt;0,"",(IF(ISNUMBER(J131),J131,0)*Parametros!$K$4+IF(ISNUMBER(K131),K131,0)*Parametros!$K$5+IF(ISNUMBER(M131),M131,0)*Parametros!$K$6+IF(ISNUMBER(N131),N131,0)*Parametros!$K$7+IF(ISNUMBER(O131),O131,0)*Parametros!$K$8)/Parametros!$B$2))</f>
        <v/>
      </c>
      <c r="Q131" t="str">
        <f>IF(F131="","",IF(COUNTIF(J131:O131,"D")&gt;0,"Desiste",IF(IFERROR(P131,0)&gt;=Parametros!$B$1,"Aprueba","No aprueba")))</f>
        <v/>
      </c>
      <c r="T131" t="str">
        <f>IF($Q131="Aprueba",COUNTIF($Q$2:$Q131,"Aprueba"),"")</f>
        <v/>
      </c>
    </row>
    <row r="132" spans="16:20" ht="14.25" customHeight="1">
      <c r="P132" t="str">
        <f>IF(F132="","",IF(COUNTIF(J132:O132,"D")&gt;0,"",(IF(ISNUMBER(J132),J132,0)*Parametros!$K$4+IF(ISNUMBER(K132),K132,0)*Parametros!$K$5+IF(ISNUMBER(M132),M132,0)*Parametros!$K$6+IF(ISNUMBER(N132),N132,0)*Parametros!$K$7+IF(ISNUMBER(O132),O132,0)*Parametros!$K$8)/Parametros!$B$2))</f>
        <v/>
      </c>
      <c r="Q132" t="str">
        <f>IF(F132="","",IF(COUNTIF(J132:O132,"D")&gt;0,"Desiste",IF(IFERROR(P132,0)&gt;=Parametros!$B$1,"Aprueba","No aprueba")))</f>
        <v/>
      </c>
      <c r="T132" t="str">
        <f>IF($Q132="Aprueba",COUNTIF($Q$2:$Q132,"Aprueba"),"")</f>
        <v/>
      </c>
    </row>
    <row r="133" spans="16:20" ht="14.25" customHeight="1">
      <c r="P133" t="str">
        <f>IF(F133="","",IF(COUNTIF(J133:O133,"D")&gt;0,"",(IF(ISNUMBER(J133),J133,0)*Parametros!$K$4+IF(ISNUMBER(K133),K133,0)*Parametros!$K$5+IF(ISNUMBER(M133),M133,0)*Parametros!$K$6+IF(ISNUMBER(N133),N133,0)*Parametros!$K$7+IF(ISNUMBER(O133),O133,0)*Parametros!$K$8)/Parametros!$B$2))</f>
        <v/>
      </c>
      <c r="Q133" t="str">
        <f>IF(F133="","",IF(COUNTIF(J133:O133,"D")&gt;0,"Desiste",IF(IFERROR(P133,0)&gt;=Parametros!$B$1,"Aprueba","No aprueba")))</f>
        <v/>
      </c>
      <c r="T133" t="str">
        <f>IF($Q133="Aprueba",COUNTIF($Q$2:$Q133,"Aprueba"),"")</f>
        <v/>
      </c>
    </row>
    <row r="134" spans="16:20" ht="14.25" customHeight="1">
      <c r="P134" t="str">
        <f>IF(F134="","",IF(COUNTIF(J134:O134,"D")&gt;0,"",(IF(ISNUMBER(J134),J134,0)*Parametros!$K$4+IF(ISNUMBER(K134),K134,0)*Parametros!$K$5+IF(ISNUMBER(M134),M134,0)*Parametros!$K$6+IF(ISNUMBER(N134),N134,0)*Parametros!$K$7+IF(ISNUMBER(O134),O134,0)*Parametros!$K$8)/Parametros!$B$2))</f>
        <v/>
      </c>
      <c r="Q134" t="str">
        <f>IF(F134="","",IF(COUNTIF(J134:O134,"D")&gt;0,"Desiste",IF(IFERROR(P134,0)&gt;=Parametros!$B$1,"Aprueba","No aprueba")))</f>
        <v/>
      </c>
      <c r="T134" t="str">
        <f>IF($Q134="Aprueba",COUNTIF($Q$2:$Q134,"Aprueba"),"")</f>
        <v/>
      </c>
    </row>
    <row r="135" spans="16:20" ht="14.25" customHeight="1">
      <c r="P135" t="str">
        <f>IF(F135="","",IF(COUNTIF(J135:O135,"D")&gt;0,"",(IF(ISNUMBER(J135),J135,0)*Parametros!$K$4+IF(ISNUMBER(K135),K135,0)*Parametros!$K$5+IF(ISNUMBER(M135),M135,0)*Parametros!$K$6+IF(ISNUMBER(N135),N135,0)*Parametros!$K$7+IF(ISNUMBER(O135),O135,0)*Parametros!$K$8)/Parametros!$B$2))</f>
        <v/>
      </c>
      <c r="Q135" t="str">
        <f>IF(F135="","",IF(COUNTIF(J135:O135,"D")&gt;0,"Desiste",IF(IFERROR(P135,0)&gt;=Parametros!$B$1,"Aprueba","No aprueba")))</f>
        <v/>
      </c>
      <c r="T135" t="str">
        <f>IF($Q135="Aprueba",COUNTIF($Q$2:$Q135,"Aprueba"),"")</f>
        <v/>
      </c>
    </row>
    <row r="136" spans="16:20" ht="14.25" customHeight="1">
      <c r="P136" t="str">
        <f>IF(F136="","",IF(COUNTIF(J136:O136,"D")&gt;0,"",(IF(ISNUMBER(J136),J136,0)*Parametros!$K$4+IF(ISNUMBER(K136),K136,0)*Parametros!$K$5+IF(ISNUMBER(M136),M136,0)*Parametros!$K$6+IF(ISNUMBER(N136),N136,0)*Parametros!$K$7+IF(ISNUMBER(O136),O136,0)*Parametros!$K$8)/Parametros!$B$2))</f>
        <v/>
      </c>
      <c r="Q136" t="str">
        <f>IF(F136="","",IF(COUNTIF(J136:O136,"D")&gt;0,"Desiste",IF(IFERROR(P136,0)&gt;=Parametros!$B$1,"Aprueba","No aprueba")))</f>
        <v/>
      </c>
      <c r="T136" t="str">
        <f>IF($Q136="Aprueba",COUNTIF($Q$2:$Q136,"Aprueba"),"")</f>
        <v/>
      </c>
    </row>
    <row r="137" spans="16:20" ht="14.25" customHeight="1">
      <c r="P137" t="str">
        <f>IF(F137="","",IF(COUNTIF(J137:O137,"D")&gt;0,"",(IF(ISNUMBER(J137),J137,0)*Parametros!$K$4+IF(ISNUMBER(K137),K137,0)*Parametros!$K$5+IF(ISNUMBER(M137),M137,0)*Parametros!$K$6+IF(ISNUMBER(N137),N137,0)*Parametros!$K$7+IF(ISNUMBER(O137),O137,0)*Parametros!$K$8)/Parametros!$B$2))</f>
        <v/>
      </c>
      <c r="Q137" t="str">
        <f>IF(F137="","",IF(COUNTIF(J137:O137,"D")&gt;0,"Desiste",IF(IFERROR(P137,0)&gt;=Parametros!$B$1,"Aprueba","No aprueba")))</f>
        <v/>
      </c>
      <c r="T137" t="str">
        <f>IF($Q137="Aprueba",COUNTIF($Q$2:$Q137,"Aprueba"),"")</f>
        <v/>
      </c>
    </row>
    <row r="138" spans="16:20" ht="14.25" customHeight="1">
      <c r="P138" t="str">
        <f>IF(F138="","",IF(COUNTIF(J138:O138,"D")&gt;0,"",(IF(ISNUMBER(J138),J138,0)*Parametros!$K$4+IF(ISNUMBER(K138),K138,0)*Parametros!$K$5+IF(ISNUMBER(M138),M138,0)*Parametros!$K$6+IF(ISNUMBER(N138),N138,0)*Parametros!$K$7+IF(ISNUMBER(O138),O138,0)*Parametros!$K$8)/Parametros!$B$2))</f>
        <v/>
      </c>
      <c r="Q138" t="str">
        <f>IF(F138="","",IF(COUNTIF(J138:O138,"D")&gt;0,"Desiste",IF(IFERROR(P138,0)&gt;=Parametros!$B$1,"Aprueba","No aprueba")))</f>
        <v/>
      </c>
      <c r="T138" t="str">
        <f>IF($Q138="Aprueba",COUNTIF($Q$2:$Q138,"Aprueba"),"")</f>
        <v/>
      </c>
    </row>
    <row r="139" spans="16:20" ht="14.25" customHeight="1">
      <c r="P139" t="str">
        <f>IF(F139="","",IF(COUNTIF(J139:O139,"D")&gt;0,"",(IF(ISNUMBER(J139),J139,0)*Parametros!$K$4+IF(ISNUMBER(K139),K139,0)*Parametros!$K$5+IF(ISNUMBER(M139),M139,0)*Parametros!$K$6+IF(ISNUMBER(N139),N139,0)*Parametros!$K$7+IF(ISNUMBER(O139),O139,0)*Parametros!$K$8)/Parametros!$B$2))</f>
        <v/>
      </c>
      <c r="Q139" t="str">
        <f>IF(F139="","",IF(COUNTIF(J139:O139,"D")&gt;0,"Desiste",IF(IFERROR(P139,0)&gt;=Parametros!$B$1,"Aprueba","No aprueba")))</f>
        <v/>
      </c>
      <c r="T139" t="str">
        <f>IF($Q139="Aprueba",COUNTIF($Q$2:$Q139,"Aprueba"),"")</f>
        <v/>
      </c>
    </row>
    <row r="140" spans="16:20" ht="14.25" customHeight="1">
      <c r="P140" t="str">
        <f>IF(F140="","",IF(COUNTIF(J140:O140,"D")&gt;0,"",(IF(ISNUMBER(J140),J140,0)*Parametros!$K$4+IF(ISNUMBER(K140),K140,0)*Parametros!$K$5+IF(ISNUMBER(M140),M140,0)*Parametros!$K$6+IF(ISNUMBER(N140),N140,0)*Parametros!$K$7+IF(ISNUMBER(O140),O140,0)*Parametros!$K$8)/Parametros!$B$2))</f>
        <v/>
      </c>
      <c r="Q140" t="str">
        <f>IF(F140="","",IF(COUNTIF(J140:O140,"D")&gt;0,"Desiste",IF(IFERROR(P140,0)&gt;=Parametros!$B$1,"Aprueba","No aprueba")))</f>
        <v/>
      </c>
      <c r="T140" t="str">
        <f>IF($Q140="Aprueba",COUNTIF($Q$2:$Q140,"Aprueba"),"")</f>
        <v/>
      </c>
    </row>
    <row r="141" spans="16:20" ht="14.25" customHeight="1">
      <c r="P141" t="str">
        <f>IF(F141="","",IF(COUNTIF(J141:O141,"D")&gt;0,"",(IF(ISNUMBER(J141),J141,0)*Parametros!$K$4+IF(ISNUMBER(K141),K141,0)*Parametros!$K$5+IF(ISNUMBER(M141),M141,0)*Parametros!$K$6+IF(ISNUMBER(N141),N141,0)*Parametros!$K$7+IF(ISNUMBER(O141),O141,0)*Parametros!$K$8)/Parametros!$B$2))</f>
        <v/>
      </c>
      <c r="Q141" t="str">
        <f>IF(F141="","",IF(COUNTIF(J141:O141,"D")&gt;0,"Desiste",IF(IFERROR(P141,0)&gt;=Parametros!$B$1,"Aprueba","No aprueba")))</f>
        <v/>
      </c>
      <c r="T141" t="str">
        <f>IF($Q141="Aprueba",COUNTIF($Q$2:$Q141,"Aprueba"),"")</f>
        <v/>
      </c>
    </row>
    <row r="142" spans="16:20" ht="14.25" customHeight="1">
      <c r="P142" t="str">
        <f>IF(F142="","",IF(COUNTIF(J142:O142,"D")&gt;0,"",(IF(ISNUMBER(J142),J142,0)*Parametros!$K$4+IF(ISNUMBER(K142),K142,0)*Parametros!$K$5+IF(ISNUMBER(M142),M142,0)*Parametros!$K$6+IF(ISNUMBER(N142),N142,0)*Parametros!$K$7+IF(ISNUMBER(O142),O142,0)*Parametros!$K$8)/Parametros!$B$2))</f>
        <v/>
      </c>
      <c r="Q142" t="str">
        <f>IF(F142="","",IF(COUNTIF(J142:O142,"D")&gt;0,"Desiste",IF(IFERROR(P142,0)&gt;=Parametros!$B$1,"Aprueba","No aprueba")))</f>
        <v/>
      </c>
      <c r="T142" t="str">
        <f>IF($Q142="Aprueba",COUNTIF($Q$2:$Q142,"Aprueba"),"")</f>
        <v/>
      </c>
    </row>
    <row r="143" spans="16:20" ht="14.25" customHeight="1">
      <c r="P143" t="str">
        <f>IF(F143="","",IF(COUNTIF(J143:O143,"D")&gt;0,"",(IF(ISNUMBER(J143),J143,0)*Parametros!$K$4+IF(ISNUMBER(K143),K143,0)*Parametros!$K$5+IF(ISNUMBER(M143),M143,0)*Parametros!$K$6+IF(ISNUMBER(N143),N143,0)*Parametros!$K$7+IF(ISNUMBER(O143),O143,0)*Parametros!$K$8)/Parametros!$B$2))</f>
        <v/>
      </c>
      <c r="Q143" t="str">
        <f>IF(F143="","",IF(COUNTIF(J143:O143,"D")&gt;0,"Desiste",IF(IFERROR(P143,0)&gt;=Parametros!$B$1,"Aprueba","No aprueba")))</f>
        <v/>
      </c>
      <c r="T143" t="str">
        <f>IF($Q143="Aprueba",COUNTIF($Q$2:$Q143,"Aprueba"),"")</f>
        <v/>
      </c>
    </row>
    <row r="144" spans="16:20" ht="14.25" customHeight="1">
      <c r="P144" t="str">
        <f>IF(F144="","",IF(COUNTIF(J144:O144,"D")&gt;0,"",(IF(ISNUMBER(J144),J144,0)*Parametros!$K$4+IF(ISNUMBER(K144),K144,0)*Parametros!$K$5+IF(ISNUMBER(M144),M144,0)*Parametros!$K$6+IF(ISNUMBER(N144),N144,0)*Parametros!$K$7+IF(ISNUMBER(O144),O144,0)*Parametros!$K$8)/Parametros!$B$2))</f>
        <v/>
      </c>
      <c r="Q144" t="str">
        <f>IF(F144="","",IF(COUNTIF(J144:O144,"D")&gt;0,"Desiste",IF(IFERROR(P144,0)&gt;=Parametros!$B$1,"Aprueba","No aprueba")))</f>
        <v/>
      </c>
      <c r="T144" t="str">
        <f>IF($Q144="Aprueba",COUNTIF($Q$2:$Q144,"Aprueba"),"")</f>
        <v/>
      </c>
    </row>
    <row r="145" spans="16:20" ht="14.25" customHeight="1">
      <c r="P145" t="str">
        <f>IF(F145="","",IF(COUNTIF(J145:O145,"D")&gt;0,"",(IF(ISNUMBER(J145),J145,0)*Parametros!$K$4+IF(ISNUMBER(K145),K145,0)*Parametros!$K$5+IF(ISNUMBER(M145),M145,0)*Parametros!$K$6+IF(ISNUMBER(N145),N145,0)*Parametros!$K$7+IF(ISNUMBER(O145),O145,0)*Parametros!$K$8)/Parametros!$B$2))</f>
        <v/>
      </c>
      <c r="Q145" t="str">
        <f>IF(F145="","",IF(COUNTIF(J145:O145,"D")&gt;0,"Desiste",IF(IFERROR(P145,0)&gt;=Parametros!$B$1,"Aprueba","No aprueba")))</f>
        <v/>
      </c>
      <c r="T145" t="str">
        <f>IF($Q145="Aprueba",COUNTIF($Q$2:$Q145,"Aprueba"),"")</f>
        <v/>
      </c>
    </row>
    <row r="146" spans="16:20" ht="14.25" customHeight="1">
      <c r="P146" t="str">
        <f>IF(F146="","",IF(COUNTIF(J146:O146,"D")&gt;0,"",(IF(ISNUMBER(J146),J146,0)*Parametros!$K$4+IF(ISNUMBER(K146),K146,0)*Parametros!$K$5+IF(ISNUMBER(M146),M146,0)*Parametros!$K$6+IF(ISNUMBER(N146),N146,0)*Parametros!$K$7+IF(ISNUMBER(O146),O146,0)*Parametros!$K$8)/Parametros!$B$2))</f>
        <v/>
      </c>
      <c r="Q146" t="str">
        <f>IF(F146="","",IF(COUNTIF(J146:O146,"D")&gt;0,"Desiste",IF(IFERROR(P146,0)&gt;=Parametros!$B$1,"Aprueba","No aprueba")))</f>
        <v/>
      </c>
      <c r="T146" t="str">
        <f>IF($Q146="Aprueba",COUNTIF($Q$2:$Q146,"Aprueba"),"")</f>
        <v/>
      </c>
    </row>
    <row r="147" spans="16:20" ht="14.25" customHeight="1">
      <c r="P147" t="str">
        <f>IF(F147="","",IF(COUNTIF(J147:O147,"D")&gt;0,"",(IF(ISNUMBER(J147),J147,0)*Parametros!$K$4+IF(ISNUMBER(K147),K147,0)*Parametros!$K$5+IF(ISNUMBER(M147),M147,0)*Parametros!$K$6+IF(ISNUMBER(N147),N147,0)*Parametros!$K$7+IF(ISNUMBER(O147),O147,0)*Parametros!$K$8)/Parametros!$B$2))</f>
        <v/>
      </c>
      <c r="Q147" t="str">
        <f>IF(F147="","",IF(COUNTIF(J147:O147,"D")&gt;0,"Desiste",IF(IFERROR(P147,0)&gt;=Parametros!$B$1,"Aprueba","No aprueba")))</f>
        <v/>
      </c>
      <c r="T147" t="str">
        <f>IF($Q147="Aprueba",COUNTIF($Q$2:$Q147,"Aprueba"),"")</f>
        <v/>
      </c>
    </row>
    <row r="148" spans="16:20" ht="14.25" customHeight="1">
      <c r="P148" t="str">
        <f>IF(F148="","",IF(COUNTIF(J148:O148,"D")&gt;0,"",(IF(ISNUMBER(J148),J148,0)*Parametros!$K$4+IF(ISNUMBER(K148),K148,0)*Parametros!$K$5+IF(ISNUMBER(M148),M148,0)*Parametros!$K$6+IF(ISNUMBER(N148),N148,0)*Parametros!$K$7+IF(ISNUMBER(O148),O148,0)*Parametros!$K$8)/Parametros!$B$2))</f>
        <v/>
      </c>
      <c r="Q148" t="str">
        <f>IF(F148="","",IF(COUNTIF(J148:O148,"D")&gt;0,"Desiste",IF(IFERROR(P148,0)&gt;=Parametros!$B$1,"Aprueba","No aprueba")))</f>
        <v/>
      </c>
      <c r="T148" t="str">
        <f>IF($Q148="Aprueba",COUNTIF($Q$2:$Q148,"Aprueba"),"")</f>
        <v/>
      </c>
    </row>
    <row r="149" spans="16:20" ht="14.25" customHeight="1">
      <c r="P149" t="str">
        <f>IF(F149="","",IF(COUNTIF(J149:O149,"D")&gt;0,"",(IF(ISNUMBER(J149),J149,0)*Parametros!$K$4+IF(ISNUMBER(K149),K149,0)*Parametros!$K$5+IF(ISNUMBER(M149),M149,0)*Parametros!$K$6+IF(ISNUMBER(N149),N149,0)*Parametros!$K$7+IF(ISNUMBER(O149),O149,0)*Parametros!$K$8)/Parametros!$B$2))</f>
        <v/>
      </c>
      <c r="Q149" t="str">
        <f>IF(F149="","",IF(COUNTIF(J149:O149,"D")&gt;0,"Desiste",IF(IFERROR(P149,0)&gt;=Parametros!$B$1,"Aprueba","No aprueba")))</f>
        <v/>
      </c>
      <c r="T149" t="str">
        <f>IF($Q149="Aprueba",COUNTIF($Q$2:$Q149,"Aprueba"),"")</f>
        <v/>
      </c>
    </row>
    <row r="150" spans="16:20" ht="14.25" customHeight="1">
      <c r="P150" t="str">
        <f>IF(F150="","",IF(COUNTIF(J150:O150,"D")&gt;0,"",(IF(ISNUMBER(J150),J150,0)*Parametros!$K$4+IF(ISNUMBER(K150),K150,0)*Parametros!$K$5+IF(ISNUMBER(M150),M150,0)*Parametros!$K$6+IF(ISNUMBER(N150),N150,0)*Parametros!$K$7+IF(ISNUMBER(O150),O150,0)*Parametros!$K$8)/Parametros!$B$2))</f>
        <v/>
      </c>
      <c r="Q150" t="str">
        <f>IF(F150="","",IF(COUNTIF(J150:O150,"D")&gt;0,"Desiste",IF(IFERROR(P150,0)&gt;=Parametros!$B$1,"Aprueba","No aprueba")))</f>
        <v/>
      </c>
      <c r="T150" t="str">
        <f>IF($Q150="Aprueba",COUNTIF($Q$2:$Q150,"Aprueba"),"")</f>
        <v/>
      </c>
    </row>
    <row r="151" spans="16:20" ht="14.25" customHeight="1">
      <c r="P151" t="str">
        <f>IF(F151="","",IF(COUNTIF(J151:O151,"D")&gt;0,"",(IF(ISNUMBER(J151),J151,0)*Parametros!$K$4+IF(ISNUMBER(K151),K151,0)*Parametros!$K$5+IF(ISNUMBER(M151),M151,0)*Parametros!$K$6+IF(ISNUMBER(N151),N151,0)*Parametros!$K$7+IF(ISNUMBER(O151),O151,0)*Parametros!$K$8)/Parametros!$B$2))</f>
        <v/>
      </c>
      <c r="Q151" t="str">
        <f>IF(F151="","",IF(COUNTIF(J151:O151,"D")&gt;0,"Desiste",IF(IFERROR(P151,0)&gt;=Parametros!$B$1,"Aprueba","No aprueba")))</f>
        <v/>
      </c>
      <c r="T151" t="str">
        <f>IF($Q151="Aprueba",COUNTIF($Q$2:$Q151,"Aprueba"),"")</f>
        <v/>
      </c>
    </row>
    <row r="152" spans="16:20" ht="14.25" customHeight="1">
      <c r="P152" t="str">
        <f>IF(F152="","",IF(COUNTIF(J152:O152,"D")&gt;0,"",(IF(ISNUMBER(J152),J152,0)*Parametros!$K$4+IF(ISNUMBER(K152),K152,0)*Parametros!$K$5+IF(ISNUMBER(M152),M152,0)*Parametros!$K$6+IF(ISNUMBER(N152),N152,0)*Parametros!$K$7+IF(ISNUMBER(O152),O152,0)*Parametros!$K$8)/Parametros!$B$2))</f>
        <v/>
      </c>
      <c r="Q152" t="str">
        <f>IF(F152="","",IF(COUNTIF(J152:O152,"D")&gt;0,"Desiste",IF(IFERROR(P152,0)&gt;=Parametros!$B$1,"Aprueba","No aprueba")))</f>
        <v/>
      </c>
      <c r="T152" t="str">
        <f>IF($Q152="Aprueba",COUNTIF($Q$2:$Q152,"Aprueba"),"")</f>
        <v/>
      </c>
    </row>
    <row r="153" spans="16:20" ht="14.25" customHeight="1">
      <c r="P153" t="str">
        <f>IF(F153="","",IF(COUNTIF(J153:O153,"D")&gt;0,"",(IF(ISNUMBER(J153),J153,0)*Parametros!$K$4+IF(ISNUMBER(K153),K153,0)*Parametros!$K$5+IF(ISNUMBER(M153),M153,0)*Parametros!$K$6+IF(ISNUMBER(N153),N153,0)*Parametros!$K$7+IF(ISNUMBER(O153),O153,0)*Parametros!$K$8)/Parametros!$B$2))</f>
        <v/>
      </c>
      <c r="Q153" t="str">
        <f>IF(F153="","",IF(COUNTIF(J153:O153,"D")&gt;0,"Desiste",IF(IFERROR(P153,0)&gt;=Parametros!$B$1,"Aprueba","No aprueba")))</f>
        <v/>
      </c>
      <c r="T153" t="str">
        <f>IF($Q153="Aprueba",COUNTIF($Q$2:$Q153,"Aprueba"),"")</f>
        <v/>
      </c>
    </row>
    <row r="154" spans="16:20" ht="14.25" customHeight="1">
      <c r="P154" t="str">
        <f>IF(F154="","",IF(COUNTIF(J154:O154,"D")&gt;0,"",(IF(ISNUMBER(J154),J154,0)*Parametros!$K$4+IF(ISNUMBER(K154),K154,0)*Parametros!$K$5+IF(ISNUMBER(M154),M154,0)*Parametros!$K$6+IF(ISNUMBER(N154),N154,0)*Parametros!$K$7+IF(ISNUMBER(O154),O154,0)*Parametros!$K$8)/Parametros!$B$2))</f>
        <v/>
      </c>
      <c r="Q154" t="str">
        <f>IF(F154="","",IF(COUNTIF(J154:O154,"D")&gt;0,"Desiste",IF(IFERROR(P154,0)&gt;=Parametros!$B$1,"Aprueba","No aprueba")))</f>
        <v/>
      </c>
      <c r="T154" t="str">
        <f>IF($Q154="Aprueba",COUNTIF($Q$2:$Q154,"Aprueba"),"")</f>
        <v/>
      </c>
    </row>
    <row r="155" spans="16:20" ht="14.25" customHeight="1">
      <c r="P155" t="str">
        <f>IF(F155="","",IF(COUNTIF(J155:O155,"D")&gt;0,"",(IF(ISNUMBER(J155),J155,0)*Parametros!$K$4+IF(ISNUMBER(K155),K155,0)*Parametros!$K$5+IF(ISNUMBER(M155),M155,0)*Parametros!$K$6+IF(ISNUMBER(N155),N155,0)*Parametros!$K$7+IF(ISNUMBER(O155),O155,0)*Parametros!$K$8)/Parametros!$B$2))</f>
        <v/>
      </c>
      <c r="Q155" t="str">
        <f>IF(F155="","",IF(COUNTIF(J155:O155,"D")&gt;0,"Desiste",IF(IFERROR(P155,0)&gt;=Parametros!$B$1,"Aprueba","No aprueba")))</f>
        <v/>
      </c>
      <c r="T155" t="str">
        <f>IF($Q155="Aprueba",COUNTIF($Q$2:$Q155,"Aprueba"),"")</f>
        <v/>
      </c>
    </row>
    <row r="156" spans="16:20" ht="14.25" customHeight="1">
      <c r="P156" t="str">
        <f>IF(F156="","",IF(COUNTIF(J156:O156,"D")&gt;0,"",(IF(ISNUMBER(J156),J156,0)*Parametros!$K$4+IF(ISNUMBER(K156),K156,0)*Parametros!$K$5+IF(ISNUMBER(M156),M156,0)*Parametros!$K$6+IF(ISNUMBER(N156),N156,0)*Parametros!$K$7+IF(ISNUMBER(O156),O156,0)*Parametros!$K$8)/Parametros!$B$2))</f>
        <v/>
      </c>
      <c r="Q156" t="str">
        <f>IF(F156="","",IF(COUNTIF(J156:O156,"D")&gt;0,"Desiste",IF(IFERROR(P156,0)&gt;=Parametros!$B$1,"Aprueba","No aprueba")))</f>
        <v/>
      </c>
      <c r="T156" t="str">
        <f>IF($Q156="Aprueba",COUNTIF($Q$2:$Q156,"Aprueba"),"")</f>
        <v/>
      </c>
    </row>
    <row r="157" spans="16:20" ht="14.25" customHeight="1">
      <c r="P157" t="str">
        <f>IF(F157="","",IF(COUNTIF(J157:O157,"D")&gt;0,"",(IF(ISNUMBER(J157),J157,0)*Parametros!$K$4+IF(ISNUMBER(K157),K157,0)*Parametros!$K$5+IF(ISNUMBER(M157),M157,0)*Parametros!$K$6+IF(ISNUMBER(N157),N157,0)*Parametros!$K$7+IF(ISNUMBER(O157),O157,0)*Parametros!$K$8)/Parametros!$B$2))</f>
        <v/>
      </c>
      <c r="Q157" t="str">
        <f>IF(F157="","",IF(COUNTIF(J157:O157,"D")&gt;0,"Desiste",IF(IFERROR(P157,0)&gt;=Parametros!$B$1,"Aprueba","No aprueba")))</f>
        <v/>
      </c>
      <c r="T157" t="str">
        <f>IF($Q157="Aprueba",COUNTIF($Q$2:$Q157,"Aprueba"),"")</f>
        <v/>
      </c>
    </row>
    <row r="158" spans="16:20" ht="14.25" customHeight="1">
      <c r="P158" t="str">
        <f>IF(F158="","",IF(COUNTIF(J158:O158,"D")&gt;0,"",(IF(ISNUMBER(J158),J158,0)*Parametros!$K$4+IF(ISNUMBER(K158),K158,0)*Parametros!$K$5+IF(ISNUMBER(M158),M158,0)*Parametros!$K$6+IF(ISNUMBER(N158),N158,0)*Parametros!$K$7+IF(ISNUMBER(O158),O158,0)*Parametros!$K$8)/Parametros!$B$2))</f>
        <v/>
      </c>
      <c r="Q158" t="str">
        <f>IF(F158="","",IF(COUNTIF(J158:O158,"D")&gt;0,"Desiste",IF(IFERROR(P158,0)&gt;=Parametros!$B$1,"Aprueba","No aprueba")))</f>
        <v/>
      </c>
      <c r="T158" t="str">
        <f>IF($Q158="Aprueba",COUNTIF($Q$2:$Q158,"Aprueba"),"")</f>
        <v/>
      </c>
    </row>
    <row r="159" spans="16:20" ht="14.25" customHeight="1">
      <c r="P159" t="str">
        <f>IF(F159="","",IF(COUNTIF(J159:O159,"D")&gt;0,"",(IF(ISNUMBER(J159),J159,0)*Parametros!$K$4+IF(ISNUMBER(K159),K159,0)*Parametros!$K$5+IF(ISNUMBER(M159),M159,0)*Parametros!$K$6+IF(ISNUMBER(N159),N159,0)*Parametros!$K$7+IF(ISNUMBER(O159),O159,0)*Parametros!$K$8)/Parametros!$B$2))</f>
        <v/>
      </c>
      <c r="Q159" t="str">
        <f>IF(F159="","",IF(COUNTIF(J159:O159,"D")&gt;0,"Desiste",IF(IFERROR(P159,0)&gt;=Parametros!$B$1,"Aprueba","No aprueba")))</f>
        <v/>
      </c>
      <c r="T159" t="str">
        <f>IF($Q159="Aprueba",COUNTIF($Q$2:$Q159,"Aprueba"),"")</f>
        <v/>
      </c>
    </row>
    <row r="160" spans="16:20" ht="14.25" customHeight="1">
      <c r="P160" t="str">
        <f>IF(F160="","",IF(COUNTIF(J160:O160,"D")&gt;0,"",(IF(ISNUMBER(J160),J160,0)*Parametros!$K$4+IF(ISNUMBER(K160),K160,0)*Parametros!$K$5+IF(ISNUMBER(M160),M160,0)*Parametros!$K$6+IF(ISNUMBER(N160),N160,0)*Parametros!$K$7+IF(ISNUMBER(O160),O160,0)*Parametros!$K$8)/Parametros!$B$2))</f>
        <v/>
      </c>
      <c r="Q160" t="str">
        <f>IF(F160="","",IF(COUNTIF(J160:O160,"D")&gt;0,"Desiste",IF(IFERROR(P160,0)&gt;=Parametros!$B$1,"Aprueba","No aprueba")))</f>
        <v/>
      </c>
      <c r="T160" t="str">
        <f>IF($Q160="Aprueba",COUNTIF($Q$2:$Q160,"Aprueba"),"")</f>
        <v/>
      </c>
    </row>
    <row r="161" spans="16:20" ht="14.25" customHeight="1">
      <c r="P161" t="str">
        <f>IF(F161="","",IF(COUNTIF(J161:O161,"D")&gt;0,"",(IF(ISNUMBER(J161),J161,0)*Parametros!$K$4+IF(ISNUMBER(K161),K161,0)*Parametros!$K$5+IF(ISNUMBER(M161),M161,0)*Parametros!$K$6+IF(ISNUMBER(N161),N161,0)*Parametros!$K$7+IF(ISNUMBER(O161),O161,0)*Parametros!$K$8)/Parametros!$B$2))</f>
        <v/>
      </c>
      <c r="Q161" t="str">
        <f>IF(F161="","",IF(COUNTIF(J161:O161,"D")&gt;0,"Desiste",IF(IFERROR(P161,0)&gt;=Parametros!$B$1,"Aprueba","No aprueba")))</f>
        <v/>
      </c>
      <c r="T161" t="str">
        <f>IF($Q161="Aprueba",COUNTIF($Q$2:$Q161,"Aprueba"),"")</f>
        <v/>
      </c>
    </row>
    <row r="162" spans="16:20" ht="14.25" customHeight="1">
      <c r="P162" t="str">
        <f>IF(F162="","",IF(COUNTIF(J162:O162,"D")&gt;0,"",(IF(ISNUMBER(J162),J162,0)*Parametros!$K$4+IF(ISNUMBER(K162),K162,0)*Parametros!$K$5+IF(ISNUMBER(M162),M162,0)*Parametros!$K$6+IF(ISNUMBER(N162),N162,0)*Parametros!$K$7+IF(ISNUMBER(O162),O162,0)*Parametros!$K$8)/Parametros!$B$2))</f>
        <v/>
      </c>
      <c r="Q162" t="str">
        <f>IF(F162="","",IF(COUNTIF(J162:O162,"D")&gt;0,"Desiste",IF(IFERROR(P162,0)&gt;=Parametros!$B$1,"Aprueba","No aprueba")))</f>
        <v/>
      </c>
      <c r="T162" t="str">
        <f>IF($Q162="Aprueba",COUNTIF($Q$2:$Q162,"Aprueba"),"")</f>
        <v/>
      </c>
    </row>
    <row r="163" spans="16:20" ht="14.25" customHeight="1">
      <c r="P163" t="str">
        <f>IF(F163="","",IF(COUNTIF(J163:O163,"D")&gt;0,"",(IF(ISNUMBER(J163),J163,0)*Parametros!$K$4+IF(ISNUMBER(K163),K163,0)*Parametros!$K$5+IF(ISNUMBER(M163),M163,0)*Parametros!$K$6+IF(ISNUMBER(N163),N163,0)*Parametros!$K$7+IF(ISNUMBER(O163),O163,0)*Parametros!$K$8)/Parametros!$B$2))</f>
        <v/>
      </c>
      <c r="Q163" t="str">
        <f>IF(F163="","",IF(COUNTIF(J163:O163,"D")&gt;0,"Desiste",IF(IFERROR(P163,0)&gt;=Parametros!$B$1,"Aprueba","No aprueba")))</f>
        <v/>
      </c>
      <c r="T163" t="str">
        <f>IF($Q163="Aprueba",COUNTIF($Q$2:$Q163,"Aprueba"),"")</f>
        <v/>
      </c>
    </row>
    <row r="164" spans="16:20" ht="14.25" customHeight="1">
      <c r="P164" t="str">
        <f>IF(F164="","",IF(COUNTIF(J164:O164,"D")&gt;0,"",(IF(ISNUMBER(J164),J164,0)*Parametros!$K$4+IF(ISNUMBER(K164),K164,0)*Parametros!$K$5+IF(ISNUMBER(M164),M164,0)*Parametros!$K$6+IF(ISNUMBER(N164),N164,0)*Parametros!$K$7+IF(ISNUMBER(O164),O164,0)*Parametros!$K$8)/Parametros!$B$2))</f>
        <v/>
      </c>
      <c r="Q164" t="str">
        <f>IF(F164="","",IF(COUNTIF(J164:O164,"D")&gt;0,"Desiste",IF(IFERROR(P164,0)&gt;=Parametros!$B$1,"Aprueba","No aprueba")))</f>
        <v/>
      </c>
      <c r="T164" t="str">
        <f>IF($Q164="Aprueba",COUNTIF($Q$2:$Q164,"Aprueba"),"")</f>
        <v/>
      </c>
    </row>
    <row r="165" spans="16:20" ht="14.25" customHeight="1">
      <c r="P165" t="str">
        <f>IF(F165="","",IF(COUNTIF(J165:O165,"D")&gt;0,"",(IF(ISNUMBER(J165),J165,0)*Parametros!$K$4+IF(ISNUMBER(K165),K165,0)*Parametros!$K$5+IF(ISNUMBER(M165),M165,0)*Parametros!$K$6+IF(ISNUMBER(N165),N165,0)*Parametros!$K$7+IF(ISNUMBER(O165),O165,0)*Parametros!$K$8)/Parametros!$B$2))</f>
        <v/>
      </c>
      <c r="Q165" t="str">
        <f>IF(F165="","",IF(COUNTIF(J165:O165,"D")&gt;0,"Desiste",IF(IFERROR(P165,0)&gt;=Parametros!$B$1,"Aprueba","No aprueba")))</f>
        <v/>
      </c>
      <c r="T165" t="str">
        <f>IF($Q165="Aprueba",COUNTIF($Q$2:$Q165,"Aprueba"),"")</f>
        <v/>
      </c>
    </row>
    <row r="166" spans="16:20" ht="14.25" customHeight="1">
      <c r="P166" t="str">
        <f>IF(F166="","",IF(COUNTIF(J166:O166,"D")&gt;0,"",(IF(ISNUMBER(J166),J166,0)*Parametros!$K$4+IF(ISNUMBER(K166),K166,0)*Parametros!$K$5+IF(ISNUMBER(M166),M166,0)*Parametros!$K$6+IF(ISNUMBER(N166),N166,0)*Parametros!$K$7+IF(ISNUMBER(O166),O166,0)*Parametros!$K$8)/Parametros!$B$2))</f>
        <v/>
      </c>
      <c r="Q166" t="str">
        <f>IF(F166="","",IF(COUNTIF(J166:O166,"D")&gt;0,"Desiste",IF(IFERROR(P166,0)&gt;=Parametros!$B$1,"Aprueba","No aprueba")))</f>
        <v/>
      </c>
      <c r="T166" t="str">
        <f>IF($Q166="Aprueba",COUNTIF($Q$2:$Q166,"Aprueba"),"")</f>
        <v/>
      </c>
    </row>
    <row r="167" spans="16:20" ht="14.25" customHeight="1">
      <c r="P167" t="str">
        <f>IF(F167="","",IF(COUNTIF(J167:O167,"D")&gt;0,"",(IF(ISNUMBER(J167),J167,0)*Parametros!$K$4+IF(ISNUMBER(K167),K167,0)*Parametros!$K$5+IF(ISNUMBER(M167),M167,0)*Parametros!$K$6+IF(ISNUMBER(N167),N167,0)*Parametros!$K$7+IF(ISNUMBER(O167),O167,0)*Parametros!$K$8)/Parametros!$B$2))</f>
        <v/>
      </c>
      <c r="Q167" t="str">
        <f>IF(F167="","",IF(COUNTIF(J167:O167,"D")&gt;0,"Desiste",IF(IFERROR(P167,0)&gt;=Parametros!$B$1,"Aprueba","No aprueba")))</f>
        <v/>
      </c>
      <c r="T167" t="str">
        <f>IF($Q167="Aprueba",COUNTIF($Q$2:$Q167,"Aprueba"),"")</f>
        <v/>
      </c>
    </row>
    <row r="168" spans="16:20" ht="14.25" customHeight="1">
      <c r="P168" t="str">
        <f>IF(F168="","",IF(COUNTIF(J168:O168,"D")&gt;0,"",(IF(ISNUMBER(J168),J168,0)*Parametros!$K$4+IF(ISNUMBER(K168),K168,0)*Parametros!$K$5+IF(ISNUMBER(M168),M168,0)*Parametros!$K$6+IF(ISNUMBER(N168),N168,0)*Parametros!$K$7+IF(ISNUMBER(O168),O168,0)*Parametros!$K$8)/Parametros!$B$2))</f>
        <v/>
      </c>
      <c r="Q168" t="str">
        <f>IF(F168="","",IF(COUNTIF(J168:O168,"D")&gt;0,"Desiste",IF(IFERROR(P168,0)&gt;=Parametros!$B$1,"Aprueba","No aprueba")))</f>
        <v/>
      </c>
      <c r="T168" t="str">
        <f>IF($Q168="Aprueba",COUNTIF($Q$2:$Q168,"Aprueba"),"")</f>
        <v/>
      </c>
    </row>
    <row r="169" spans="16:20" ht="14.25" customHeight="1">
      <c r="P169" t="str">
        <f>IF(F169="","",IF(COUNTIF(J169:O169,"D")&gt;0,"",(IF(ISNUMBER(J169),J169,0)*Parametros!$K$4+IF(ISNUMBER(K169),K169,0)*Parametros!$K$5+IF(ISNUMBER(M169),M169,0)*Parametros!$K$6+IF(ISNUMBER(N169),N169,0)*Parametros!$K$7+IF(ISNUMBER(O169),O169,0)*Parametros!$K$8)/Parametros!$B$2))</f>
        <v/>
      </c>
      <c r="Q169" t="str">
        <f>IF(F169="","",IF(COUNTIF(J169:O169,"D")&gt;0,"Desiste",IF(IFERROR(P169,0)&gt;=Parametros!$B$1,"Aprueba","No aprueba")))</f>
        <v/>
      </c>
      <c r="T169" t="str">
        <f>IF($Q169="Aprueba",COUNTIF($Q$2:$Q169,"Aprueba"),"")</f>
        <v/>
      </c>
    </row>
    <row r="170" spans="16:20" ht="14.25" customHeight="1">
      <c r="P170" t="str">
        <f>IF(F170="","",IF(COUNTIF(J170:O170,"D")&gt;0,"",(IF(ISNUMBER(J170),J170,0)*Parametros!$K$4+IF(ISNUMBER(K170),K170,0)*Parametros!$K$5+IF(ISNUMBER(M170),M170,0)*Parametros!$K$6+IF(ISNUMBER(N170),N170,0)*Parametros!$K$7+IF(ISNUMBER(O170),O170,0)*Parametros!$K$8)/Parametros!$B$2))</f>
        <v/>
      </c>
      <c r="Q170" t="str">
        <f>IF(F170="","",IF(COUNTIF(J170:O170,"D")&gt;0,"Desiste",IF(IFERROR(P170,0)&gt;=Parametros!$B$1,"Aprueba","No aprueba")))</f>
        <v/>
      </c>
      <c r="T170" t="str">
        <f>IF($Q170="Aprueba",COUNTIF($Q$2:$Q170,"Aprueba"),"")</f>
        <v/>
      </c>
    </row>
    <row r="171" spans="16:20" ht="14.25" customHeight="1">
      <c r="P171" t="str">
        <f>IF(F171="","",IF(COUNTIF(J171:O171,"D")&gt;0,"",(IF(ISNUMBER(J171),J171,0)*Parametros!$K$4+IF(ISNUMBER(K171),K171,0)*Parametros!$K$5+IF(ISNUMBER(M171),M171,0)*Parametros!$K$6+IF(ISNUMBER(N171),N171,0)*Parametros!$K$7+IF(ISNUMBER(O171),O171,0)*Parametros!$K$8)/Parametros!$B$2))</f>
        <v/>
      </c>
      <c r="Q171" t="str">
        <f>IF(F171="","",IF(COUNTIF(J171:O171,"D")&gt;0,"Desiste",IF(IFERROR(P171,0)&gt;=Parametros!$B$1,"Aprueba","No aprueba")))</f>
        <v/>
      </c>
      <c r="T171" t="str">
        <f>IF($Q171="Aprueba",COUNTIF($Q$2:$Q171,"Aprueba"),"")</f>
        <v/>
      </c>
    </row>
    <row r="172" spans="16:20" ht="14.25" customHeight="1">
      <c r="P172" t="str">
        <f>IF(F172="","",IF(COUNTIF(J172:O172,"D")&gt;0,"",(IF(ISNUMBER(J172),J172,0)*Parametros!$K$4+IF(ISNUMBER(K172),K172,0)*Parametros!$K$5+IF(ISNUMBER(M172),M172,0)*Parametros!$K$6+IF(ISNUMBER(N172),N172,0)*Parametros!$K$7+IF(ISNUMBER(O172),O172,0)*Parametros!$K$8)/Parametros!$B$2))</f>
        <v/>
      </c>
      <c r="Q172" t="str">
        <f>IF(F172="","",IF(COUNTIF(J172:O172,"D")&gt;0,"Desiste",IF(IFERROR(P172,0)&gt;=Parametros!$B$1,"Aprueba","No aprueba")))</f>
        <v/>
      </c>
      <c r="T172" t="str">
        <f>IF($Q172="Aprueba",COUNTIF($Q$2:$Q172,"Aprueba"),"")</f>
        <v/>
      </c>
    </row>
    <row r="173" spans="16:20" ht="14.25" customHeight="1">
      <c r="P173" t="str">
        <f>IF(F173="","",IF(COUNTIF(J173:O173,"D")&gt;0,"",(IF(ISNUMBER(J173),J173,0)*Parametros!$K$4+IF(ISNUMBER(K173),K173,0)*Parametros!$K$5+IF(ISNUMBER(M173),M173,0)*Parametros!$K$6+IF(ISNUMBER(N173),N173,0)*Parametros!$K$7+IF(ISNUMBER(O173),O173,0)*Parametros!$K$8)/Parametros!$B$2))</f>
        <v/>
      </c>
      <c r="Q173" t="str">
        <f>IF(F173="","",IF(COUNTIF(J173:O173,"D")&gt;0,"Desiste",IF(IFERROR(P173,0)&gt;=Parametros!$B$1,"Aprueba","No aprueba")))</f>
        <v/>
      </c>
      <c r="T173" t="str">
        <f>IF($Q173="Aprueba",COUNTIF($Q$2:$Q173,"Aprueba"),"")</f>
        <v/>
      </c>
    </row>
    <row r="174" spans="16:20" ht="14.25" customHeight="1">
      <c r="P174" t="str">
        <f>IF(F174="","",IF(COUNTIF(J174:O174,"D")&gt;0,"",(IF(ISNUMBER(J174),J174,0)*Parametros!$K$4+IF(ISNUMBER(K174),K174,0)*Parametros!$K$5+IF(ISNUMBER(M174),M174,0)*Parametros!$K$6+IF(ISNUMBER(N174),N174,0)*Parametros!$K$7+IF(ISNUMBER(O174),O174,0)*Parametros!$K$8)/Parametros!$B$2))</f>
        <v/>
      </c>
      <c r="Q174" t="str">
        <f>IF(F174="","",IF(COUNTIF(J174:O174,"D")&gt;0,"Desiste",IF(IFERROR(P174,0)&gt;=Parametros!$B$1,"Aprueba","No aprueba")))</f>
        <v/>
      </c>
      <c r="T174" t="str">
        <f>IF($Q174="Aprueba",COUNTIF($Q$2:$Q174,"Aprueba"),"")</f>
        <v/>
      </c>
    </row>
    <row r="175" spans="16:20" ht="14.25" customHeight="1">
      <c r="P175" t="str">
        <f>IF(F175="","",IF(COUNTIF(J175:O175,"D")&gt;0,"",(IF(ISNUMBER(J175),J175,0)*Parametros!$K$4+IF(ISNUMBER(K175),K175,0)*Parametros!$K$5+IF(ISNUMBER(M175),M175,0)*Parametros!$K$6+IF(ISNUMBER(N175),N175,0)*Parametros!$K$7+IF(ISNUMBER(O175),O175,0)*Parametros!$K$8)/Parametros!$B$2))</f>
        <v/>
      </c>
      <c r="Q175" t="str">
        <f>IF(F175="","",IF(COUNTIF(J175:O175,"D")&gt;0,"Desiste",IF(IFERROR(P175,0)&gt;=Parametros!$B$1,"Aprueba","No aprueba")))</f>
        <v/>
      </c>
      <c r="T175" t="str">
        <f>IF($Q175="Aprueba",COUNTIF($Q$2:$Q175,"Aprueba"),"")</f>
        <v/>
      </c>
    </row>
    <row r="176" spans="16:20" ht="14.25" customHeight="1">
      <c r="P176" t="str">
        <f>IF(F176="","",IF(COUNTIF(J176:O176,"D")&gt;0,"",(IF(ISNUMBER(J176),J176,0)*Parametros!$K$4+IF(ISNUMBER(K176),K176,0)*Parametros!$K$5+IF(ISNUMBER(M176),M176,0)*Parametros!$K$6+IF(ISNUMBER(N176),N176,0)*Parametros!$K$7+IF(ISNUMBER(O176),O176,0)*Parametros!$K$8)/Parametros!$B$2))</f>
        <v/>
      </c>
      <c r="Q176" t="str">
        <f>IF(F176="","",IF(COUNTIF(J176:O176,"D")&gt;0,"Desiste",IF(IFERROR(P176,0)&gt;=Parametros!$B$1,"Aprueba","No aprueba")))</f>
        <v/>
      </c>
      <c r="T176" t="str">
        <f>IF($Q176="Aprueba",COUNTIF($Q$2:$Q176,"Aprueba"),"")</f>
        <v/>
      </c>
    </row>
    <row r="177" spans="16:20" ht="14.25" customHeight="1">
      <c r="P177" t="str">
        <f>IF(F177="","",IF(COUNTIF(J177:O177,"D")&gt;0,"",(IF(ISNUMBER(J177),J177,0)*Parametros!$K$4+IF(ISNUMBER(K177),K177,0)*Parametros!$K$5+IF(ISNUMBER(M177),M177,0)*Parametros!$K$6+IF(ISNUMBER(N177),N177,0)*Parametros!$K$7+IF(ISNUMBER(O177),O177,0)*Parametros!$K$8)/Parametros!$B$2))</f>
        <v/>
      </c>
      <c r="Q177" t="str">
        <f>IF(F177="","",IF(COUNTIF(J177:O177,"D")&gt;0,"Desiste",IF(IFERROR(P177,0)&gt;=Parametros!$B$1,"Aprueba","No aprueba")))</f>
        <v/>
      </c>
      <c r="T177" t="str">
        <f>IF($Q177="Aprueba",COUNTIF($Q$2:$Q177,"Aprueba"),"")</f>
        <v/>
      </c>
    </row>
    <row r="178" spans="16:20" ht="14.25" customHeight="1">
      <c r="P178" t="str">
        <f>IF(F178="","",IF(COUNTIF(J178:O178,"D")&gt;0,"",(IF(ISNUMBER(J178),J178,0)*Parametros!$K$4+IF(ISNUMBER(K178),K178,0)*Parametros!$K$5+IF(ISNUMBER(M178),M178,0)*Parametros!$K$6+IF(ISNUMBER(N178),N178,0)*Parametros!$K$7+IF(ISNUMBER(O178),O178,0)*Parametros!$K$8)/Parametros!$B$2))</f>
        <v/>
      </c>
      <c r="Q178" t="str">
        <f>IF(F178="","",IF(COUNTIF(J178:O178,"D")&gt;0,"Desiste",IF(IFERROR(P178,0)&gt;=Parametros!$B$1,"Aprueba","No aprueba")))</f>
        <v/>
      </c>
      <c r="T178" t="str">
        <f>IF($Q178="Aprueba",COUNTIF($Q$2:$Q178,"Aprueba"),"")</f>
        <v/>
      </c>
    </row>
    <row r="179" spans="16:20" ht="14.25" customHeight="1">
      <c r="P179" t="str">
        <f>IF(F179="","",IF(COUNTIF(J179:O179,"D")&gt;0,"",(IF(ISNUMBER(J179),J179,0)*Parametros!$K$4+IF(ISNUMBER(K179),K179,0)*Parametros!$K$5+IF(ISNUMBER(M179),M179,0)*Parametros!$K$6+IF(ISNUMBER(N179),N179,0)*Parametros!$K$7+IF(ISNUMBER(O179),O179,0)*Parametros!$K$8)/Parametros!$B$2))</f>
        <v/>
      </c>
      <c r="Q179" t="str">
        <f>IF(F179="","",IF(COUNTIF(J179:O179,"D")&gt;0,"Desiste",IF(IFERROR(P179,0)&gt;=Parametros!$B$1,"Aprueba","No aprueba")))</f>
        <v/>
      </c>
      <c r="T179" t="str">
        <f>IF($Q179="Aprueba",COUNTIF($Q$2:$Q179,"Aprueba"),"")</f>
        <v/>
      </c>
    </row>
    <row r="180" spans="16:20" ht="14.25" customHeight="1">
      <c r="P180" t="str">
        <f>IF(F180="","",IF(COUNTIF(J180:O180,"D")&gt;0,"",(IF(ISNUMBER(J180),J180,0)*Parametros!$K$4+IF(ISNUMBER(K180),K180,0)*Parametros!$K$5+IF(ISNUMBER(M180),M180,0)*Parametros!$K$6+IF(ISNUMBER(N180),N180,0)*Parametros!$K$7+IF(ISNUMBER(O180),O180,0)*Parametros!$K$8)/Parametros!$B$2))</f>
        <v/>
      </c>
      <c r="Q180" t="str">
        <f>IF(F180="","",IF(COUNTIF(J180:O180,"D")&gt;0,"Desiste",IF(IFERROR(P180,0)&gt;=Parametros!$B$1,"Aprueba","No aprueba")))</f>
        <v/>
      </c>
      <c r="T180" t="str">
        <f>IF($Q180="Aprueba",COUNTIF($Q$2:$Q180,"Aprueba"),"")</f>
        <v/>
      </c>
    </row>
    <row r="181" spans="16:20" ht="14.25" customHeight="1">
      <c r="P181" t="str">
        <f>IF(F181="","",IF(COUNTIF(J181:O181,"D")&gt;0,"",(IF(ISNUMBER(J181),J181,0)*Parametros!$K$4+IF(ISNUMBER(K181),K181,0)*Parametros!$K$5+IF(ISNUMBER(M181),M181,0)*Parametros!$K$6+IF(ISNUMBER(N181),N181,0)*Parametros!$K$7+IF(ISNUMBER(O181),O181,0)*Parametros!$K$8)/Parametros!$B$2))</f>
        <v/>
      </c>
      <c r="Q181" t="str">
        <f>IF(F181="","",IF(COUNTIF(J181:O181,"D")&gt;0,"Desiste",IF(IFERROR(P181,0)&gt;=Parametros!$B$1,"Aprueba","No aprueba")))</f>
        <v/>
      </c>
      <c r="T181" t="str">
        <f>IF($Q181="Aprueba",COUNTIF($Q$2:$Q181,"Aprueba"),"")</f>
        <v/>
      </c>
    </row>
    <row r="182" spans="16:20" ht="14.25" customHeight="1">
      <c r="P182" t="str">
        <f>IF(F182="","",IF(COUNTIF(J182:O182,"D")&gt;0,"",(IF(ISNUMBER(J182),J182,0)*Parametros!$K$4+IF(ISNUMBER(K182),K182,0)*Parametros!$K$5+IF(ISNUMBER(M182),M182,0)*Parametros!$K$6+IF(ISNUMBER(N182),N182,0)*Parametros!$K$7+IF(ISNUMBER(O182),O182,0)*Parametros!$K$8)/Parametros!$B$2))</f>
        <v/>
      </c>
      <c r="Q182" t="str">
        <f>IF(F182="","",IF(COUNTIF(J182:O182,"D")&gt;0,"Desiste",IF(IFERROR(P182,0)&gt;=Parametros!$B$1,"Aprueba","No aprueba")))</f>
        <v/>
      </c>
      <c r="T182" t="str">
        <f>IF($Q182="Aprueba",COUNTIF($Q$2:$Q182,"Aprueba"),"")</f>
        <v/>
      </c>
    </row>
    <row r="183" spans="16:20" ht="14.25" customHeight="1">
      <c r="P183" t="str">
        <f>IF(F183="","",IF(COUNTIF(J183:O183,"D")&gt;0,"",(IF(ISNUMBER(J183),J183,0)*Parametros!$K$4+IF(ISNUMBER(K183),K183,0)*Parametros!$K$5+IF(ISNUMBER(M183),M183,0)*Parametros!$K$6+IF(ISNUMBER(N183),N183,0)*Parametros!$K$7+IF(ISNUMBER(O183),O183,0)*Parametros!$K$8)/Parametros!$B$2))</f>
        <v/>
      </c>
      <c r="Q183" t="str">
        <f>IF(F183="","",IF(COUNTIF(J183:O183,"D")&gt;0,"Desiste",IF(IFERROR(P183,0)&gt;=Parametros!$B$1,"Aprueba","No aprueba")))</f>
        <v/>
      </c>
      <c r="T183" t="str">
        <f>IF($Q183="Aprueba",COUNTIF($Q$2:$Q183,"Aprueba"),"")</f>
        <v/>
      </c>
    </row>
    <row r="184" spans="16:20" ht="14.25" customHeight="1">
      <c r="P184" t="str">
        <f>IF(F184="","",IF(COUNTIF(J184:O184,"D")&gt;0,"",(IF(ISNUMBER(J184),J184,0)*Parametros!$K$4+IF(ISNUMBER(K184),K184,0)*Parametros!$K$5+IF(ISNUMBER(M184),M184,0)*Parametros!$K$6+IF(ISNUMBER(N184),N184,0)*Parametros!$K$7+IF(ISNUMBER(O184),O184,0)*Parametros!$K$8)/Parametros!$B$2))</f>
        <v/>
      </c>
      <c r="Q184" t="str">
        <f>IF(F184="","",IF(COUNTIF(J184:O184,"D")&gt;0,"Desiste",IF(IFERROR(P184,0)&gt;=Parametros!$B$1,"Aprueba","No aprueba")))</f>
        <v/>
      </c>
      <c r="T184" t="str">
        <f>IF($Q184="Aprueba",COUNTIF($Q$2:$Q184,"Aprueba"),"")</f>
        <v/>
      </c>
    </row>
    <row r="185" spans="16:20" ht="14.25" customHeight="1">
      <c r="P185" t="str">
        <f>IF(F185="","",IF(COUNTIF(J185:O185,"D")&gt;0,"",(IF(ISNUMBER(J185),J185,0)*Parametros!$K$4+IF(ISNUMBER(K185),K185,0)*Parametros!$K$5+IF(ISNUMBER(M185),M185,0)*Parametros!$K$6+IF(ISNUMBER(N185),N185,0)*Parametros!$K$7+IF(ISNUMBER(O185),O185,0)*Parametros!$K$8)/Parametros!$B$2))</f>
        <v/>
      </c>
      <c r="Q185" t="str">
        <f>IF(F185="","",IF(COUNTIF(J185:O185,"D")&gt;0,"Desiste",IF(IFERROR(P185,0)&gt;=Parametros!$B$1,"Aprueba","No aprueba")))</f>
        <v/>
      </c>
      <c r="T185" t="str">
        <f>IF($Q185="Aprueba",COUNTIF($Q$2:$Q185,"Aprueba"),"")</f>
        <v/>
      </c>
    </row>
    <row r="186" spans="16:20" ht="14.25" customHeight="1">
      <c r="P186" t="str">
        <f>IF(F186="","",IF(COUNTIF(J186:O186,"D")&gt;0,"",(IF(ISNUMBER(J186),J186,0)*Parametros!$K$4+IF(ISNUMBER(K186),K186,0)*Parametros!$K$5+IF(ISNUMBER(M186),M186,0)*Parametros!$K$6+IF(ISNUMBER(N186),N186,0)*Parametros!$K$7+IF(ISNUMBER(O186),O186,0)*Parametros!$K$8)/Parametros!$B$2))</f>
        <v/>
      </c>
      <c r="Q186" t="str">
        <f>IF(F186="","",IF(COUNTIF(J186:O186,"D")&gt;0,"Desiste",IF(IFERROR(P186,0)&gt;=Parametros!$B$1,"Aprueba","No aprueba")))</f>
        <v/>
      </c>
      <c r="T186" t="str">
        <f>IF($Q186="Aprueba",COUNTIF($Q$2:$Q186,"Aprueba"),"")</f>
        <v/>
      </c>
    </row>
    <row r="187" spans="16:20" ht="14.25" customHeight="1">
      <c r="P187" t="str">
        <f>IF(F187="","",IF(COUNTIF(J187:O187,"D")&gt;0,"",(IF(ISNUMBER(J187),J187,0)*Parametros!$K$4+IF(ISNUMBER(K187),K187,0)*Parametros!$K$5+IF(ISNUMBER(M187),M187,0)*Parametros!$K$6+IF(ISNUMBER(N187),N187,0)*Parametros!$K$7+IF(ISNUMBER(O187),O187,0)*Parametros!$K$8)/Parametros!$B$2))</f>
        <v/>
      </c>
      <c r="Q187" t="str">
        <f>IF(F187="","",IF(COUNTIF(J187:O187,"D")&gt;0,"Desiste",IF(IFERROR(P187,0)&gt;=Parametros!$B$1,"Aprueba","No aprueba")))</f>
        <v/>
      </c>
      <c r="T187" t="str">
        <f>IF($Q187="Aprueba",COUNTIF($Q$2:$Q187,"Aprueba"),"")</f>
        <v/>
      </c>
    </row>
    <row r="188" spans="16:20" ht="14.25" customHeight="1">
      <c r="P188" t="str">
        <f>IF(F188="","",IF(COUNTIF(J188:O188,"D")&gt;0,"",(IF(ISNUMBER(J188),J188,0)*Parametros!$K$4+IF(ISNUMBER(K188),K188,0)*Parametros!$K$5+IF(ISNUMBER(M188),M188,0)*Parametros!$K$6+IF(ISNUMBER(N188),N188,0)*Parametros!$K$7+IF(ISNUMBER(O188),O188,0)*Parametros!$K$8)/Parametros!$B$2))</f>
        <v/>
      </c>
      <c r="Q188" t="str">
        <f>IF(F188="","",IF(COUNTIF(J188:O188,"D")&gt;0,"Desiste",IF(IFERROR(P188,0)&gt;=Parametros!$B$1,"Aprueba","No aprueba")))</f>
        <v/>
      </c>
      <c r="T188" t="str">
        <f>IF($Q188="Aprueba",COUNTIF($Q$2:$Q188,"Aprueba"),"")</f>
        <v/>
      </c>
    </row>
    <row r="189" spans="16:20" ht="14.25" customHeight="1">
      <c r="P189" t="str">
        <f>IF(F189="","",IF(COUNTIF(J189:O189,"D")&gt;0,"",(IF(ISNUMBER(J189),J189,0)*Parametros!$K$4+IF(ISNUMBER(K189),K189,0)*Parametros!$K$5+IF(ISNUMBER(M189),M189,0)*Parametros!$K$6+IF(ISNUMBER(N189),N189,0)*Parametros!$K$7+IF(ISNUMBER(O189),O189,0)*Parametros!$K$8)/Parametros!$B$2))</f>
        <v/>
      </c>
      <c r="Q189" t="str">
        <f>IF(F189="","",IF(COUNTIF(J189:O189,"D")&gt;0,"Desiste",IF(IFERROR(P189,0)&gt;=Parametros!$B$1,"Aprueba","No aprueba")))</f>
        <v/>
      </c>
      <c r="T189" t="str">
        <f>IF($Q189="Aprueba",COUNTIF($Q$2:$Q189,"Aprueba"),"")</f>
        <v/>
      </c>
    </row>
    <row r="190" spans="16:20" ht="14.25" customHeight="1">
      <c r="P190" t="str">
        <f>IF(F190="","",IF(COUNTIF(J190:O190,"D")&gt;0,"",(IF(ISNUMBER(J190),J190,0)*Parametros!$K$4+IF(ISNUMBER(K190),K190,0)*Parametros!$K$5+IF(ISNUMBER(M190),M190,0)*Parametros!$K$6+IF(ISNUMBER(N190),N190,0)*Parametros!$K$7+IF(ISNUMBER(O190),O190,0)*Parametros!$K$8)/Parametros!$B$2))</f>
        <v/>
      </c>
      <c r="Q190" t="str">
        <f>IF(F190="","",IF(COUNTIF(J190:O190,"D")&gt;0,"Desiste",IF(IFERROR(P190,0)&gt;=Parametros!$B$1,"Aprueba","No aprueba")))</f>
        <v/>
      </c>
      <c r="T190" t="str">
        <f>IF($Q190="Aprueba",COUNTIF($Q$2:$Q190,"Aprueba"),"")</f>
        <v/>
      </c>
    </row>
    <row r="191" spans="16:20" ht="14.25" customHeight="1">
      <c r="P191" t="str">
        <f>IF(F191="","",IF(COUNTIF(J191:O191,"D")&gt;0,"",(IF(ISNUMBER(J191),J191,0)*Parametros!$K$4+IF(ISNUMBER(K191),K191,0)*Parametros!$K$5+IF(ISNUMBER(M191),M191,0)*Parametros!$K$6+IF(ISNUMBER(N191),N191,0)*Parametros!$K$7+IF(ISNUMBER(O191),O191,0)*Parametros!$K$8)/Parametros!$B$2))</f>
        <v/>
      </c>
      <c r="Q191" t="str">
        <f>IF(F191="","",IF(COUNTIF(J191:O191,"D")&gt;0,"Desiste",IF(IFERROR(P191,0)&gt;=Parametros!$B$1,"Aprueba","No aprueba")))</f>
        <v/>
      </c>
      <c r="T191" t="str">
        <f>IF($Q191="Aprueba",COUNTIF($Q$2:$Q191,"Aprueba"),"")</f>
        <v/>
      </c>
    </row>
    <row r="192" spans="16:20" ht="14.25" customHeight="1">
      <c r="P192" t="str">
        <f>IF(F192="","",IF(COUNTIF(J192:O192,"D")&gt;0,"",(IF(ISNUMBER(J192),J192,0)*Parametros!$K$4+IF(ISNUMBER(K192),K192,0)*Parametros!$K$5+IF(ISNUMBER(M192),M192,0)*Parametros!$K$6+IF(ISNUMBER(N192),N192,0)*Parametros!$K$7+IF(ISNUMBER(O192),O192,0)*Parametros!$K$8)/Parametros!$B$2))</f>
        <v/>
      </c>
      <c r="Q192" t="str">
        <f>IF(F192="","",IF(COUNTIF(J192:O192,"D")&gt;0,"Desiste",IF(IFERROR(P192,0)&gt;=Parametros!$B$1,"Aprueba","No aprueba")))</f>
        <v/>
      </c>
      <c r="T192" t="str">
        <f>IF($Q192="Aprueba",COUNTIF($Q$2:$Q192,"Aprueba"),"")</f>
        <v/>
      </c>
    </row>
    <row r="193" spans="16:20" ht="14.25" customHeight="1">
      <c r="P193" t="str">
        <f>IF(F193="","",IF(COUNTIF(J193:O193,"D")&gt;0,"",(IF(ISNUMBER(J193),J193,0)*Parametros!$K$4+IF(ISNUMBER(K193),K193,0)*Parametros!$K$5+IF(ISNUMBER(M193),M193,0)*Parametros!$K$6+IF(ISNUMBER(N193),N193,0)*Parametros!$K$7+IF(ISNUMBER(O193),O193,0)*Parametros!$K$8)/Parametros!$B$2))</f>
        <v/>
      </c>
      <c r="Q193" t="str">
        <f>IF(F193="","",IF(COUNTIF(J193:O193,"D")&gt;0,"Desiste",IF(IFERROR(P193,0)&gt;=Parametros!$B$1,"Aprueba","No aprueba")))</f>
        <v/>
      </c>
      <c r="T193" t="str">
        <f>IF($Q193="Aprueba",COUNTIF($Q$2:$Q193,"Aprueba"),"")</f>
        <v/>
      </c>
    </row>
    <row r="194" spans="16:20" ht="14.25" customHeight="1">
      <c r="P194" t="str">
        <f>IF(F194="","",IF(COUNTIF(J194:O194,"D")&gt;0,"",(IF(ISNUMBER(J194),J194,0)*Parametros!$K$4+IF(ISNUMBER(K194),K194,0)*Parametros!$K$5+IF(ISNUMBER(M194),M194,0)*Parametros!$K$6+IF(ISNUMBER(N194),N194,0)*Parametros!$K$7+IF(ISNUMBER(O194),O194,0)*Parametros!$K$8)/Parametros!$B$2))</f>
        <v/>
      </c>
      <c r="Q194" t="str">
        <f>IF(F194="","",IF(COUNTIF(J194:O194,"D")&gt;0,"Desiste",IF(IFERROR(P194,0)&gt;=Parametros!$B$1,"Aprueba","No aprueba")))</f>
        <v/>
      </c>
      <c r="T194" t="str">
        <f>IF($Q194="Aprueba",COUNTIF($Q$2:$Q194,"Aprueba"),"")</f>
        <v/>
      </c>
    </row>
    <row r="195" spans="16:20" ht="14.25" customHeight="1">
      <c r="P195" t="str">
        <f>IF(F195="","",IF(COUNTIF(J195:O195,"D")&gt;0,"",(IF(ISNUMBER(J195),J195,0)*Parametros!$K$4+IF(ISNUMBER(K195),K195,0)*Parametros!$K$5+IF(ISNUMBER(M195),M195,0)*Parametros!$K$6+IF(ISNUMBER(N195),N195,0)*Parametros!$K$7+IF(ISNUMBER(O195),O195,0)*Parametros!$K$8)/Parametros!$B$2))</f>
        <v/>
      </c>
      <c r="Q195" t="str">
        <f>IF(F195="","",IF(COUNTIF(J195:O195,"D")&gt;0,"Desiste",IF(IFERROR(P195,0)&gt;=Parametros!$B$1,"Aprueba","No aprueba")))</f>
        <v/>
      </c>
      <c r="T195" t="str">
        <f>IF($Q195="Aprueba",COUNTIF($Q$2:$Q195,"Aprueba"),"")</f>
        <v/>
      </c>
    </row>
    <row r="196" spans="16:20" ht="14.25" customHeight="1">
      <c r="P196" t="str">
        <f>IF(F196="","",IF(COUNTIF(J196:O196,"D")&gt;0,"",(IF(ISNUMBER(J196),J196,0)*Parametros!$K$4+IF(ISNUMBER(K196),K196,0)*Parametros!$K$5+IF(ISNUMBER(M196),M196,0)*Parametros!$K$6+IF(ISNUMBER(N196),N196,0)*Parametros!$K$7+IF(ISNUMBER(O196),O196,0)*Parametros!$K$8)/Parametros!$B$2))</f>
        <v/>
      </c>
      <c r="Q196" t="str">
        <f>IF(F196="","",IF(COUNTIF(J196:O196,"D")&gt;0,"Desiste",IF(IFERROR(P196,0)&gt;=Parametros!$B$1,"Aprueba","No aprueba")))</f>
        <v/>
      </c>
      <c r="T196" t="str">
        <f>IF($Q196="Aprueba",COUNTIF($Q$2:$Q196,"Aprueba"),"")</f>
        <v/>
      </c>
    </row>
    <row r="197" spans="16:20" ht="14.25" customHeight="1">
      <c r="P197" t="str">
        <f>IF(F197="","",IF(COUNTIF(J197:O197,"D")&gt;0,"",(IF(ISNUMBER(J197),J197,0)*Parametros!$K$4+IF(ISNUMBER(K197),K197,0)*Parametros!$K$5+IF(ISNUMBER(M197),M197,0)*Parametros!$K$6+IF(ISNUMBER(N197),N197,0)*Parametros!$K$7+IF(ISNUMBER(O197),O197,0)*Parametros!$K$8)/Parametros!$B$2))</f>
        <v/>
      </c>
      <c r="Q197" t="str">
        <f>IF(F197="","",IF(COUNTIF(J197:O197,"D")&gt;0,"Desiste",IF(IFERROR(P197,0)&gt;=Parametros!$B$1,"Aprueba","No aprueba")))</f>
        <v/>
      </c>
      <c r="T197" t="str">
        <f>IF($Q197="Aprueba",COUNTIF($Q$2:$Q197,"Aprueba"),"")</f>
        <v/>
      </c>
    </row>
    <row r="198" spans="16:20" ht="14.25" customHeight="1">
      <c r="P198" t="str">
        <f>IF(F198="","",IF(COUNTIF(J198:O198,"D")&gt;0,"",(IF(ISNUMBER(J198),J198,0)*Parametros!$K$4+IF(ISNUMBER(K198),K198,0)*Parametros!$K$5+IF(ISNUMBER(M198),M198,0)*Parametros!$K$6+IF(ISNUMBER(N198),N198,0)*Parametros!$K$7+IF(ISNUMBER(O198),O198,0)*Parametros!$K$8)/Parametros!$B$2))</f>
        <v/>
      </c>
      <c r="Q198" t="str">
        <f>IF(F198="","",IF(COUNTIF(J198:O198,"D")&gt;0,"Desiste",IF(IFERROR(P198,0)&gt;=Parametros!$B$1,"Aprueba","No aprueba")))</f>
        <v/>
      </c>
      <c r="T198" t="str">
        <f>IF($Q198="Aprueba",COUNTIF($Q$2:$Q198,"Aprueba"),"")</f>
        <v/>
      </c>
    </row>
    <row r="199" spans="16:20" ht="14.25" customHeight="1">
      <c r="P199" t="str">
        <f>IF(F199="","",IF(COUNTIF(J199:O199,"D")&gt;0,"",(IF(ISNUMBER(J199),J199,0)*Parametros!$K$4+IF(ISNUMBER(K199),K199,0)*Parametros!$K$5+IF(ISNUMBER(M199),M199,0)*Parametros!$K$6+IF(ISNUMBER(N199),N199,0)*Parametros!$K$7+IF(ISNUMBER(O199),O199,0)*Parametros!$K$8)/Parametros!$B$2))</f>
        <v/>
      </c>
      <c r="Q199" t="str">
        <f>IF(F199="","",IF(COUNTIF(J199:O199,"D")&gt;0,"Desiste",IF(IFERROR(P199,0)&gt;=Parametros!$B$1,"Aprueba","No aprueba")))</f>
        <v/>
      </c>
      <c r="T199" t="str">
        <f>IF($Q199="Aprueba",COUNTIF($Q$2:$Q199,"Aprueba"),"")</f>
        <v/>
      </c>
    </row>
    <row r="200" spans="16:20" ht="14.25" customHeight="1">
      <c r="P200" t="str">
        <f>IF(F200="","",IF(COUNTIF(J200:O200,"D")&gt;0,"",(IF(ISNUMBER(J200),J200,0)*Parametros!$K$4+IF(ISNUMBER(K200),K200,0)*Parametros!$K$5+IF(ISNUMBER(M200),M200,0)*Parametros!$K$6+IF(ISNUMBER(N200),N200,0)*Parametros!$K$7+IF(ISNUMBER(O200),O200,0)*Parametros!$K$8)/Parametros!$B$2))</f>
        <v/>
      </c>
      <c r="Q200" t="str">
        <f>IF(F200="","",IF(COUNTIF(J200:O200,"D")&gt;0,"Desiste",IF(IFERROR(P200,0)&gt;=Parametros!$B$1,"Aprueba","No aprueba")))</f>
        <v/>
      </c>
      <c r="T200" t="str">
        <f>IF($Q200="Aprueba",COUNTIF($Q$2:$Q200,"Aprueba"),"")</f>
        <v/>
      </c>
    </row>
    <row r="201" spans="16:20" ht="14.25" customHeight="1">
      <c r="P201" t="str">
        <f>IF(F201="","",IF(COUNTIF(J201:O201,"D")&gt;0,"",(IF(ISNUMBER(J201),J201,0)*Parametros!$K$4+IF(ISNUMBER(K201),K201,0)*Parametros!$K$5+IF(ISNUMBER(M201),M201,0)*Parametros!$K$6+IF(ISNUMBER(N201),N201,0)*Parametros!$K$7+IF(ISNUMBER(O201),O201,0)*Parametros!$K$8)/Parametros!$B$2))</f>
        <v/>
      </c>
      <c r="Q201" t="str">
        <f>IF(F201="","",IF(COUNTIF(J201:O201,"D")&gt;0,"Desiste",IF(IFERROR(P201,0)&gt;=Parametros!$B$1,"Aprueba","No aprueba")))</f>
        <v/>
      </c>
      <c r="T201" t="str">
        <f>IF($Q201="Aprueba",COUNTIF($Q$2:$Q201,"Aprueba"),"")</f>
        <v/>
      </c>
    </row>
    <row r="202" spans="16:20" ht="14.25" customHeight="1">
      <c r="P202" t="str">
        <f>IF(F202="","",IF(COUNTIF(J202:O202,"D")&gt;0,"",(IF(ISNUMBER(J202),J202,0)*Parametros!$K$4+IF(ISNUMBER(K202),K202,0)*Parametros!$K$5+IF(ISNUMBER(M202),M202,0)*Parametros!$K$6+IF(ISNUMBER(N202),N202,0)*Parametros!$K$7+IF(ISNUMBER(O202),O202,0)*Parametros!$K$8)/Parametros!$B$2))</f>
        <v/>
      </c>
      <c r="Q202" t="str">
        <f>IF(F202="","",IF(COUNTIF(J202:O202,"D")&gt;0,"Desiste",IF(IFERROR(P202,0)&gt;=Parametros!$B$1,"Aprueba","No aprueba")))</f>
        <v/>
      </c>
      <c r="T202" t="str">
        <f>IF($Q202="Aprueba",COUNTIF($Q$2:$Q202,"Aprueba"),"")</f>
        <v/>
      </c>
    </row>
    <row r="203" spans="16:20" ht="14.25" customHeight="1">
      <c r="P203" t="str">
        <f>IF(F203="","",IF(COUNTIF(J203:O203,"D")&gt;0,"",(IF(ISNUMBER(J203),J203,0)*Parametros!$K$4+IF(ISNUMBER(K203),K203,0)*Parametros!$K$5+IF(ISNUMBER(M203),M203,0)*Parametros!$K$6+IF(ISNUMBER(N203),N203,0)*Parametros!$K$7+IF(ISNUMBER(O203),O203,0)*Parametros!$K$8)/Parametros!$B$2))</f>
        <v/>
      </c>
      <c r="Q203" t="str">
        <f>IF(F203="","",IF(COUNTIF(J203:O203,"D")&gt;0,"Desiste",IF(IFERROR(P203,0)&gt;=Parametros!$B$1,"Aprueba","No aprueba")))</f>
        <v/>
      </c>
      <c r="T203" t="str">
        <f>IF($Q203="Aprueba",COUNTIF($Q$2:$Q203,"Aprueba"),"")</f>
        <v/>
      </c>
    </row>
    <row r="204" spans="16:20" ht="14.25" customHeight="1">
      <c r="P204" t="str">
        <f>IF(F204="","",IF(COUNTIF(J204:O204,"D")&gt;0,"",(IF(ISNUMBER(J204),J204,0)*Parametros!$K$4+IF(ISNUMBER(K204),K204,0)*Parametros!$K$5+IF(ISNUMBER(M204),M204,0)*Parametros!$K$6+IF(ISNUMBER(N204),N204,0)*Parametros!$K$7+IF(ISNUMBER(O204),O204,0)*Parametros!$K$8)/Parametros!$B$2))</f>
        <v/>
      </c>
      <c r="Q204" t="str">
        <f>IF(F204="","",IF(COUNTIF(J204:O204,"D")&gt;0,"Desiste",IF(IFERROR(P204,0)&gt;=Parametros!$B$1,"Aprueba","No aprueba")))</f>
        <v/>
      </c>
      <c r="T204" t="str">
        <f>IF($Q204="Aprueba",COUNTIF($Q$2:$Q204,"Aprueba"),"")</f>
        <v/>
      </c>
    </row>
    <row r="205" spans="16:20" ht="14.25" customHeight="1">
      <c r="P205" t="str">
        <f>IF(F205="","",IF(COUNTIF(J205:O205,"D")&gt;0,"",(IF(ISNUMBER(J205),J205,0)*Parametros!$K$4+IF(ISNUMBER(K205),K205,0)*Parametros!$K$5+IF(ISNUMBER(M205),M205,0)*Parametros!$K$6+IF(ISNUMBER(N205),N205,0)*Parametros!$K$7+IF(ISNUMBER(O205),O205,0)*Parametros!$K$8)/Parametros!$B$2))</f>
        <v/>
      </c>
      <c r="Q205" t="str">
        <f>IF(F205="","",IF(COUNTIF(J205:O205,"D")&gt;0,"Desiste",IF(IFERROR(P205,0)&gt;=Parametros!$B$1,"Aprueba","No aprueba")))</f>
        <v/>
      </c>
      <c r="T205" t="str">
        <f>IF($Q205="Aprueba",COUNTIF($Q$2:$Q205,"Aprueba"),"")</f>
        <v/>
      </c>
    </row>
    <row r="206" spans="16:20" ht="14.25" customHeight="1">
      <c r="P206" t="str">
        <f>IF(F206="","",IF(COUNTIF(J206:O206,"D")&gt;0,"",(IF(ISNUMBER(J206),J206,0)*Parametros!$K$4+IF(ISNUMBER(K206),K206,0)*Parametros!$K$5+IF(ISNUMBER(M206),M206,0)*Parametros!$K$6+IF(ISNUMBER(N206),N206,0)*Parametros!$K$7+IF(ISNUMBER(O206),O206,0)*Parametros!$K$8)/Parametros!$B$2))</f>
        <v/>
      </c>
      <c r="Q206" t="str">
        <f>IF(F206="","",IF(COUNTIF(J206:O206,"D")&gt;0,"Desiste",IF(IFERROR(P206,0)&gt;=Parametros!$B$1,"Aprueba","No aprueba")))</f>
        <v/>
      </c>
      <c r="T206" t="str">
        <f>IF($Q206="Aprueba",COUNTIF($Q$2:$Q206,"Aprueba"),"")</f>
        <v/>
      </c>
    </row>
    <row r="207" spans="16:20" ht="14.25" customHeight="1">
      <c r="P207" t="str">
        <f>IF(F207="","",IF(COUNTIF(J207:O207,"D")&gt;0,"",(IF(ISNUMBER(J207),J207,0)*Parametros!$K$4+IF(ISNUMBER(K207),K207,0)*Parametros!$K$5+IF(ISNUMBER(M207),M207,0)*Parametros!$K$6+IF(ISNUMBER(N207),N207,0)*Parametros!$K$7+IF(ISNUMBER(O207),O207,0)*Parametros!$K$8)/Parametros!$B$2))</f>
        <v/>
      </c>
      <c r="Q207" t="str">
        <f>IF(F207="","",IF(COUNTIF(J207:O207,"D")&gt;0,"Desiste",IF(IFERROR(P207,0)&gt;=Parametros!$B$1,"Aprueba","No aprueba")))</f>
        <v/>
      </c>
      <c r="T207" t="str">
        <f>IF($Q207="Aprueba",COUNTIF($Q$2:$Q207,"Aprueba"),"")</f>
        <v/>
      </c>
    </row>
    <row r="208" spans="16:20" ht="14.25" customHeight="1">
      <c r="P208" t="str">
        <f>IF(F208="","",IF(COUNTIF(J208:O208,"D")&gt;0,"",(IF(ISNUMBER(J208),J208,0)*Parametros!$K$4+IF(ISNUMBER(K208),K208,0)*Parametros!$K$5+IF(ISNUMBER(M208),M208,0)*Parametros!$K$6+IF(ISNUMBER(N208),N208,0)*Parametros!$K$7+IF(ISNUMBER(O208),O208,0)*Parametros!$K$8)/Parametros!$B$2))</f>
        <v/>
      </c>
      <c r="Q208" t="str">
        <f>IF(F208="","",IF(COUNTIF(J208:O208,"D")&gt;0,"Desiste",IF(IFERROR(P208,0)&gt;=Parametros!$B$1,"Aprueba","No aprueba")))</f>
        <v/>
      </c>
      <c r="T208" t="str">
        <f>IF($Q208="Aprueba",COUNTIF($Q$2:$Q208,"Aprueba"),"")</f>
        <v/>
      </c>
    </row>
    <row r="209" spans="16:20" ht="14.25" customHeight="1">
      <c r="P209" t="str">
        <f>IF(F209="","",IF(COUNTIF(J209:O209,"D")&gt;0,"",(IF(ISNUMBER(J209),J209,0)*Parametros!$K$4+IF(ISNUMBER(K209),K209,0)*Parametros!$K$5+IF(ISNUMBER(M209),M209,0)*Parametros!$K$6+IF(ISNUMBER(N209),N209,0)*Parametros!$K$7+IF(ISNUMBER(O209),O209,0)*Parametros!$K$8)/Parametros!$B$2))</f>
        <v/>
      </c>
      <c r="Q209" t="str">
        <f>IF(F209="","",IF(COUNTIF(J209:O209,"D")&gt;0,"Desiste",IF(IFERROR(P209,0)&gt;=Parametros!$B$1,"Aprueba","No aprueba")))</f>
        <v/>
      </c>
      <c r="T209" t="str">
        <f>IF($Q209="Aprueba",COUNTIF($Q$2:$Q209,"Aprueba"),"")</f>
        <v/>
      </c>
    </row>
    <row r="210" spans="16:20" ht="14.25" customHeight="1">
      <c r="P210" t="str">
        <f>IF(F210="","",IF(COUNTIF(J210:O210,"D")&gt;0,"",(IF(ISNUMBER(J210),J210,0)*Parametros!$K$4+IF(ISNUMBER(K210),K210,0)*Parametros!$K$5+IF(ISNUMBER(M210),M210,0)*Parametros!$K$6+IF(ISNUMBER(N210),N210,0)*Parametros!$K$7+IF(ISNUMBER(O210),O210,0)*Parametros!$K$8)/Parametros!$B$2))</f>
        <v/>
      </c>
      <c r="Q210" t="str">
        <f>IF(F210="","",IF(COUNTIF(J210:O210,"D")&gt;0,"Desiste",IF(IFERROR(P210,0)&gt;=Parametros!$B$1,"Aprueba","No aprueba")))</f>
        <v/>
      </c>
      <c r="T210" t="str">
        <f>IF($Q210="Aprueba",COUNTIF($Q$2:$Q210,"Aprueba"),"")</f>
        <v/>
      </c>
    </row>
    <row r="211" spans="16:20" ht="14.25" customHeight="1">
      <c r="P211" t="str">
        <f>IF(F211="","",IF(COUNTIF(J211:O211,"D")&gt;0,"",(IF(ISNUMBER(J211),J211,0)*Parametros!$K$4+IF(ISNUMBER(K211),K211,0)*Parametros!$K$5+IF(ISNUMBER(M211),M211,0)*Parametros!$K$6+IF(ISNUMBER(N211),N211,0)*Parametros!$K$7+IF(ISNUMBER(O211),O211,0)*Parametros!$K$8)/Parametros!$B$2))</f>
        <v/>
      </c>
      <c r="Q211" t="str">
        <f>IF(F211="","",IF(COUNTIF(J211:O211,"D")&gt;0,"Desiste",IF(IFERROR(P211,0)&gt;=Parametros!$B$1,"Aprueba","No aprueba")))</f>
        <v/>
      </c>
      <c r="T211" t="str">
        <f>IF($Q211="Aprueba",COUNTIF($Q$2:$Q211,"Aprueba"),"")</f>
        <v/>
      </c>
    </row>
    <row r="212" spans="16:20" ht="14.25" customHeight="1">
      <c r="P212" t="str">
        <f>IF(F212="","",IF(COUNTIF(J212:O212,"D")&gt;0,"",(IF(ISNUMBER(J212),J212,0)*Parametros!$K$4+IF(ISNUMBER(K212),K212,0)*Parametros!$K$5+IF(ISNUMBER(M212),M212,0)*Parametros!$K$6+IF(ISNUMBER(N212),N212,0)*Parametros!$K$7+IF(ISNUMBER(O212),O212,0)*Parametros!$K$8)/Parametros!$B$2))</f>
        <v/>
      </c>
      <c r="Q212" t="str">
        <f>IF(F212="","",IF(COUNTIF(J212:O212,"D")&gt;0,"Desiste",IF(IFERROR(P212,0)&gt;=Parametros!$B$1,"Aprueba","No aprueba")))</f>
        <v/>
      </c>
      <c r="T212" t="str">
        <f>IF($Q212="Aprueba",COUNTIF($Q$2:$Q212,"Aprueba"),"")</f>
        <v/>
      </c>
    </row>
    <row r="213" spans="16:20" ht="14.25" customHeight="1">
      <c r="P213" t="str">
        <f>IF(F213="","",IF(COUNTIF(J213:O213,"D")&gt;0,"",(IF(ISNUMBER(J213),J213,0)*Parametros!$K$4+IF(ISNUMBER(K213),K213,0)*Parametros!$K$5+IF(ISNUMBER(M213),M213,0)*Parametros!$K$6+IF(ISNUMBER(N213),N213,0)*Parametros!$K$7+IF(ISNUMBER(O213),O213,0)*Parametros!$K$8)/Parametros!$B$2))</f>
        <v/>
      </c>
      <c r="Q213" t="str">
        <f>IF(F213="","",IF(COUNTIF(J213:O213,"D")&gt;0,"Desiste",IF(IFERROR(P213,0)&gt;=Parametros!$B$1,"Aprueba","No aprueba")))</f>
        <v/>
      </c>
      <c r="T213" t="str">
        <f>IF($Q213="Aprueba",COUNTIF($Q$2:$Q213,"Aprueba"),"")</f>
        <v/>
      </c>
    </row>
    <row r="214" spans="16:20" ht="14.25" customHeight="1">
      <c r="P214" t="str">
        <f>IF(F214="","",IF(COUNTIF(J214:O214,"D")&gt;0,"",(IF(ISNUMBER(J214),J214,0)*Parametros!$K$4+IF(ISNUMBER(K214),K214,0)*Parametros!$K$5+IF(ISNUMBER(M214),M214,0)*Parametros!$K$6+IF(ISNUMBER(N214),N214,0)*Parametros!$K$7+IF(ISNUMBER(O214),O214,0)*Parametros!$K$8)/Parametros!$B$2))</f>
        <v/>
      </c>
      <c r="Q214" t="str">
        <f>IF(F214="","",IF(COUNTIF(J214:O214,"D")&gt;0,"Desiste",IF(IFERROR(P214,0)&gt;=Parametros!$B$1,"Aprueba","No aprueba")))</f>
        <v/>
      </c>
      <c r="T214" t="str">
        <f>IF($Q214="Aprueba",COUNTIF($Q$2:$Q214,"Aprueba"),"")</f>
        <v/>
      </c>
    </row>
    <row r="215" spans="16:20" ht="14.25" customHeight="1">
      <c r="P215" t="str">
        <f>IF(F215="","",IF(COUNTIF(J215:O215,"D")&gt;0,"",(IF(ISNUMBER(J215),J215,0)*Parametros!$K$4+IF(ISNUMBER(K215),K215,0)*Parametros!$K$5+IF(ISNUMBER(M215),M215,0)*Parametros!$K$6+IF(ISNUMBER(N215),N215,0)*Parametros!$K$7+IF(ISNUMBER(O215),O215,0)*Parametros!$K$8)/Parametros!$B$2))</f>
        <v/>
      </c>
      <c r="Q215" t="str">
        <f>IF(F215="","",IF(COUNTIF(J215:O215,"D")&gt;0,"Desiste",IF(IFERROR(P215,0)&gt;=Parametros!$B$1,"Aprueba","No aprueba")))</f>
        <v/>
      </c>
      <c r="T215" t="str">
        <f>IF($Q215="Aprueba",COUNTIF($Q$2:$Q215,"Aprueba"),"")</f>
        <v/>
      </c>
    </row>
    <row r="216" spans="16:20" ht="14.25" customHeight="1">
      <c r="P216" t="str">
        <f>IF(F216="","",IF(COUNTIF(J216:O216,"D")&gt;0,"",(IF(ISNUMBER(J216),J216,0)*Parametros!$K$4+IF(ISNUMBER(K216),K216,0)*Parametros!$K$5+IF(ISNUMBER(M216),M216,0)*Parametros!$K$6+IF(ISNUMBER(N216),N216,0)*Parametros!$K$7+IF(ISNUMBER(O216),O216,0)*Parametros!$K$8)/Parametros!$B$2))</f>
        <v/>
      </c>
      <c r="Q216" t="str">
        <f>IF(F216="","",IF(COUNTIF(J216:O216,"D")&gt;0,"Desiste",IF(IFERROR(P216,0)&gt;=Parametros!$B$1,"Aprueba","No aprueba")))</f>
        <v/>
      </c>
      <c r="T216" t="str">
        <f>IF($Q216="Aprueba",COUNTIF($Q$2:$Q216,"Aprueba"),"")</f>
        <v/>
      </c>
    </row>
    <row r="217" spans="16:20" ht="14.25" customHeight="1">
      <c r="P217" t="str">
        <f>IF(F217="","",IF(COUNTIF(J217:O217,"D")&gt;0,"",(IF(ISNUMBER(J217),J217,0)*Parametros!$K$4+IF(ISNUMBER(K217),K217,0)*Parametros!$K$5+IF(ISNUMBER(M217),M217,0)*Parametros!$K$6+IF(ISNUMBER(N217),N217,0)*Parametros!$K$7+IF(ISNUMBER(O217),O217,0)*Parametros!$K$8)/Parametros!$B$2))</f>
        <v/>
      </c>
      <c r="Q217" t="str">
        <f>IF(F217="","",IF(COUNTIF(J217:O217,"D")&gt;0,"Desiste",IF(IFERROR(P217,0)&gt;=Parametros!$B$1,"Aprueba","No aprueba")))</f>
        <v/>
      </c>
      <c r="T217" t="str">
        <f>IF($Q217="Aprueba",COUNTIF($Q$2:$Q217,"Aprueba"),"")</f>
        <v/>
      </c>
    </row>
    <row r="218" spans="16:20" ht="14.25" customHeight="1">
      <c r="P218" t="str">
        <f>IF(F218="","",IF(COUNTIF(J218:O218,"D")&gt;0,"",(IF(ISNUMBER(J218),J218,0)*Parametros!$K$4+IF(ISNUMBER(K218),K218,0)*Parametros!$K$5+IF(ISNUMBER(M218),M218,0)*Parametros!$K$6+IF(ISNUMBER(N218),N218,0)*Parametros!$K$7+IF(ISNUMBER(O218),O218,0)*Parametros!$K$8)/Parametros!$B$2))</f>
        <v/>
      </c>
      <c r="Q218" t="str">
        <f>IF(F218="","",IF(COUNTIF(J218:O218,"D")&gt;0,"Desiste",IF(IFERROR(P218,0)&gt;=Parametros!$B$1,"Aprueba","No aprueba")))</f>
        <v/>
      </c>
      <c r="T218" t="str">
        <f>IF($Q218="Aprueba",COUNTIF($Q$2:$Q218,"Aprueba"),"")</f>
        <v/>
      </c>
    </row>
    <row r="219" spans="16:20" ht="14.25" customHeight="1">
      <c r="P219" t="str">
        <f>IF(F219="","",IF(COUNTIF(J219:O219,"D")&gt;0,"",(IF(ISNUMBER(J219),J219,0)*Parametros!$K$4+IF(ISNUMBER(K219),K219,0)*Parametros!$K$5+IF(ISNUMBER(M219),M219,0)*Parametros!$K$6+IF(ISNUMBER(N219),N219,0)*Parametros!$K$7+IF(ISNUMBER(O219),O219,0)*Parametros!$K$8)/Parametros!$B$2))</f>
        <v/>
      </c>
      <c r="Q219" t="str">
        <f>IF(F219="","",IF(COUNTIF(J219:O219,"D")&gt;0,"Desiste",IF(IFERROR(P219,0)&gt;=Parametros!$B$1,"Aprueba","No aprueba")))</f>
        <v/>
      </c>
      <c r="T219" t="str">
        <f>IF($Q219="Aprueba",COUNTIF($Q$2:$Q219,"Aprueba"),"")</f>
        <v/>
      </c>
    </row>
    <row r="220" spans="16:20" ht="14.25" customHeight="1">
      <c r="P220" t="str">
        <f>IF(F220="","",IF(COUNTIF(J220:O220,"D")&gt;0,"",(IF(ISNUMBER(J220),J220,0)*Parametros!$K$4+IF(ISNUMBER(K220),K220,0)*Parametros!$K$5+IF(ISNUMBER(M220),M220,0)*Parametros!$K$6+IF(ISNUMBER(N220),N220,0)*Parametros!$K$7+IF(ISNUMBER(O220),O220,0)*Parametros!$K$8)/Parametros!$B$2))</f>
        <v/>
      </c>
      <c r="Q220" t="str">
        <f>IF(F220="","",IF(COUNTIF(J220:O220,"D")&gt;0,"Desiste",IF(IFERROR(P220,0)&gt;=Parametros!$B$1,"Aprueba","No aprueba")))</f>
        <v/>
      </c>
      <c r="T220" t="str">
        <f>IF($Q220="Aprueba",COUNTIF($Q$2:$Q220,"Aprueba"),"")</f>
        <v/>
      </c>
    </row>
    <row r="221" spans="16:20" ht="14.25" customHeight="1">
      <c r="P221" t="str">
        <f>IF(F221="","",IF(COUNTIF(J221:O221,"D")&gt;0,"",(IF(ISNUMBER(J221),J221,0)*Parametros!$K$4+IF(ISNUMBER(K221),K221,0)*Parametros!$K$5+IF(ISNUMBER(M221),M221,0)*Parametros!$K$6+IF(ISNUMBER(N221),N221,0)*Parametros!$K$7+IF(ISNUMBER(O221),O221,0)*Parametros!$K$8)/Parametros!$B$2))</f>
        <v/>
      </c>
      <c r="Q221" t="str">
        <f>IF(F221="","",IF(COUNTIF(J221:O221,"D")&gt;0,"Desiste",IF(IFERROR(P221,0)&gt;=Parametros!$B$1,"Aprueba","No aprueba")))</f>
        <v/>
      </c>
      <c r="T221" t="str">
        <f>IF($Q221="Aprueba",COUNTIF($Q$2:$Q221,"Aprueba"),"")</f>
        <v/>
      </c>
    </row>
    <row r="222" spans="16:20" ht="14.25" customHeight="1">
      <c r="P222" t="str">
        <f>IF(F222="","",IF(COUNTIF(J222:O222,"D")&gt;0,"",(IF(ISNUMBER(J222),J222,0)*Parametros!$K$4+IF(ISNUMBER(K222),K222,0)*Parametros!$K$5+IF(ISNUMBER(M222),M222,0)*Parametros!$K$6+IF(ISNUMBER(N222),N222,0)*Parametros!$K$7+IF(ISNUMBER(O222),O222,0)*Parametros!$K$8)/Parametros!$B$2))</f>
        <v/>
      </c>
      <c r="Q222" t="str">
        <f>IF(F222="","",IF(COUNTIF(J222:O222,"D")&gt;0,"Desiste",IF(IFERROR(P222,0)&gt;=Parametros!$B$1,"Aprueba","No aprueba")))</f>
        <v/>
      </c>
      <c r="T222" t="str">
        <f>IF($Q222="Aprueba",COUNTIF($Q$2:$Q222,"Aprueba"),"")</f>
        <v/>
      </c>
    </row>
    <row r="223" spans="16:20" ht="14.25" customHeight="1">
      <c r="P223" t="str">
        <f>IF(F223="","",IF(COUNTIF(J223:O223,"D")&gt;0,"",(IF(ISNUMBER(J223),J223,0)*Parametros!$K$4+IF(ISNUMBER(K223),K223,0)*Parametros!$K$5+IF(ISNUMBER(M223),M223,0)*Parametros!$K$6+IF(ISNUMBER(N223),N223,0)*Parametros!$K$7+IF(ISNUMBER(O223),O223,0)*Parametros!$K$8)/Parametros!$B$2))</f>
        <v/>
      </c>
      <c r="Q223" t="str">
        <f>IF(F223="","",IF(COUNTIF(J223:O223,"D")&gt;0,"Desiste",IF(IFERROR(P223,0)&gt;=Parametros!$B$1,"Aprueba","No aprueba")))</f>
        <v/>
      </c>
      <c r="T223" t="str">
        <f>IF($Q223="Aprueba",COUNTIF($Q$2:$Q223,"Aprueba"),"")</f>
        <v/>
      </c>
    </row>
    <row r="224" spans="16:20" ht="14.25" customHeight="1">
      <c r="P224" t="str">
        <f>IF(F224="","",IF(COUNTIF(J224:O224,"D")&gt;0,"",(IF(ISNUMBER(J224),J224,0)*Parametros!$K$4+IF(ISNUMBER(K224),K224,0)*Parametros!$K$5+IF(ISNUMBER(M224),M224,0)*Parametros!$K$6+IF(ISNUMBER(N224),N224,0)*Parametros!$K$7+IF(ISNUMBER(O224),O224,0)*Parametros!$K$8)/Parametros!$B$2))</f>
        <v/>
      </c>
      <c r="Q224" t="str">
        <f>IF(F224="","",IF(COUNTIF(J224:O224,"D")&gt;0,"Desiste",IF(IFERROR(P224,0)&gt;=Parametros!$B$1,"Aprueba","No aprueba")))</f>
        <v/>
      </c>
      <c r="T224" t="str">
        <f>IF($Q224="Aprueba",COUNTIF($Q$2:$Q224,"Aprueba"),"")</f>
        <v/>
      </c>
    </row>
    <row r="225" spans="16:20" ht="14.25" customHeight="1">
      <c r="P225" t="str">
        <f>IF(F225="","",IF(COUNTIF(J225:O225,"D")&gt;0,"",(IF(ISNUMBER(J225),J225,0)*Parametros!$K$4+IF(ISNUMBER(K225),K225,0)*Parametros!$K$5+IF(ISNUMBER(M225),M225,0)*Parametros!$K$6+IF(ISNUMBER(N225),N225,0)*Parametros!$K$7+IF(ISNUMBER(O225),O225,0)*Parametros!$K$8)/Parametros!$B$2))</f>
        <v/>
      </c>
      <c r="Q225" t="str">
        <f>IF(F225="","",IF(COUNTIF(J225:O225,"D")&gt;0,"Desiste",IF(IFERROR(P225,0)&gt;=Parametros!$B$1,"Aprueba","No aprueba")))</f>
        <v/>
      </c>
      <c r="T225" t="str">
        <f>IF($Q225="Aprueba",COUNTIF($Q$2:$Q225,"Aprueba"),"")</f>
        <v/>
      </c>
    </row>
    <row r="226" spans="16:20" ht="14.25" customHeight="1">
      <c r="P226" t="str">
        <f>IF(F226="","",IF(COUNTIF(J226:O226,"D")&gt;0,"",(IF(ISNUMBER(J226),J226,0)*Parametros!$K$4+IF(ISNUMBER(K226),K226,0)*Parametros!$K$5+IF(ISNUMBER(M226),M226,0)*Parametros!$K$6+IF(ISNUMBER(N226),N226,0)*Parametros!$K$7+IF(ISNUMBER(O226),O226,0)*Parametros!$K$8)/Parametros!$B$2))</f>
        <v/>
      </c>
      <c r="Q226" t="str">
        <f>IF(F226="","",IF(COUNTIF(J226:O226,"D")&gt;0,"Desiste",IF(IFERROR(P226,0)&gt;=Parametros!$B$1,"Aprueba","No aprueba")))</f>
        <v/>
      </c>
      <c r="T226" t="str">
        <f>IF($Q226="Aprueba",COUNTIF($Q$2:$Q226,"Aprueba"),"")</f>
        <v/>
      </c>
    </row>
    <row r="227" spans="16:20" ht="14.25" customHeight="1">
      <c r="P227" t="str">
        <f>IF(F227="","",IF(COUNTIF(J227:O227,"D")&gt;0,"",(IF(ISNUMBER(J227),J227,0)*Parametros!$K$4+IF(ISNUMBER(K227),K227,0)*Parametros!$K$5+IF(ISNUMBER(M227),M227,0)*Parametros!$K$6+IF(ISNUMBER(N227),N227,0)*Parametros!$K$7+IF(ISNUMBER(O227),O227,0)*Parametros!$K$8)/Parametros!$B$2))</f>
        <v/>
      </c>
      <c r="Q227" t="str">
        <f>IF(F227="","",IF(COUNTIF(J227:O227,"D")&gt;0,"Desiste",IF(IFERROR(P227,0)&gt;=Parametros!$B$1,"Aprueba","No aprueba")))</f>
        <v/>
      </c>
      <c r="T227" t="str">
        <f>IF($Q227="Aprueba",COUNTIF($Q$2:$Q227,"Aprueba"),"")</f>
        <v/>
      </c>
    </row>
    <row r="228" spans="16:20" ht="14.25" customHeight="1">
      <c r="P228" t="str">
        <f>IF(F228="","",IF(COUNTIF(J228:O228,"D")&gt;0,"",(IF(ISNUMBER(J228),J228,0)*Parametros!$K$4+IF(ISNUMBER(K228),K228,0)*Parametros!$K$5+IF(ISNUMBER(M228),M228,0)*Parametros!$K$6+IF(ISNUMBER(N228),N228,0)*Parametros!$K$7+IF(ISNUMBER(O228),O228,0)*Parametros!$K$8)/Parametros!$B$2))</f>
        <v/>
      </c>
      <c r="Q228" t="str">
        <f>IF(F228="","",IF(COUNTIF(J228:O228,"D")&gt;0,"Desiste",IF(IFERROR(P228,0)&gt;=Parametros!$B$1,"Aprueba","No aprueba")))</f>
        <v/>
      </c>
      <c r="T228" t="str">
        <f>IF($Q228="Aprueba",COUNTIF($Q$2:$Q228,"Aprueba"),"")</f>
        <v/>
      </c>
    </row>
    <row r="229" spans="16:20" ht="14.25" customHeight="1">
      <c r="P229" t="str">
        <f>IF(F229="","",IF(COUNTIF(J229:O229,"D")&gt;0,"",(IF(ISNUMBER(J229),J229,0)*Parametros!$K$4+IF(ISNUMBER(K229),K229,0)*Parametros!$K$5+IF(ISNUMBER(M229),M229,0)*Parametros!$K$6+IF(ISNUMBER(N229),N229,0)*Parametros!$K$7+IF(ISNUMBER(O229),O229,0)*Parametros!$K$8)/Parametros!$B$2))</f>
        <v/>
      </c>
      <c r="Q229" t="str">
        <f>IF(F229="","",IF(COUNTIF(J229:O229,"D")&gt;0,"Desiste",IF(IFERROR(P229,0)&gt;=Parametros!$B$1,"Aprueba","No aprueba")))</f>
        <v/>
      </c>
      <c r="T229" t="str">
        <f>IF($Q229="Aprueba",COUNTIF($Q$2:$Q229,"Aprueba"),"")</f>
        <v/>
      </c>
    </row>
    <row r="230" spans="16:20" ht="14.25" customHeight="1">
      <c r="P230" t="str">
        <f>IF(F230="","",IF(COUNTIF(J230:O230,"D")&gt;0,"",(IF(ISNUMBER(J230),J230,0)*Parametros!$K$4+IF(ISNUMBER(K230),K230,0)*Parametros!$K$5+IF(ISNUMBER(M230),M230,0)*Parametros!$K$6+IF(ISNUMBER(N230),N230,0)*Parametros!$K$7+IF(ISNUMBER(O230),O230,0)*Parametros!$K$8)/Parametros!$B$2))</f>
        <v/>
      </c>
      <c r="Q230" t="str">
        <f>IF(F230="","",IF(COUNTIF(J230:O230,"D")&gt;0,"Desiste",IF(IFERROR(P230,0)&gt;=Parametros!$B$1,"Aprueba","No aprueba")))</f>
        <v/>
      </c>
      <c r="T230" t="str">
        <f>IF($Q230="Aprueba",COUNTIF($Q$2:$Q230,"Aprueba"),"")</f>
        <v/>
      </c>
    </row>
    <row r="231" spans="16:20" ht="14.25" customHeight="1">
      <c r="P231" t="str">
        <f>IF(F231="","",IF(COUNTIF(J231:O231,"D")&gt;0,"",(IF(ISNUMBER(J231),J231,0)*Parametros!$K$4+IF(ISNUMBER(K231),K231,0)*Parametros!$K$5+IF(ISNUMBER(M231),M231,0)*Parametros!$K$6+IF(ISNUMBER(N231),N231,0)*Parametros!$K$7+IF(ISNUMBER(O231),O231,0)*Parametros!$K$8)/Parametros!$B$2))</f>
        <v/>
      </c>
      <c r="Q231" t="str">
        <f>IF(F231="","",IF(COUNTIF(J231:O231,"D")&gt;0,"Desiste",IF(IFERROR(P231,0)&gt;=Parametros!$B$1,"Aprueba","No aprueba")))</f>
        <v/>
      </c>
      <c r="T231" t="str">
        <f>IF($Q231="Aprueba",COUNTIF($Q$2:$Q231,"Aprueba"),"")</f>
        <v/>
      </c>
    </row>
    <row r="232" spans="16:20" ht="14.25" customHeight="1">
      <c r="P232" t="str">
        <f>IF(F232="","",IF(COUNTIF(J232:O232,"D")&gt;0,"",(IF(ISNUMBER(J232),J232,0)*Parametros!$K$4+IF(ISNUMBER(K232),K232,0)*Parametros!$K$5+IF(ISNUMBER(M232),M232,0)*Parametros!$K$6+IF(ISNUMBER(N232),N232,0)*Parametros!$K$7+IF(ISNUMBER(O232),O232,0)*Parametros!$K$8)/Parametros!$B$2))</f>
        <v/>
      </c>
      <c r="Q232" t="str">
        <f>IF(F232="","",IF(COUNTIF(J232:O232,"D")&gt;0,"Desiste",IF(IFERROR(P232,0)&gt;=Parametros!$B$1,"Aprueba","No aprueba")))</f>
        <v/>
      </c>
      <c r="T232" t="str">
        <f>IF($Q232="Aprueba",COUNTIF($Q$2:$Q232,"Aprueba"),"")</f>
        <v/>
      </c>
    </row>
    <row r="233" spans="16:20" ht="14.25" customHeight="1">
      <c r="P233" t="str">
        <f>IF(F233="","",IF(COUNTIF(J233:O233,"D")&gt;0,"",(IF(ISNUMBER(J233),J233,0)*Parametros!$K$4+IF(ISNUMBER(K233),K233,0)*Parametros!$K$5+IF(ISNUMBER(M233),M233,0)*Parametros!$K$6+IF(ISNUMBER(N233),N233,0)*Parametros!$K$7+IF(ISNUMBER(O233),O233,0)*Parametros!$K$8)/Parametros!$B$2))</f>
        <v/>
      </c>
      <c r="Q233" t="str">
        <f>IF(F233="","",IF(COUNTIF(J233:O233,"D")&gt;0,"Desiste",IF(IFERROR(P233,0)&gt;=Parametros!$B$1,"Aprueba","No aprueba")))</f>
        <v/>
      </c>
      <c r="T233" t="str">
        <f>IF($Q233="Aprueba",COUNTIF($Q$2:$Q233,"Aprueba"),"")</f>
        <v/>
      </c>
    </row>
    <row r="234" spans="16:20" ht="14.25" customHeight="1">
      <c r="P234" t="str">
        <f>IF(F234="","",IF(COUNTIF(J234:O234,"D")&gt;0,"",(IF(ISNUMBER(J234),J234,0)*Parametros!$K$4+IF(ISNUMBER(K234),K234,0)*Parametros!$K$5+IF(ISNUMBER(M234),M234,0)*Parametros!$K$6+IF(ISNUMBER(N234),N234,0)*Parametros!$K$7+IF(ISNUMBER(O234),O234,0)*Parametros!$K$8)/Parametros!$B$2))</f>
        <v/>
      </c>
      <c r="Q234" t="str">
        <f>IF(F234="","",IF(COUNTIF(J234:O234,"D")&gt;0,"Desiste",IF(IFERROR(P234,0)&gt;=Parametros!$B$1,"Aprueba","No aprueba")))</f>
        <v/>
      </c>
      <c r="T234" t="str">
        <f>IF($Q234="Aprueba",COUNTIF($Q$2:$Q234,"Aprueba"),"")</f>
        <v/>
      </c>
    </row>
    <row r="235" spans="16:20" ht="14.25" customHeight="1">
      <c r="P235" t="str">
        <f>IF(F235="","",IF(COUNTIF(J235:O235,"D")&gt;0,"",(IF(ISNUMBER(J235),J235,0)*Parametros!$K$4+IF(ISNUMBER(K235),K235,0)*Parametros!$K$5+IF(ISNUMBER(M235),M235,0)*Parametros!$K$6+IF(ISNUMBER(N235),N235,0)*Parametros!$K$7+IF(ISNUMBER(O235),O235,0)*Parametros!$K$8)/Parametros!$B$2))</f>
        <v/>
      </c>
      <c r="Q235" t="str">
        <f>IF(F235="","",IF(COUNTIF(J235:O235,"D")&gt;0,"Desiste",IF(IFERROR(P235,0)&gt;=Parametros!$B$1,"Aprueba","No aprueba")))</f>
        <v/>
      </c>
      <c r="T235" t="str">
        <f>IF($Q235="Aprueba",COUNTIF($Q$2:$Q235,"Aprueba"),"")</f>
        <v/>
      </c>
    </row>
    <row r="236" spans="16:20" ht="14.25" customHeight="1">
      <c r="P236" t="str">
        <f>IF(F236="","",IF(COUNTIF(J236:O236,"D")&gt;0,"",(IF(ISNUMBER(J236),J236,0)*Parametros!$K$4+IF(ISNUMBER(K236),K236,0)*Parametros!$K$5+IF(ISNUMBER(M236),M236,0)*Parametros!$K$6+IF(ISNUMBER(N236),N236,0)*Parametros!$K$7+IF(ISNUMBER(O236),O236,0)*Parametros!$K$8)/Parametros!$B$2))</f>
        <v/>
      </c>
      <c r="Q236" t="str">
        <f>IF(F236="","",IF(COUNTIF(J236:O236,"D")&gt;0,"Desiste",IF(IFERROR(P236,0)&gt;=Parametros!$B$1,"Aprueba","No aprueba")))</f>
        <v/>
      </c>
      <c r="T236" t="str">
        <f>IF($Q236="Aprueba",COUNTIF($Q$2:$Q236,"Aprueba"),"")</f>
        <v/>
      </c>
    </row>
    <row r="237" spans="16:20" ht="14.25" customHeight="1">
      <c r="P237" t="str">
        <f>IF(F237="","",IF(COUNTIF(J237:O237,"D")&gt;0,"",(IF(ISNUMBER(J237),J237,0)*Parametros!$K$4+IF(ISNUMBER(K237),K237,0)*Parametros!$K$5+IF(ISNUMBER(M237),M237,0)*Parametros!$K$6+IF(ISNUMBER(N237),N237,0)*Parametros!$K$7+IF(ISNUMBER(O237),O237,0)*Parametros!$K$8)/Parametros!$B$2))</f>
        <v/>
      </c>
      <c r="Q237" t="str">
        <f>IF(F237="","",IF(COUNTIF(J237:O237,"D")&gt;0,"Desiste",IF(IFERROR(P237,0)&gt;=Parametros!$B$1,"Aprueba","No aprueba")))</f>
        <v/>
      </c>
      <c r="T237" t="str">
        <f>IF($Q237="Aprueba",COUNTIF($Q$2:$Q237,"Aprueba"),"")</f>
        <v/>
      </c>
    </row>
    <row r="238" spans="16:20" ht="14.25" customHeight="1">
      <c r="P238" t="str">
        <f>IF(F238="","",IF(COUNTIF(J238:O238,"D")&gt;0,"",(IF(ISNUMBER(J238),J238,0)*Parametros!$K$4+IF(ISNUMBER(K238),K238,0)*Parametros!$K$5+IF(ISNUMBER(M238),M238,0)*Parametros!$K$6+IF(ISNUMBER(N238),N238,0)*Parametros!$K$7+IF(ISNUMBER(O238),O238,0)*Parametros!$K$8)/Parametros!$B$2))</f>
        <v/>
      </c>
      <c r="Q238" t="str">
        <f>IF(F238="","",IF(COUNTIF(J238:O238,"D")&gt;0,"Desiste",IF(IFERROR(P238,0)&gt;=Parametros!$B$1,"Aprueba","No aprueba")))</f>
        <v/>
      </c>
      <c r="T238" t="str">
        <f>IF($Q238="Aprueba",COUNTIF($Q$2:$Q238,"Aprueba"),"")</f>
        <v/>
      </c>
    </row>
    <row r="239" spans="16:20" ht="14.25" customHeight="1">
      <c r="P239" t="str">
        <f>IF(F239="","",IF(COUNTIF(J239:O239,"D")&gt;0,"",(IF(ISNUMBER(J239),J239,0)*Parametros!$K$4+IF(ISNUMBER(K239),K239,0)*Parametros!$K$5+IF(ISNUMBER(M239),M239,0)*Parametros!$K$6+IF(ISNUMBER(N239),N239,0)*Parametros!$K$7+IF(ISNUMBER(O239),O239,0)*Parametros!$K$8)/Parametros!$B$2))</f>
        <v/>
      </c>
      <c r="Q239" t="str">
        <f>IF(F239="","",IF(COUNTIF(J239:O239,"D")&gt;0,"Desiste",IF(IFERROR(P239,0)&gt;=Parametros!$B$1,"Aprueba","No aprueba")))</f>
        <v/>
      </c>
      <c r="T239" t="str">
        <f>IF($Q239="Aprueba",COUNTIF($Q$2:$Q239,"Aprueba"),"")</f>
        <v/>
      </c>
    </row>
    <row r="240" spans="16:20" ht="14.25" customHeight="1">
      <c r="P240" t="str">
        <f>IF(F240="","",IF(COUNTIF(J240:O240,"D")&gt;0,"",(IF(ISNUMBER(J240),J240,0)*Parametros!$K$4+IF(ISNUMBER(K240),K240,0)*Parametros!$K$5+IF(ISNUMBER(M240),M240,0)*Parametros!$K$6+IF(ISNUMBER(N240),N240,0)*Parametros!$K$7+IF(ISNUMBER(O240),O240,0)*Parametros!$K$8)/Parametros!$B$2))</f>
        <v/>
      </c>
      <c r="Q240" t="str">
        <f>IF(F240="","",IF(COUNTIF(J240:O240,"D")&gt;0,"Desiste",IF(IFERROR(P240,0)&gt;=Parametros!$B$1,"Aprueba","No aprueba")))</f>
        <v/>
      </c>
      <c r="T240" t="str">
        <f>IF($Q240="Aprueba",COUNTIF($Q$2:$Q240,"Aprueba"),"")</f>
        <v/>
      </c>
    </row>
    <row r="241" spans="16:20" ht="14.25" customHeight="1">
      <c r="P241" t="str">
        <f>IF(F241="","",IF(COUNTIF(J241:O241,"D")&gt;0,"",(IF(ISNUMBER(J241),J241,0)*Parametros!$K$4+IF(ISNUMBER(K241),K241,0)*Parametros!$K$5+IF(ISNUMBER(M241),M241,0)*Parametros!$K$6+IF(ISNUMBER(N241),N241,0)*Parametros!$K$7+IF(ISNUMBER(O241),O241,0)*Parametros!$K$8)/Parametros!$B$2))</f>
        <v/>
      </c>
      <c r="Q241" t="str">
        <f>IF(F241="","",IF(COUNTIF(J241:O241,"D")&gt;0,"Desiste",IF(IFERROR(P241,0)&gt;=Parametros!$B$1,"Aprueba","No aprueba")))</f>
        <v/>
      </c>
      <c r="T241" t="str">
        <f>IF($Q241="Aprueba",COUNTIF($Q$2:$Q241,"Aprueba"),"")</f>
        <v/>
      </c>
    </row>
    <row r="242" spans="16:20" ht="14.25" customHeight="1">
      <c r="P242" t="str">
        <f>IF(F242="","",IF(COUNTIF(J242:O242,"D")&gt;0,"",(IF(ISNUMBER(J242),J242,0)*Parametros!$K$4+IF(ISNUMBER(K242),K242,0)*Parametros!$K$5+IF(ISNUMBER(M242),M242,0)*Parametros!$K$6+IF(ISNUMBER(N242),N242,0)*Parametros!$K$7+IF(ISNUMBER(O242),O242,0)*Parametros!$K$8)/Parametros!$B$2))</f>
        <v/>
      </c>
      <c r="Q242" t="str">
        <f>IF(F242="","",IF(COUNTIF(J242:O242,"D")&gt;0,"Desiste",IF(IFERROR(P242,0)&gt;=Parametros!$B$1,"Aprueba","No aprueba")))</f>
        <v/>
      </c>
      <c r="T242" t="str">
        <f>IF($Q242="Aprueba",COUNTIF($Q$2:$Q242,"Aprueba"),"")</f>
        <v/>
      </c>
    </row>
    <row r="243" spans="16:20" ht="14.25" customHeight="1">
      <c r="P243" t="str">
        <f>IF(F243="","",IF(COUNTIF(J243:O243,"D")&gt;0,"",(IF(ISNUMBER(J243),J243,0)*Parametros!$K$4+IF(ISNUMBER(K243),K243,0)*Parametros!$K$5+IF(ISNUMBER(M243),M243,0)*Parametros!$K$6+IF(ISNUMBER(N243),N243,0)*Parametros!$K$7+IF(ISNUMBER(O243),O243,0)*Parametros!$K$8)/Parametros!$B$2))</f>
        <v/>
      </c>
      <c r="Q243" t="str">
        <f>IF(F243="","",IF(COUNTIF(J243:O243,"D")&gt;0,"Desiste",IF(IFERROR(P243,0)&gt;=Parametros!$B$1,"Aprueba","No aprueba")))</f>
        <v/>
      </c>
      <c r="T243" t="str">
        <f>IF($Q243="Aprueba",COUNTIF($Q$2:$Q243,"Aprueba"),"")</f>
        <v/>
      </c>
    </row>
    <row r="244" spans="16:20" ht="14.25" customHeight="1">
      <c r="P244" t="str">
        <f>IF(F244="","",IF(COUNTIF(J244:O244,"D")&gt;0,"",(IF(ISNUMBER(J244),J244,0)*Parametros!$K$4+IF(ISNUMBER(K244),K244,0)*Parametros!$K$5+IF(ISNUMBER(M244),M244,0)*Parametros!$K$6+IF(ISNUMBER(N244),N244,0)*Parametros!$K$7+IF(ISNUMBER(O244),O244,0)*Parametros!$K$8)/Parametros!$B$2))</f>
        <v/>
      </c>
      <c r="Q244" t="str">
        <f>IF(F244="","",IF(COUNTIF(J244:O244,"D")&gt;0,"Desiste",IF(IFERROR(P244,0)&gt;=Parametros!$B$1,"Aprueba","No aprueba")))</f>
        <v/>
      </c>
      <c r="T244" t="str">
        <f>IF($Q244="Aprueba",COUNTIF($Q$2:$Q244,"Aprueba"),"")</f>
        <v/>
      </c>
    </row>
    <row r="245" spans="16:20" ht="14.25" customHeight="1">
      <c r="P245" t="str">
        <f>IF(F245="","",IF(COUNTIF(J245:O245,"D")&gt;0,"",(IF(ISNUMBER(J245),J245,0)*Parametros!$K$4+IF(ISNUMBER(K245),K245,0)*Parametros!$K$5+IF(ISNUMBER(M245),M245,0)*Parametros!$K$6+IF(ISNUMBER(N245),N245,0)*Parametros!$K$7+IF(ISNUMBER(O245),O245,0)*Parametros!$K$8)/Parametros!$B$2))</f>
        <v/>
      </c>
      <c r="Q245" t="str">
        <f>IF(F245="","",IF(COUNTIF(J245:O245,"D")&gt;0,"Desiste",IF(IFERROR(P245,0)&gt;=Parametros!$B$1,"Aprueba","No aprueba")))</f>
        <v/>
      </c>
      <c r="T245" t="str">
        <f>IF($Q245="Aprueba",COUNTIF($Q$2:$Q245,"Aprueba"),"")</f>
        <v/>
      </c>
    </row>
    <row r="246" spans="16:20" ht="14.25" customHeight="1">
      <c r="P246" t="str">
        <f>IF(F246="","",IF(COUNTIF(J246:O246,"D")&gt;0,"",(IF(ISNUMBER(J246),J246,0)*Parametros!$K$4+IF(ISNUMBER(K246),K246,0)*Parametros!$K$5+IF(ISNUMBER(M246),M246,0)*Parametros!$K$6+IF(ISNUMBER(N246),N246,0)*Parametros!$K$7+IF(ISNUMBER(O246),O246,0)*Parametros!$K$8)/Parametros!$B$2))</f>
        <v/>
      </c>
      <c r="Q246" t="str">
        <f>IF(F246="","",IF(COUNTIF(J246:O246,"D")&gt;0,"Desiste",IF(IFERROR(P246,0)&gt;=Parametros!$B$1,"Aprueba","No aprueba")))</f>
        <v/>
      </c>
      <c r="T246" t="str">
        <f>IF($Q246="Aprueba",COUNTIF($Q$2:$Q246,"Aprueba"),"")</f>
        <v/>
      </c>
    </row>
    <row r="247" spans="16:20" ht="14.25" customHeight="1">
      <c r="P247" t="str">
        <f>IF(F247="","",IF(COUNTIF(J247:O247,"D")&gt;0,"",(IF(ISNUMBER(J247),J247,0)*Parametros!$K$4+IF(ISNUMBER(K247),K247,0)*Parametros!$K$5+IF(ISNUMBER(M247),M247,0)*Parametros!$K$6+IF(ISNUMBER(N247),N247,0)*Parametros!$K$7+IF(ISNUMBER(O247),O247,0)*Parametros!$K$8)/Parametros!$B$2))</f>
        <v/>
      </c>
      <c r="Q247" t="str">
        <f>IF(F247="","",IF(COUNTIF(J247:O247,"D")&gt;0,"Desiste",IF(IFERROR(P247,0)&gt;=Parametros!$B$1,"Aprueba","No aprueba")))</f>
        <v/>
      </c>
      <c r="T247" t="str">
        <f>IF($Q247="Aprueba",COUNTIF($Q$2:$Q247,"Aprueba"),"")</f>
        <v/>
      </c>
    </row>
    <row r="248" spans="16:20" ht="14.25" customHeight="1">
      <c r="P248" t="str">
        <f>IF(F248="","",IF(COUNTIF(J248:O248,"D")&gt;0,"",(IF(ISNUMBER(J248),J248,0)*Parametros!$K$4+IF(ISNUMBER(K248),K248,0)*Parametros!$K$5+IF(ISNUMBER(M248),M248,0)*Parametros!$K$6+IF(ISNUMBER(N248),N248,0)*Parametros!$K$7+IF(ISNUMBER(O248),O248,0)*Parametros!$K$8)/Parametros!$B$2))</f>
        <v/>
      </c>
      <c r="Q248" t="str">
        <f>IF(F248="","",IF(COUNTIF(J248:O248,"D")&gt;0,"Desiste",IF(IFERROR(P248,0)&gt;=Parametros!$B$1,"Aprueba","No aprueba")))</f>
        <v/>
      </c>
      <c r="T248" t="str">
        <f>IF($Q248="Aprueba",COUNTIF($Q$2:$Q248,"Aprueba"),"")</f>
        <v/>
      </c>
    </row>
    <row r="249" spans="16:20" ht="14.25" customHeight="1">
      <c r="P249" t="str">
        <f>IF(F249="","",IF(COUNTIF(J249:O249,"D")&gt;0,"",(IF(ISNUMBER(J249),J249,0)*Parametros!$K$4+IF(ISNUMBER(K249),K249,0)*Parametros!$K$5+IF(ISNUMBER(M249),M249,0)*Parametros!$K$6+IF(ISNUMBER(N249),N249,0)*Parametros!$K$7+IF(ISNUMBER(O249),O249,0)*Parametros!$K$8)/Parametros!$B$2))</f>
        <v/>
      </c>
      <c r="Q249" t="str">
        <f>IF(F249="","",IF(COUNTIF(J249:O249,"D")&gt;0,"Desiste",IF(IFERROR(P249,0)&gt;=Parametros!$B$1,"Aprueba","No aprueba")))</f>
        <v/>
      </c>
      <c r="T249" t="str">
        <f>IF($Q249="Aprueba",COUNTIF($Q$2:$Q249,"Aprueba"),"")</f>
        <v/>
      </c>
    </row>
    <row r="250" spans="16:20" ht="14.25" customHeight="1">
      <c r="P250" t="str">
        <f>IF(F250="","",IF(COUNTIF(J250:O250,"D")&gt;0,"",(IF(ISNUMBER(J250),J250,0)*Parametros!$K$4+IF(ISNUMBER(K250),K250,0)*Parametros!$K$5+IF(ISNUMBER(M250),M250,0)*Parametros!$K$6+IF(ISNUMBER(N250),N250,0)*Parametros!$K$7+IF(ISNUMBER(O250),O250,0)*Parametros!$K$8)/Parametros!$B$2))</f>
        <v/>
      </c>
      <c r="Q250" t="str">
        <f>IF(F250="","",IF(COUNTIF(J250:O250,"D")&gt;0,"Desiste",IF(IFERROR(P250,0)&gt;=Parametros!$B$1,"Aprueba","No aprueba")))</f>
        <v/>
      </c>
      <c r="T250" t="str">
        <f>IF($Q250="Aprueba",COUNTIF($Q$2:$Q250,"Aprueba"),"")</f>
        <v/>
      </c>
    </row>
    <row r="251" spans="16:20" ht="14.25" customHeight="1">
      <c r="P251" t="str">
        <f>IF(F251="","",IF(COUNTIF(J251:O251,"D")&gt;0,"",(IF(ISNUMBER(J251),J251,0)*Parametros!$K$4+IF(ISNUMBER(K251),K251,0)*Parametros!$K$5+IF(ISNUMBER(M251),M251,0)*Parametros!$K$6+IF(ISNUMBER(N251),N251,0)*Parametros!$K$7+IF(ISNUMBER(O251),O251,0)*Parametros!$K$8)/Parametros!$B$2))</f>
        <v/>
      </c>
      <c r="Q251" t="str">
        <f>IF(F251="","",IF(COUNTIF(J251:O251,"D")&gt;0,"Desiste",IF(IFERROR(P251,0)&gt;=Parametros!$B$1,"Aprueba","No aprueba")))</f>
        <v/>
      </c>
      <c r="T251" t="str">
        <f>IF($Q251="Aprueba",COUNTIF($Q$2:$Q251,"Aprueba"),"")</f>
        <v/>
      </c>
    </row>
    <row r="252" spans="16:20" ht="14.25" customHeight="1">
      <c r="P252" t="str">
        <f>IF(F252="","",IF(COUNTIF(J252:O252,"D")&gt;0,"",(IF(ISNUMBER(J252),J252,0)*Parametros!$K$4+IF(ISNUMBER(K252),K252,0)*Parametros!$K$5+IF(ISNUMBER(M252),M252,0)*Parametros!$K$6+IF(ISNUMBER(N252),N252,0)*Parametros!$K$7+IF(ISNUMBER(O252),O252,0)*Parametros!$K$8)/Parametros!$B$2))</f>
        <v/>
      </c>
      <c r="Q252" t="str">
        <f>IF(F252="","",IF(COUNTIF(J252:O252,"D")&gt;0,"Desiste",IF(IFERROR(P252,0)&gt;=Parametros!$B$1,"Aprueba","No aprueba")))</f>
        <v/>
      </c>
      <c r="T252" t="str">
        <f>IF($Q252="Aprueba",COUNTIF($Q$2:$Q252,"Aprueba"),"")</f>
        <v/>
      </c>
    </row>
    <row r="253" spans="16:20" ht="14.25" customHeight="1">
      <c r="P253" t="str">
        <f>IF(F253="","",IF(COUNTIF(J253:O253,"D")&gt;0,"",(IF(ISNUMBER(J253),J253,0)*Parametros!$K$4+IF(ISNUMBER(K253),K253,0)*Parametros!$K$5+IF(ISNUMBER(M253),M253,0)*Parametros!$K$6+IF(ISNUMBER(N253),N253,0)*Parametros!$K$7+IF(ISNUMBER(O253),O253,0)*Parametros!$K$8)/Parametros!$B$2))</f>
        <v/>
      </c>
      <c r="Q253" t="str">
        <f>IF(F253="","",IF(COUNTIF(J253:O253,"D")&gt;0,"Desiste",IF(IFERROR(P253,0)&gt;=Parametros!$B$1,"Aprueba","No aprueba")))</f>
        <v/>
      </c>
      <c r="T253" t="str">
        <f>IF($Q253="Aprueba",COUNTIF($Q$2:$Q253,"Aprueba"),"")</f>
        <v/>
      </c>
    </row>
    <row r="254" spans="16:20" ht="14.25" customHeight="1">
      <c r="P254" t="str">
        <f>IF(F254="","",IF(COUNTIF(J254:O254,"D")&gt;0,"",(IF(ISNUMBER(J254),J254,0)*Parametros!$K$4+IF(ISNUMBER(K254),K254,0)*Parametros!$K$5+IF(ISNUMBER(M254),M254,0)*Parametros!$K$6+IF(ISNUMBER(N254),N254,0)*Parametros!$K$7+IF(ISNUMBER(O254),O254,0)*Parametros!$K$8)/Parametros!$B$2))</f>
        <v/>
      </c>
      <c r="Q254" t="str">
        <f>IF(F254="","",IF(COUNTIF(J254:O254,"D")&gt;0,"Desiste",IF(IFERROR(P254,0)&gt;=Parametros!$B$1,"Aprueba","No aprueba")))</f>
        <v/>
      </c>
      <c r="T254" t="str">
        <f>IF($Q254="Aprueba",COUNTIF($Q$2:$Q254,"Aprueba"),"")</f>
        <v/>
      </c>
    </row>
    <row r="255" spans="16:20" ht="14.25" customHeight="1">
      <c r="P255" t="str">
        <f>IF(F255="","",IF(COUNTIF(J255:O255,"D")&gt;0,"",(IF(ISNUMBER(J255),J255,0)*Parametros!$K$4+IF(ISNUMBER(K255),K255,0)*Parametros!$K$5+IF(ISNUMBER(M255),M255,0)*Parametros!$K$6+IF(ISNUMBER(N255),N255,0)*Parametros!$K$7+IF(ISNUMBER(O255),O255,0)*Parametros!$K$8)/Parametros!$B$2))</f>
        <v/>
      </c>
      <c r="Q255" t="str">
        <f>IF(F255="","",IF(COUNTIF(J255:O255,"D")&gt;0,"Desiste",IF(IFERROR(P255,0)&gt;=Parametros!$B$1,"Aprueba","No aprueba")))</f>
        <v/>
      </c>
      <c r="T255" t="str">
        <f>IF($Q255="Aprueba",COUNTIF($Q$2:$Q255,"Aprueba"),"")</f>
        <v/>
      </c>
    </row>
    <row r="256" spans="16:20" ht="14.25" customHeight="1">
      <c r="P256" t="str">
        <f>IF(F256="","",IF(COUNTIF(J256:O256,"D")&gt;0,"",(IF(ISNUMBER(J256),J256,0)*Parametros!$K$4+IF(ISNUMBER(K256),K256,0)*Parametros!$K$5+IF(ISNUMBER(M256),M256,0)*Parametros!$K$6+IF(ISNUMBER(N256),N256,0)*Parametros!$K$7+IF(ISNUMBER(O256),O256,0)*Parametros!$K$8)/Parametros!$B$2))</f>
        <v/>
      </c>
      <c r="Q256" t="str">
        <f>IF(F256="","",IF(COUNTIF(J256:O256,"D")&gt;0,"Desiste",IF(IFERROR(P256,0)&gt;=Parametros!$B$1,"Aprueba","No aprueba")))</f>
        <v/>
      </c>
      <c r="T256" t="str">
        <f>IF($Q256="Aprueba",COUNTIF($Q$2:$Q256,"Aprueba"),"")</f>
        <v/>
      </c>
    </row>
    <row r="257" spans="16:20" ht="14.25" customHeight="1">
      <c r="P257" t="str">
        <f>IF(F257="","",IF(COUNTIF(J257:O257,"D")&gt;0,"",(IF(ISNUMBER(J257),J257,0)*Parametros!$K$4+IF(ISNUMBER(K257),K257,0)*Parametros!$K$5+IF(ISNUMBER(M257),M257,0)*Parametros!$K$6+IF(ISNUMBER(N257),N257,0)*Parametros!$K$7+IF(ISNUMBER(O257),O257,0)*Parametros!$K$8)/Parametros!$B$2))</f>
        <v/>
      </c>
      <c r="Q257" t="str">
        <f>IF(F257="","",IF(COUNTIF(J257:O257,"D")&gt;0,"Desiste",IF(IFERROR(P257,0)&gt;=Parametros!$B$1,"Aprueba","No aprueba")))</f>
        <v/>
      </c>
      <c r="T257" t="str">
        <f>IF($Q257="Aprueba",COUNTIF($Q$2:$Q257,"Aprueba"),"")</f>
        <v/>
      </c>
    </row>
    <row r="258" spans="16:20" ht="14.25" customHeight="1">
      <c r="P258" t="str">
        <f>IF(F258="","",IF(COUNTIF(J258:O258,"D")&gt;0,"",(IF(ISNUMBER(J258),J258,0)*Parametros!$K$4+IF(ISNUMBER(K258),K258,0)*Parametros!$K$5+IF(ISNUMBER(M258),M258,0)*Parametros!$K$6+IF(ISNUMBER(N258),N258,0)*Parametros!$K$7+IF(ISNUMBER(O258),O258,0)*Parametros!$K$8)/Parametros!$B$2))</f>
        <v/>
      </c>
      <c r="Q258" t="str">
        <f>IF(F258="","",IF(COUNTIF(J258:O258,"D")&gt;0,"Desiste",IF(IFERROR(P258,0)&gt;=Parametros!$B$1,"Aprueba","No aprueba")))</f>
        <v/>
      </c>
      <c r="T258" t="str">
        <f>IF($Q258="Aprueba",COUNTIF($Q$2:$Q258,"Aprueba"),"")</f>
        <v/>
      </c>
    </row>
    <row r="259" spans="16:20" ht="14.25" customHeight="1">
      <c r="P259" t="str">
        <f>IF(F259="","",IF(COUNTIF(J259:O259,"D")&gt;0,"",(IF(ISNUMBER(J259),J259,0)*Parametros!$K$4+IF(ISNUMBER(K259),K259,0)*Parametros!$K$5+IF(ISNUMBER(M259),M259,0)*Parametros!$K$6+IF(ISNUMBER(N259),N259,0)*Parametros!$K$7+IF(ISNUMBER(O259),O259,0)*Parametros!$K$8)/Parametros!$B$2))</f>
        <v/>
      </c>
      <c r="Q259" t="str">
        <f>IF(F259="","",IF(COUNTIF(J259:O259,"D")&gt;0,"Desiste",IF(IFERROR(P259,0)&gt;=Parametros!$B$1,"Aprueba","No aprueba")))</f>
        <v/>
      </c>
      <c r="T259" t="str">
        <f>IF($Q259="Aprueba",COUNTIF($Q$2:$Q259,"Aprueba"),"")</f>
        <v/>
      </c>
    </row>
    <row r="260" spans="16:20" ht="14.25" customHeight="1">
      <c r="P260" t="str">
        <f>IF(F260="","",IF(COUNTIF(J260:O260,"D")&gt;0,"",(IF(ISNUMBER(J260),J260,0)*Parametros!$K$4+IF(ISNUMBER(K260),K260,0)*Parametros!$K$5+IF(ISNUMBER(M260),M260,0)*Parametros!$K$6+IF(ISNUMBER(N260),N260,0)*Parametros!$K$7+IF(ISNUMBER(O260),O260,0)*Parametros!$K$8)/Parametros!$B$2))</f>
        <v/>
      </c>
      <c r="Q260" t="str">
        <f>IF(F260="","",IF(COUNTIF(J260:O260,"D")&gt;0,"Desiste",IF(IFERROR(P260,0)&gt;=Parametros!$B$1,"Aprueba","No aprueba")))</f>
        <v/>
      </c>
      <c r="T260" t="str">
        <f>IF($Q260="Aprueba",COUNTIF($Q$2:$Q260,"Aprueba"),"")</f>
        <v/>
      </c>
    </row>
    <row r="261" spans="16:20" ht="14.25" customHeight="1">
      <c r="P261" t="str">
        <f>IF(F261="","",IF(COUNTIF(J261:O261,"D")&gt;0,"",(IF(ISNUMBER(J261),J261,0)*Parametros!$K$4+IF(ISNUMBER(K261),K261,0)*Parametros!$K$5+IF(ISNUMBER(M261),M261,0)*Parametros!$K$6+IF(ISNUMBER(N261),N261,0)*Parametros!$K$7+IF(ISNUMBER(O261),O261,0)*Parametros!$K$8)/Parametros!$B$2))</f>
        <v/>
      </c>
      <c r="Q261" t="str">
        <f>IF(F261="","",IF(COUNTIF(J261:O261,"D")&gt;0,"Desiste",IF(IFERROR(P261,0)&gt;=Parametros!$B$1,"Aprueba","No aprueba")))</f>
        <v/>
      </c>
      <c r="T261" t="str">
        <f>IF($Q261="Aprueba",COUNTIF($Q$2:$Q261,"Aprueba"),"")</f>
        <v/>
      </c>
    </row>
    <row r="262" spans="16:20" ht="14.25" customHeight="1">
      <c r="P262" t="str">
        <f>IF(F262="","",IF(COUNTIF(J262:O262,"D")&gt;0,"",(IF(ISNUMBER(J262),J262,0)*Parametros!$K$4+IF(ISNUMBER(K262),K262,0)*Parametros!$K$5+IF(ISNUMBER(M262),M262,0)*Parametros!$K$6+IF(ISNUMBER(N262),N262,0)*Parametros!$K$7+IF(ISNUMBER(O262),O262,0)*Parametros!$K$8)/Parametros!$B$2))</f>
        <v/>
      </c>
      <c r="Q262" t="str">
        <f>IF(F262="","",IF(COUNTIF(J262:O262,"D")&gt;0,"Desiste",IF(IFERROR(P262,0)&gt;=Parametros!$B$1,"Aprueba","No aprueba")))</f>
        <v/>
      </c>
      <c r="T262" t="str">
        <f>IF($Q262="Aprueba",COUNTIF($Q$2:$Q262,"Aprueba"),"")</f>
        <v/>
      </c>
    </row>
    <row r="263" spans="16:20" ht="14.25" customHeight="1">
      <c r="P263" t="str">
        <f>IF(F263="","",IF(COUNTIF(J263:O263,"D")&gt;0,"",(IF(ISNUMBER(J263),J263,0)*Parametros!$K$4+IF(ISNUMBER(K263),K263,0)*Parametros!$K$5+IF(ISNUMBER(M263),M263,0)*Parametros!$K$6+IF(ISNUMBER(N263),N263,0)*Parametros!$K$7+IF(ISNUMBER(O263),O263,0)*Parametros!$K$8)/Parametros!$B$2))</f>
        <v/>
      </c>
      <c r="Q263" t="str">
        <f>IF(F263="","",IF(COUNTIF(J263:O263,"D")&gt;0,"Desiste",IF(IFERROR(P263,0)&gt;=Parametros!$B$1,"Aprueba","No aprueba")))</f>
        <v/>
      </c>
      <c r="T263" t="str">
        <f>IF($Q263="Aprueba",COUNTIF($Q$2:$Q263,"Aprueba"),"")</f>
        <v/>
      </c>
    </row>
    <row r="264" spans="16:20" ht="14.25" customHeight="1">
      <c r="P264" t="str">
        <f>IF(F264="","",IF(COUNTIF(J264:O264,"D")&gt;0,"",(IF(ISNUMBER(J264),J264,0)*Parametros!$K$4+IF(ISNUMBER(K264),K264,0)*Parametros!$K$5+IF(ISNUMBER(M264),M264,0)*Parametros!$K$6+IF(ISNUMBER(N264),N264,0)*Parametros!$K$7+IF(ISNUMBER(O264),O264,0)*Parametros!$K$8)/Parametros!$B$2))</f>
        <v/>
      </c>
      <c r="Q264" t="str">
        <f>IF(F264="","",IF(COUNTIF(J264:O264,"D")&gt;0,"Desiste",IF(IFERROR(P264,0)&gt;=Parametros!$B$1,"Aprueba","No aprueba")))</f>
        <v/>
      </c>
      <c r="T264" t="str">
        <f>IF($Q264="Aprueba",COUNTIF($Q$2:$Q264,"Aprueba"),"")</f>
        <v/>
      </c>
    </row>
    <row r="265" spans="16:20" ht="14.25" customHeight="1">
      <c r="P265" t="str">
        <f>IF(F265="","",IF(COUNTIF(J265:O265,"D")&gt;0,"",(IF(ISNUMBER(J265),J265,0)*Parametros!$K$4+IF(ISNUMBER(K265),K265,0)*Parametros!$K$5+IF(ISNUMBER(M265),M265,0)*Parametros!$K$6+IF(ISNUMBER(N265),N265,0)*Parametros!$K$7+IF(ISNUMBER(O265),O265,0)*Parametros!$K$8)/Parametros!$B$2))</f>
        <v/>
      </c>
      <c r="Q265" t="str">
        <f>IF(F265="","",IF(COUNTIF(J265:O265,"D")&gt;0,"Desiste",IF(IFERROR(P265,0)&gt;=Parametros!$B$1,"Aprueba","No aprueba")))</f>
        <v/>
      </c>
      <c r="T265" t="str">
        <f>IF($Q265="Aprueba",COUNTIF($Q$2:$Q265,"Aprueba"),"")</f>
        <v/>
      </c>
    </row>
    <row r="266" spans="16:20" ht="14.25" customHeight="1">
      <c r="P266" t="str">
        <f>IF(F266="","",IF(COUNTIF(J266:O266,"D")&gt;0,"",(IF(ISNUMBER(J266),J266,0)*Parametros!$K$4+IF(ISNUMBER(K266),K266,0)*Parametros!$K$5+IF(ISNUMBER(M266),M266,0)*Parametros!$K$6+IF(ISNUMBER(N266),N266,0)*Parametros!$K$7+IF(ISNUMBER(O266),O266,0)*Parametros!$K$8)/Parametros!$B$2))</f>
        <v/>
      </c>
      <c r="Q266" t="str">
        <f>IF(F266="","",IF(COUNTIF(J266:O266,"D")&gt;0,"Desiste",IF(IFERROR(P266,0)&gt;=Parametros!$B$1,"Aprueba","No aprueba")))</f>
        <v/>
      </c>
      <c r="T266" t="str">
        <f>IF($Q266="Aprueba",COUNTIF($Q$2:$Q266,"Aprueba"),"")</f>
        <v/>
      </c>
    </row>
    <row r="267" spans="16:20" ht="14.25" customHeight="1">
      <c r="P267" t="str">
        <f>IF(F267="","",IF(COUNTIF(J267:O267,"D")&gt;0,"",(IF(ISNUMBER(J267),J267,0)*Parametros!$K$4+IF(ISNUMBER(K267),K267,0)*Parametros!$K$5+IF(ISNUMBER(M267),M267,0)*Parametros!$K$6+IF(ISNUMBER(N267),N267,0)*Parametros!$K$7+IF(ISNUMBER(O267),O267,0)*Parametros!$K$8)/Parametros!$B$2))</f>
        <v/>
      </c>
      <c r="Q267" t="str">
        <f>IF(F267="","",IF(COUNTIF(J267:O267,"D")&gt;0,"Desiste",IF(IFERROR(P267,0)&gt;=Parametros!$B$1,"Aprueba","No aprueba")))</f>
        <v/>
      </c>
      <c r="T267" t="str">
        <f>IF($Q267="Aprueba",COUNTIF($Q$2:$Q267,"Aprueba"),"")</f>
        <v/>
      </c>
    </row>
    <row r="268" spans="16:20" ht="14.25" customHeight="1">
      <c r="P268" t="str">
        <f>IF(F268="","",IF(COUNTIF(J268:O268,"D")&gt;0,"",(IF(ISNUMBER(J268),J268,0)*Parametros!$K$4+IF(ISNUMBER(K268),K268,0)*Parametros!$K$5+IF(ISNUMBER(M268),M268,0)*Parametros!$K$6+IF(ISNUMBER(N268),N268,0)*Parametros!$K$7+IF(ISNUMBER(O268),O268,0)*Parametros!$K$8)/Parametros!$B$2))</f>
        <v/>
      </c>
      <c r="Q268" t="str">
        <f>IF(F268="","",IF(COUNTIF(J268:O268,"D")&gt;0,"Desiste",IF(IFERROR(P268,0)&gt;=Parametros!$B$1,"Aprueba","No aprueba")))</f>
        <v/>
      </c>
      <c r="T268" t="str">
        <f>IF($Q268="Aprueba",COUNTIF($Q$2:$Q268,"Aprueba"),"")</f>
        <v/>
      </c>
    </row>
    <row r="269" spans="16:20" ht="14.25" customHeight="1">
      <c r="P269" t="str">
        <f>IF(F269="","",IF(COUNTIF(J269:O269,"D")&gt;0,"",(IF(ISNUMBER(J269),J269,0)*Parametros!$K$4+IF(ISNUMBER(K269),K269,0)*Parametros!$K$5+IF(ISNUMBER(M269),M269,0)*Parametros!$K$6+IF(ISNUMBER(N269),N269,0)*Parametros!$K$7+IF(ISNUMBER(O269),O269,0)*Parametros!$K$8)/Parametros!$B$2))</f>
        <v/>
      </c>
      <c r="Q269" t="str">
        <f>IF(F269="","",IF(COUNTIF(J269:O269,"D")&gt;0,"Desiste",IF(IFERROR(P269,0)&gt;=Parametros!$B$1,"Aprueba","No aprueba")))</f>
        <v/>
      </c>
      <c r="T269" t="str">
        <f>IF($Q269="Aprueba",COUNTIF($Q$2:$Q269,"Aprueba"),"")</f>
        <v/>
      </c>
    </row>
    <row r="270" spans="16:20" ht="14.25" customHeight="1">
      <c r="P270" t="str">
        <f>IF(F270="","",IF(COUNTIF(J270:O270,"D")&gt;0,"",(IF(ISNUMBER(J270),J270,0)*Parametros!$K$4+IF(ISNUMBER(K270),K270,0)*Parametros!$K$5+IF(ISNUMBER(M270),M270,0)*Parametros!$K$6+IF(ISNUMBER(N270),N270,0)*Parametros!$K$7+IF(ISNUMBER(O270),O270,0)*Parametros!$K$8)/Parametros!$B$2))</f>
        <v/>
      </c>
      <c r="Q270" t="str">
        <f>IF(F270="","",IF(COUNTIF(J270:O270,"D")&gt;0,"Desiste",IF(IFERROR(P270,0)&gt;=Parametros!$B$1,"Aprueba","No aprueba")))</f>
        <v/>
      </c>
      <c r="T270" t="str">
        <f>IF($Q270="Aprueba",COUNTIF($Q$2:$Q270,"Aprueba"),"")</f>
        <v/>
      </c>
    </row>
    <row r="271" spans="16:20" ht="14.25" customHeight="1">
      <c r="P271" t="str">
        <f>IF(F271="","",IF(COUNTIF(J271:O271,"D")&gt;0,"",(IF(ISNUMBER(J271),J271,0)*Parametros!$K$4+IF(ISNUMBER(K271),K271,0)*Parametros!$K$5+IF(ISNUMBER(M271),M271,0)*Parametros!$K$6+IF(ISNUMBER(N271),N271,0)*Parametros!$K$7+IF(ISNUMBER(O271),O271,0)*Parametros!$K$8)/Parametros!$B$2))</f>
        <v/>
      </c>
      <c r="Q271" t="str">
        <f>IF(F271="","",IF(COUNTIF(J271:O271,"D")&gt;0,"Desiste",IF(IFERROR(P271,0)&gt;=Parametros!$B$1,"Aprueba","No aprueba")))</f>
        <v/>
      </c>
      <c r="T271" t="str">
        <f>IF($Q271="Aprueba",COUNTIF($Q$2:$Q271,"Aprueba"),"")</f>
        <v/>
      </c>
    </row>
    <row r="272" spans="16:20" ht="14.25" customHeight="1">
      <c r="P272" t="str">
        <f>IF(F272="","",IF(COUNTIF(J272:O272,"D")&gt;0,"",(IF(ISNUMBER(J272),J272,0)*Parametros!$K$4+IF(ISNUMBER(K272),K272,0)*Parametros!$K$5+IF(ISNUMBER(M272),M272,0)*Parametros!$K$6+IF(ISNUMBER(N272),N272,0)*Parametros!$K$7+IF(ISNUMBER(O272),O272,0)*Parametros!$K$8)/Parametros!$B$2))</f>
        <v/>
      </c>
      <c r="Q272" t="str">
        <f>IF(F272="","",IF(COUNTIF(J272:O272,"D")&gt;0,"Desiste",IF(IFERROR(P272,0)&gt;=Parametros!$B$1,"Aprueba","No aprueba")))</f>
        <v/>
      </c>
      <c r="T272" t="str">
        <f>IF($Q272="Aprueba",COUNTIF($Q$2:$Q272,"Aprueba"),"")</f>
        <v/>
      </c>
    </row>
    <row r="273" spans="16:20" ht="14.25" customHeight="1">
      <c r="P273" t="str">
        <f>IF(F273="","",IF(COUNTIF(J273:O273,"D")&gt;0,"",(IF(ISNUMBER(J273),J273,0)*Parametros!$K$4+IF(ISNUMBER(K273),K273,0)*Parametros!$K$5+IF(ISNUMBER(M273),M273,0)*Parametros!$K$6+IF(ISNUMBER(N273),N273,0)*Parametros!$K$7+IF(ISNUMBER(O273),O273,0)*Parametros!$K$8)/Parametros!$B$2))</f>
        <v/>
      </c>
      <c r="Q273" t="str">
        <f>IF(F273="","",IF(COUNTIF(J273:O273,"D")&gt;0,"Desiste",IF(IFERROR(P273,0)&gt;=Parametros!$B$1,"Aprueba","No aprueba")))</f>
        <v/>
      </c>
      <c r="T273" t="str">
        <f>IF($Q273="Aprueba",COUNTIF($Q$2:$Q273,"Aprueba"),"")</f>
        <v/>
      </c>
    </row>
    <row r="274" spans="16:20" ht="14.25" customHeight="1">
      <c r="P274" t="str">
        <f>IF(F274="","",IF(COUNTIF(J274:O274,"D")&gt;0,"",(IF(ISNUMBER(J274),J274,0)*Parametros!$K$4+IF(ISNUMBER(K274),K274,0)*Parametros!$K$5+IF(ISNUMBER(M274),M274,0)*Parametros!$K$6+IF(ISNUMBER(N274),N274,0)*Parametros!$K$7+IF(ISNUMBER(O274),O274,0)*Parametros!$K$8)/Parametros!$B$2))</f>
        <v/>
      </c>
      <c r="Q274" t="str">
        <f>IF(F274="","",IF(COUNTIF(J274:O274,"D")&gt;0,"Desiste",IF(IFERROR(P274,0)&gt;=Parametros!$B$1,"Aprueba","No aprueba")))</f>
        <v/>
      </c>
      <c r="T274" t="str">
        <f>IF($Q274="Aprueba",COUNTIF($Q$2:$Q274,"Aprueba"),"")</f>
        <v/>
      </c>
    </row>
    <row r="275" spans="16:20" ht="14.25" customHeight="1">
      <c r="P275" t="str">
        <f>IF(F275="","",IF(COUNTIF(J275:O275,"D")&gt;0,"",(IF(ISNUMBER(J275),J275,0)*Parametros!$K$4+IF(ISNUMBER(K275),K275,0)*Parametros!$K$5+IF(ISNUMBER(M275),M275,0)*Parametros!$K$6+IF(ISNUMBER(N275),N275,0)*Parametros!$K$7+IF(ISNUMBER(O275),O275,0)*Parametros!$K$8)/Parametros!$B$2))</f>
        <v/>
      </c>
      <c r="Q275" t="str">
        <f>IF(F275="","",IF(COUNTIF(J275:O275,"D")&gt;0,"Desiste",IF(IFERROR(P275,0)&gt;=Parametros!$B$1,"Aprueba","No aprueba")))</f>
        <v/>
      </c>
      <c r="T275" t="str">
        <f>IF($Q275="Aprueba",COUNTIF($Q$2:$Q275,"Aprueba"),"")</f>
        <v/>
      </c>
    </row>
    <row r="276" spans="16:20" ht="14.25" customHeight="1">
      <c r="P276" t="str">
        <f>IF(F276="","",IF(COUNTIF(J276:O276,"D")&gt;0,"",(IF(ISNUMBER(J276),J276,0)*Parametros!$K$4+IF(ISNUMBER(K276),K276,0)*Parametros!$K$5+IF(ISNUMBER(M276),M276,0)*Parametros!$K$6+IF(ISNUMBER(N276),N276,0)*Parametros!$K$7+IF(ISNUMBER(O276),O276,0)*Parametros!$K$8)/Parametros!$B$2))</f>
        <v/>
      </c>
      <c r="Q276" t="str">
        <f>IF(F276="","",IF(COUNTIF(J276:O276,"D")&gt;0,"Desiste",IF(IFERROR(P276,0)&gt;=Parametros!$B$1,"Aprueba","No aprueba")))</f>
        <v/>
      </c>
      <c r="T276" t="str">
        <f>IF($Q276="Aprueba",COUNTIF($Q$2:$Q276,"Aprueba"),"")</f>
        <v/>
      </c>
    </row>
    <row r="277" spans="16:20" ht="14.25" customHeight="1">
      <c r="P277" t="str">
        <f>IF(F277="","",IF(COUNTIF(J277:O277,"D")&gt;0,"",(IF(ISNUMBER(J277),J277,0)*Parametros!$K$4+IF(ISNUMBER(K277),K277,0)*Parametros!$K$5+IF(ISNUMBER(M277),M277,0)*Parametros!$K$6+IF(ISNUMBER(N277),N277,0)*Parametros!$K$7+IF(ISNUMBER(O277),O277,0)*Parametros!$K$8)/Parametros!$B$2))</f>
        <v/>
      </c>
      <c r="Q277" t="str">
        <f>IF(F277="","",IF(COUNTIF(J277:O277,"D")&gt;0,"Desiste",IF(IFERROR(P277,0)&gt;=Parametros!$B$1,"Aprueba","No aprueba")))</f>
        <v/>
      </c>
      <c r="T277" t="str">
        <f>IF($Q277="Aprueba",COUNTIF($Q$2:$Q277,"Aprueba"),"")</f>
        <v/>
      </c>
    </row>
    <row r="278" spans="16:20" ht="14.25" customHeight="1">
      <c r="P278" t="str">
        <f>IF(F278="","",IF(COUNTIF(J278:O278,"D")&gt;0,"",(IF(ISNUMBER(J278),J278,0)*Parametros!$K$4+IF(ISNUMBER(K278),K278,0)*Parametros!$K$5+IF(ISNUMBER(M278),M278,0)*Parametros!$K$6+IF(ISNUMBER(N278),N278,0)*Parametros!$K$7+IF(ISNUMBER(O278),O278,0)*Parametros!$K$8)/Parametros!$B$2))</f>
        <v/>
      </c>
      <c r="Q278" t="str">
        <f>IF(F278="","",IF(COUNTIF(J278:O278,"D")&gt;0,"Desiste",IF(IFERROR(P278,0)&gt;=Parametros!$B$1,"Aprueba","No aprueba")))</f>
        <v/>
      </c>
      <c r="T278" t="str">
        <f>IF($Q278="Aprueba",COUNTIF($Q$2:$Q278,"Aprueba"),"")</f>
        <v/>
      </c>
    </row>
    <row r="279" spans="16:20" ht="14.25" customHeight="1">
      <c r="P279" t="str">
        <f>IF(F279="","",IF(COUNTIF(J279:O279,"D")&gt;0,"",(IF(ISNUMBER(J279),J279,0)*Parametros!$K$4+IF(ISNUMBER(K279),K279,0)*Parametros!$K$5+IF(ISNUMBER(M279),M279,0)*Parametros!$K$6+IF(ISNUMBER(N279),N279,0)*Parametros!$K$7+IF(ISNUMBER(O279),O279,0)*Parametros!$K$8)/Parametros!$B$2))</f>
        <v/>
      </c>
      <c r="Q279" t="str">
        <f>IF(F279="","",IF(COUNTIF(J279:O279,"D")&gt;0,"Desiste",IF(IFERROR(P279,0)&gt;=Parametros!$B$1,"Aprueba","No aprueba")))</f>
        <v/>
      </c>
      <c r="T279" t="str">
        <f>IF($Q279="Aprueba",COUNTIF($Q$2:$Q279,"Aprueba"),"")</f>
        <v/>
      </c>
    </row>
    <row r="280" spans="16:20" ht="14.25" customHeight="1">
      <c r="P280" t="str">
        <f>IF(F280="","",IF(COUNTIF(J280:O280,"D")&gt;0,"",(IF(ISNUMBER(J280),J280,0)*Parametros!$K$4+IF(ISNUMBER(K280),K280,0)*Parametros!$K$5+IF(ISNUMBER(M280),M280,0)*Parametros!$K$6+IF(ISNUMBER(N280),N280,0)*Parametros!$K$7+IF(ISNUMBER(O280),O280,0)*Parametros!$K$8)/Parametros!$B$2))</f>
        <v/>
      </c>
      <c r="Q280" t="str">
        <f>IF(F280="","",IF(COUNTIF(J280:O280,"D")&gt;0,"Desiste",IF(IFERROR(P280,0)&gt;=Parametros!$B$1,"Aprueba","No aprueba")))</f>
        <v/>
      </c>
      <c r="T280" t="str">
        <f>IF($Q280="Aprueba",COUNTIF($Q$2:$Q280,"Aprueba"),"")</f>
        <v/>
      </c>
    </row>
    <row r="281" spans="16:20" ht="14.25" customHeight="1">
      <c r="P281" t="str">
        <f>IF(F281="","",IF(COUNTIF(J281:O281,"D")&gt;0,"",(IF(ISNUMBER(J281),J281,0)*Parametros!$K$4+IF(ISNUMBER(K281),K281,0)*Parametros!$K$5+IF(ISNUMBER(M281),M281,0)*Parametros!$K$6+IF(ISNUMBER(N281),N281,0)*Parametros!$K$7+IF(ISNUMBER(O281),O281,0)*Parametros!$K$8)/Parametros!$B$2))</f>
        <v/>
      </c>
      <c r="Q281" t="str">
        <f>IF(F281="","",IF(COUNTIF(J281:O281,"D")&gt;0,"Desiste",IF(IFERROR(P281,0)&gt;=Parametros!$B$1,"Aprueba","No aprueba")))</f>
        <v/>
      </c>
      <c r="T281" t="str">
        <f>IF($Q281="Aprueba",COUNTIF($Q$2:$Q281,"Aprueba"),"")</f>
        <v/>
      </c>
    </row>
    <row r="282" spans="16:20" ht="14.25" customHeight="1">
      <c r="P282" t="str">
        <f>IF(F282="","",IF(COUNTIF(J282:O282,"D")&gt;0,"",(IF(ISNUMBER(J282),J282,0)*Parametros!$K$4+IF(ISNUMBER(K282),K282,0)*Parametros!$K$5+IF(ISNUMBER(M282),M282,0)*Parametros!$K$6+IF(ISNUMBER(N282),N282,0)*Parametros!$K$7+IF(ISNUMBER(O282),O282,0)*Parametros!$K$8)/Parametros!$B$2))</f>
        <v/>
      </c>
      <c r="Q282" t="str">
        <f>IF(F282="","",IF(COUNTIF(J282:O282,"D")&gt;0,"Desiste",IF(IFERROR(P282,0)&gt;=Parametros!$B$1,"Aprueba","No aprueba")))</f>
        <v/>
      </c>
      <c r="T282" t="str">
        <f>IF($Q282="Aprueba",COUNTIF($Q$2:$Q282,"Aprueba"),"")</f>
        <v/>
      </c>
    </row>
    <row r="283" spans="16:20" ht="14.25" customHeight="1">
      <c r="P283" t="str">
        <f>IF(F283="","",IF(COUNTIF(J283:O283,"D")&gt;0,"",(IF(ISNUMBER(J283),J283,0)*Parametros!$K$4+IF(ISNUMBER(K283),K283,0)*Parametros!$K$5+IF(ISNUMBER(M283),M283,0)*Parametros!$K$6+IF(ISNUMBER(N283),N283,0)*Parametros!$K$7+IF(ISNUMBER(O283),O283,0)*Parametros!$K$8)/Parametros!$B$2))</f>
        <v/>
      </c>
      <c r="Q283" t="str">
        <f>IF(F283="","",IF(COUNTIF(J283:O283,"D")&gt;0,"Desiste",IF(IFERROR(P283,0)&gt;=Parametros!$B$1,"Aprueba","No aprueba")))</f>
        <v/>
      </c>
      <c r="T283" t="str">
        <f>IF($Q283="Aprueba",COUNTIF($Q$2:$Q283,"Aprueba"),"")</f>
        <v/>
      </c>
    </row>
    <row r="284" spans="16:20" ht="14.25" customHeight="1">
      <c r="P284" t="str">
        <f>IF(F284="","",IF(COUNTIF(J284:O284,"D")&gt;0,"",(IF(ISNUMBER(J284),J284,0)*Parametros!$K$4+IF(ISNUMBER(K284),K284,0)*Parametros!$K$5+IF(ISNUMBER(M284),M284,0)*Parametros!$K$6+IF(ISNUMBER(N284),N284,0)*Parametros!$K$7+IF(ISNUMBER(O284),O284,0)*Parametros!$K$8)/Parametros!$B$2))</f>
        <v/>
      </c>
      <c r="Q284" t="str">
        <f>IF(F284="","",IF(COUNTIF(J284:O284,"D")&gt;0,"Desiste",IF(IFERROR(P284,0)&gt;=Parametros!$B$1,"Aprueba","No aprueba")))</f>
        <v/>
      </c>
      <c r="T284" t="str">
        <f>IF($Q284="Aprueba",COUNTIF($Q$2:$Q284,"Aprueba"),"")</f>
        <v/>
      </c>
    </row>
    <row r="285" spans="16:20" ht="14.25" customHeight="1">
      <c r="P285" t="str">
        <f>IF(F285="","",IF(COUNTIF(J285:O285,"D")&gt;0,"",(IF(ISNUMBER(J285),J285,0)*Parametros!$K$4+IF(ISNUMBER(K285),K285,0)*Parametros!$K$5+IF(ISNUMBER(M285),M285,0)*Parametros!$K$6+IF(ISNUMBER(N285),N285,0)*Parametros!$K$7+IF(ISNUMBER(O285),O285,0)*Parametros!$K$8)/Parametros!$B$2))</f>
        <v/>
      </c>
      <c r="Q285" t="str">
        <f>IF(F285="","",IF(COUNTIF(J285:O285,"D")&gt;0,"Desiste",IF(IFERROR(P285,0)&gt;=Parametros!$B$1,"Aprueba","No aprueba")))</f>
        <v/>
      </c>
      <c r="T285" t="str">
        <f>IF($Q285="Aprueba",COUNTIF($Q$2:$Q285,"Aprueba"),"")</f>
        <v/>
      </c>
    </row>
    <row r="286" spans="16:20" ht="14.25" customHeight="1">
      <c r="P286" t="str">
        <f>IF(F286="","",IF(COUNTIF(J286:O286,"D")&gt;0,"",(IF(ISNUMBER(J286),J286,0)*Parametros!$K$4+IF(ISNUMBER(K286),K286,0)*Parametros!$K$5+IF(ISNUMBER(M286),M286,0)*Parametros!$K$6+IF(ISNUMBER(N286),N286,0)*Parametros!$K$7+IF(ISNUMBER(O286),O286,0)*Parametros!$K$8)/Parametros!$B$2))</f>
        <v/>
      </c>
      <c r="Q286" t="str">
        <f>IF(F286="","",IF(COUNTIF(J286:O286,"D")&gt;0,"Desiste",IF(IFERROR(P286,0)&gt;=Parametros!$B$1,"Aprueba","No aprueba")))</f>
        <v/>
      </c>
      <c r="T286" t="str">
        <f>IF($Q286="Aprueba",COUNTIF($Q$2:$Q286,"Aprueba"),"")</f>
        <v/>
      </c>
    </row>
    <row r="287" spans="16:20" ht="14.25" customHeight="1">
      <c r="P287" t="str">
        <f>IF(F287="","",IF(COUNTIF(J287:O287,"D")&gt;0,"",(IF(ISNUMBER(J287),J287,0)*Parametros!$K$4+IF(ISNUMBER(K287),K287,0)*Parametros!$K$5+IF(ISNUMBER(M287),M287,0)*Parametros!$K$6+IF(ISNUMBER(N287),N287,0)*Parametros!$K$7+IF(ISNUMBER(O287),O287,0)*Parametros!$K$8)/Parametros!$B$2))</f>
        <v/>
      </c>
      <c r="Q287" t="str">
        <f>IF(F287="","",IF(COUNTIF(J287:O287,"D")&gt;0,"Desiste",IF(IFERROR(P287,0)&gt;=Parametros!$B$1,"Aprueba","No aprueba")))</f>
        <v/>
      </c>
      <c r="T287" t="str">
        <f>IF($Q287="Aprueba",COUNTIF($Q$2:$Q287,"Aprueba"),"")</f>
        <v/>
      </c>
    </row>
    <row r="288" spans="16:20" ht="14.25" customHeight="1">
      <c r="P288" t="str">
        <f>IF(F288="","",IF(COUNTIF(J288:O288,"D")&gt;0,"",(IF(ISNUMBER(J288),J288,0)*Parametros!$K$4+IF(ISNUMBER(K288),K288,0)*Parametros!$K$5+IF(ISNUMBER(M288),M288,0)*Parametros!$K$6+IF(ISNUMBER(N288),N288,0)*Parametros!$K$7+IF(ISNUMBER(O288),O288,0)*Parametros!$K$8)/Parametros!$B$2))</f>
        <v/>
      </c>
      <c r="Q288" t="str">
        <f>IF(F288="","",IF(COUNTIF(J288:O288,"D")&gt;0,"Desiste",IF(IFERROR(P288,0)&gt;=Parametros!$B$1,"Aprueba","No aprueba")))</f>
        <v/>
      </c>
      <c r="T288" t="str">
        <f>IF($Q288="Aprueba",COUNTIF($Q$2:$Q288,"Aprueba"),"")</f>
        <v/>
      </c>
    </row>
    <row r="289" spans="16:20" ht="14.25" customHeight="1">
      <c r="P289" t="str">
        <f>IF(F289="","",IF(COUNTIF(J289:O289,"D")&gt;0,"",(IF(ISNUMBER(J289),J289,0)*Parametros!$K$4+IF(ISNUMBER(K289),K289,0)*Parametros!$K$5+IF(ISNUMBER(M289),M289,0)*Parametros!$K$6+IF(ISNUMBER(N289),N289,0)*Parametros!$K$7+IF(ISNUMBER(O289),O289,0)*Parametros!$K$8)/Parametros!$B$2))</f>
        <v/>
      </c>
      <c r="Q289" t="str">
        <f>IF(F289="","",IF(COUNTIF(J289:O289,"D")&gt;0,"Desiste",IF(IFERROR(P289,0)&gt;=Parametros!$B$1,"Aprueba","No aprueba")))</f>
        <v/>
      </c>
      <c r="T289" t="str">
        <f>IF($Q289="Aprueba",COUNTIF($Q$2:$Q289,"Aprueba"),"")</f>
        <v/>
      </c>
    </row>
    <row r="290" spans="16:20" ht="14.25" customHeight="1">
      <c r="P290" t="str">
        <f>IF(F290="","",IF(COUNTIF(J290:O290,"D")&gt;0,"",(IF(ISNUMBER(J290),J290,0)*Parametros!$K$4+IF(ISNUMBER(K290),K290,0)*Parametros!$K$5+IF(ISNUMBER(M290),M290,0)*Parametros!$K$6+IF(ISNUMBER(N290),N290,0)*Parametros!$K$7+IF(ISNUMBER(O290),O290,0)*Parametros!$K$8)/Parametros!$B$2))</f>
        <v/>
      </c>
      <c r="Q290" t="str">
        <f>IF(F290="","",IF(COUNTIF(J290:O290,"D")&gt;0,"Desiste",IF(IFERROR(P290,0)&gt;=Parametros!$B$1,"Aprueba","No aprueba")))</f>
        <v/>
      </c>
      <c r="T290" t="str">
        <f>IF($Q290="Aprueba",COUNTIF($Q$2:$Q290,"Aprueba"),"")</f>
        <v/>
      </c>
    </row>
    <row r="291" spans="16:20" ht="14.25" customHeight="1">
      <c r="P291" t="str">
        <f>IF(F291="","",IF(COUNTIF(J291:O291,"D")&gt;0,"",(IF(ISNUMBER(J291),J291,0)*Parametros!$K$4+IF(ISNUMBER(K291),K291,0)*Parametros!$K$5+IF(ISNUMBER(M291),M291,0)*Parametros!$K$6+IF(ISNUMBER(N291),N291,0)*Parametros!$K$7+IF(ISNUMBER(O291),O291,0)*Parametros!$K$8)/Parametros!$B$2))</f>
        <v/>
      </c>
      <c r="Q291" t="str">
        <f>IF(F291="","",IF(COUNTIF(J291:O291,"D")&gt;0,"Desiste",IF(IFERROR(P291,0)&gt;=Parametros!$B$1,"Aprueba","No aprueba")))</f>
        <v/>
      </c>
      <c r="T291" t="str">
        <f>IF($Q291="Aprueba",COUNTIF($Q$2:$Q291,"Aprueba"),"")</f>
        <v/>
      </c>
    </row>
    <row r="292" spans="16:20" ht="14.25" customHeight="1">
      <c r="P292" t="str">
        <f>IF(F292="","",IF(COUNTIF(J292:O292,"D")&gt;0,"",(IF(ISNUMBER(J292),J292,0)*Parametros!$K$4+IF(ISNUMBER(K292),K292,0)*Parametros!$K$5+IF(ISNUMBER(M292),M292,0)*Parametros!$K$6+IF(ISNUMBER(N292),N292,0)*Parametros!$K$7+IF(ISNUMBER(O292),O292,0)*Parametros!$K$8)/Parametros!$B$2))</f>
        <v/>
      </c>
      <c r="Q292" t="str">
        <f>IF(F292="","",IF(COUNTIF(J292:O292,"D")&gt;0,"Desiste",IF(IFERROR(P292,0)&gt;=Parametros!$B$1,"Aprueba","No aprueba")))</f>
        <v/>
      </c>
      <c r="T292" t="str">
        <f>IF($Q292="Aprueba",COUNTIF($Q$2:$Q292,"Aprueba"),"")</f>
        <v/>
      </c>
    </row>
    <row r="293" spans="16:20" ht="14.25" customHeight="1">
      <c r="P293" t="str">
        <f>IF(F293="","",IF(COUNTIF(J293:O293,"D")&gt;0,"",(IF(ISNUMBER(J293),J293,0)*Parametros!$K$4+IF(ISNUMBER(K293),K293,0)*Parametros!$K$5+IF(ISNUMBER(M293),M293,0)*Parametros!$K$6+IF(ISNUMBER(N293),N293,0)*Parametros!$K$7+IF(ISNUMBER(O293),O293,0)*Parametros!$K$8)/Parametros!$B$2))</f>
        <v/>
      </c>
      <c r="Q293" t="str">
        <f>IF(F293="","",IF(COUNTIF(J293:O293,"D")&gt;0,"Desiste",IF(IFERROR(P293,0)&gt;=Parametros!$B$1,"Aprueba","No aprueba")))</f>
        <v/>
      </c>
      <c r="T293" t="str">
        <f>IF($Q293="Aprueba",COUNTIF($Q$2:$Q293,"Aprueba"),"")</f>
        <v/>
      </c>
    </row>
    <row r="294" spans="16:20" ht="14.25" customHeight="1">
      <c r="P294" t="str">
        <f>IF(F294="","",IF(COUNTIF(J294:O294,"D")&gt;0,"",(IF(ISNUMBER(J294),J294,0)*Parametros!$K$4+IF(ISNUMBER(K294),K294,0)*Parametros!$K$5+IF(ISNUMBER(M294),M294,0)*Parametros!$K$6+IF(ISNUMBER(N294),N294,0)*Parametros!$K$7+IF(ISNUMBER(O294),O294,0)*Parametros!$K$8)/Parametros!$B$2))</f>
        <v/>
      </c>
      <c r="Q294" t="str">
        <f>IF(F294="","",IF(COUNTIF(J294:O294,"D")&gt;0,"Desiste",IF(IFERROR(P294,0)&gt;=Parametros!$B$1,"Aprueba","No aprueba")))</f>
        <v/>
      </c>
      <c r="T294" t="str">
        <f>IF($Q294="Aprueba",COUNTIF($Q$2:$Q294,"Aprueba"),"")</f>
        <v/>
      </c>
    </row>
    <row r="295" spans="16:20" ht="14.25" customHeight="1">
      <c r="P295" t="str">
        <f>IF(F295="","",IF(COUNTIF(J295:O295,"D")&gt;0,"",(IF(ISNUMBER(J295),J295,0)*Parametros!$K$4+IF(ISNUMBER(K295),K295,0)*Parametros!$K$5+IF(ISNUMBER(M295),M295,0)*Parametros!$K$6+IF(ISNUMBER(N295),N295,0)*Parametros!$K$7+IF(ISNUMBER(O295),O295,0)*Parametros!$K$8)/Parametros!$B$2))</f>
        <v/>
      </c>
      <c r="Q295" t="str">
        <f>IF(F295="","",IF(COUNTIF(J295:O295,"D")&gt;0,"Desiste",IF(IFERROR(P295,0)&gt;=Parametros!$B$1,"Aprueba","No aprueba")))</f>
        <v/>
      </c>
      <c r="T295" t="str">
        <f>IF($Q295="Aprueba",COUNTIF($Q$2:$Q295,"Aprueba"),"")</f>
        <v/>
      </c>
    </row>
    <row r="296" spans="16:20" ht="14.25" customHeight="1">
      <c r="P296" t="str">
        <f>IF(F296="","",IF(COUNTIF(J296:O296,"D")&gt;0,"",(IF(ISNUMBER(J296),J296,0)*Parametros!$K$4+IF(ISNUMBER(K296),K296,0)*Parametros!$K$5+IF(ISNUMBER(M296),M296,0)*Parametros!$K$6+IF(ISNUMBER(N296),N296,0)*Parametros!$K$7+IF(ISNUMBER(O296),O296,0)*Parametros!$K$8)/Parametros!$B$2))</f>
        <v/>
      </c>
      <c r="Q296" t="str">
        <f>IF(F296="","",IF(COUNTIF(J296:O296,"D")&gt;0,"Desiste",IF(IFERROR(P296,0)&gt;=Parametros!$B$1,"Aprueba","No aprueba")))</f>
        <v/>
      </c>
      <c r="T296" t="str">
        <f>IF($Q296="Aprueba",COUNTIF($Q$2:$Q296,"Aprueba"),"")</f>
        <v/>
      </c>
    </row>
    <row r="297" spans="16:20" ht="14.25" customHeight="1">
      <c r="P297" t="str">
        <f>IF(F297="","",IF(COUNTIF(J297:O297,"D")&gt;0,"",(IF(ISNUMBER(J297),J297,0)*Parametros!$K$4+IF(ISNUMBER(K297),K297,0)*Parametros!$K$5+IF(ISNUMBER(M297),M297,0)*Parametros!$K$6+IF(ISNUMBER(N297),N297,0)*Parametros!$K$7+IF(ISNUMBER(O297),O297,0)*Parametros!$K$8)/Parametros!$B$2))</f>
        <v/>
      </c>
      <c r="Q297" t="str">
        <f>IF(F297="","",IF(COUNTIF(J297:O297,"D")&gt;0,"Desiste",IF(IFERROR(P297,0)&gt;=Parametros!$B$1,"Aprueba","No aprueba")))</f>
        <v/>
      </c>
      <c r="T297" t="str">
        <f>IF($Q297="Aprueba",COUNTIF($Q$2:$Q297,"Aprueba"),"")</f>
        <v/>
      </c>
    </row>
    <row r="298" spans="16:20" ht="14.25" customHeight="1">
      <c r="P298" t="str">
        <f>IF(F298="","",IF(COUNTIF(J298:O298,"D")&gt;0,"",(IF(ISNUMBER(J298),J298,0)*Parametros!$K$4+IF(ISNUMBER(K298),K298,0)*Parametros!$K$5+IF(ISNUMBER(M298),M298,0)*Parametros!$K$6+IF(ISNUMBER(N298),N298,0)*Parametros!$K$7+IF(ISNUMBER(O298),O298,0)*Parametros!$K$8)/Parametros!$B$2))</f>
        <v/>
      </c>
      <c r="Q298" t="str">
        <f>IF(F298="","",IF(COUNTIF(J298:O298,"D")&gt;0,"Desiste",IF(IFERROR(P298,0)&gt;=Parametros!$B$1,"Aprueba","No aprueba")))</f>
        <v/>
      </c>
      <c r="T298" t="str">
        <f>IF($Q298="Aprueba",COUNTIF($Q$2:$Q298,"Aprueba"),"")</f>
        <v/>
      </c>
    </row>
    <row r="299" spans="16:20" ht="14.25" customHeight="1">
      <c r="P299" t="str">
        <f>IF(F299="","",IF(COUNTIF(J299:O299,"D")&gt;0,"",(IF(ISNUMBER(J299),J299,0)*Parametros!$K$4+IF(ISNUMBER(K299),K299,0)*Parametros!$K$5+IF(ISNUMBER(M299),M299,0)*Parametros!$K$6+IF(ISNUMBER(N299),N299,0)*Parametros!$K$7+IF(ISNUMBER(O299),O299,0)*Parametros!$K$8)/Parametros!$B$2))</f>
        <v/>
      </c>
      <c r="Q299" t="str">
        <f>IF(F299="","",IF(COUNTIF(J299:O299,"D")&gt;0,"Desiste",IF(IFERROR(P299,0)&gt;=Parametros!$B$1,"Aprueba","No aprueba")))</f>
        <v/>
      </c>
      <c r="T299" t="str">
        <f>IF($Q299="Aprueba",COUNTIF($Q$2:$Q299,"Aprueba"),"")</f>
        <v/>
      </c>
    </row>
    <row r="300" spans="16:20" ht="14.25" customHeight="1">
      <c r="P300" t="str">
        <f>IF(F300="","",IF(COUNTIF(J300:O300,"D")&gt;0,"",(IF(ISNUMBER(J300),J300,0)*Parametros!$K$4+IF(ISNUMBER(K300),K300,0)*Parametros!$K$5+IF(ISNUMBER(M300),M300,0)*Parametros!$K$6+IF(ISNUMBER(N300),N300,0)*Parametros!$K$7+IF(ISNUMBER(O300),O300,0)*Parametros!$K$8)/Parametros!$B$2))</f>
        <v/>
      </c>
      <c r="Q300" t="str">
        <f>IF(F300="","",IF(COUNTIF(J300:O300,"D")&gt;0,"Desiste",IF(IFERROR(P300,0)&gt;=Parametros!$B$1,"Aprueba","No aprueba")))</f>
        <v/>
      </c>
      <c r="T300" t="str">
        <f>IF($Q300="Aprueba",COUNTIF($Q$2:$Q300,"Aprueba"),"")</f>
        <v/>
      </c>
    </row>
    <row r="301" spans="16:20" ht="14.25" customHeight="1">
      <c r="P301" t="str">
        <f>IF(F301="","",IF(COUNTIF(J301:O301,"D")&gt;0,"",(IF(ISNUMBER(J301),J301,0)*Parametros!$K$4+IF(ISNUMBER(K301),K301,0)*Parametros!$K$5+IF(ISNUMBER(M301),M301,0)*Parametros!$K$6+IF(ISNUMBER(N301),N301,0)*Parametros!$K$7+IF(ISNUMBER(O301),O301,0)*Parametros!$K$8)/Parametros!$B$2))</f>
        <v/>
      </c>
      <c r="Q301" t="str">
        <f>IF(F301="","",IF(COUNTIF(J301:O301,"D")&gt;0,"Desiste",IF(IFERROR(P301,0)&gt;=Parametros!$B$1,"Aprueba","No aprueba")))</f>
        <v/>
      </c>
      <c r="T301" t="str">
        <f>IF($Q301="Aprueba",COUNTIF($Q$2:$Q301,"Aprueba"),"")</f>
        <v/>
      </c>
    </row>
    <row r="302" spans="16:20" ht="14.25" customHeight="1">
      <c r="P302" t="str">
        <f>IF(F302="","",IF(COUNTIF(J302:O302,"D")&gt;0,"",(IF(ISNUMBER(J302),J302,0)*Parametros!$K$4+IF(ISNUMBER(K302),K302,0)*Parametros!$K$5+IF(ISNUMBER(M302),M302,0)*Parametros!$K$6+IF(ISNUMBER(N302),N302,0)*Parametros!$K$7+IF(ISNUMBER(O302),O302,0)*Parametros!$K$8)/Parametros!$B$2))</f>
        <v/>
      </c>
      <c r="Q302" t="str">
        <f>IF(F302="","",IF(COUNTIF(J302:O302,"D")&gt;0,"Desiste",IF(IFERROR(P302,0)&gt;=Parametros!$B$1,"Aprueba","No aprueba")))</f>
        <v/>
      </c>
      <c r="T302" t="str">
        <f>IF($Q302="Aprueba",COUNTIF($Q$2:$Q302,"Aprueba"),"")</f>
        <v/>
      </c>
    </row>
    <row r="303" spans="16:20" ht="14.25" customHeight="1">
      <c r="P303" t="str">
        <f>IF(F303="","",IF(COUNTIF(J303:O303,"D")&gt;0,"",(IF(ISNUMBER(J303),J303,0)*Parametros!$K$4+IF(ISNUMBER(K303),K303,0)*Parametros!$K$5+IF(ISNUMBER(M303),M303,0)*Parametros!$K$6+IF(ISNUMBER(N303),N303,0)*Parametros!$K$7+IF(ISNUMBER(O303),O303,0)*Parametros!$K$8)/Parametros!$B$2))</f>
        <v/>
      </c>
      <c r="Q303" t="str">
        <f>IF(F303="","",IF(COUNTIF(J303:O303,"D")&gt;0,"Desiste",IF(IFERROR(P303,0)&gt;=Parametros!$B$1,"Aprueba","No aprueba")))</f>
        <v/>
      </c>
      <c r="T303" t="str">
        <f>IF($Q303="Aprueba",COUNTIF($Q$2:$Q303,"Aprueba"),"")</f>
        <v/>
      </c>
    </row>
    <row r="304" spans="16:20" ht="14.25" customHeight="1">
      <c r="P304" t="str">
        <f>IF(F304="","",IF(COUNTIF(J304:O304,"D")&gt;0,"",(IF(ISNUMBER(J304),J304,0)*Parametros!$K$4+IF(ISNUMBER(K304),K304,0)*Parametros!$K$5+IF(ISNUMBER(M304),M304,0)*Parametros!$K$6+IF(ISNUMBER(N304),N304,0)*Parametros!$K$7+IF(ISNUMBER(O304),O304,0)*Parametros!$K$8)/Parametros!$B$2))</f>
        <v/>
      </c>
      <c r="Q304" t="str">
        <f>IF(F304="","",IF(COUNTIF(J304:O304,"D")&gt;0,"Desiste",IF(IFERROR(P304,0)&gt;=Parametros!$B$1,"Aprueba","No aprueba")))</f>
        <v/>
      </c>
      <c r="T304" t="str">
        <f>IF($Q304="Aprueba",COUNTIF($Q$2:$Q304,"Aprueba"),"")</f>
        <v/>
      </c>
    </row>
    <row r="305" spans="16:20" ht="14.25" customHeight="1">
      <c r="P305" t="str">
        <f>IF(F305="","",IF(COUNTIF(J305:O305,"D")&gt;0,"",(IF(ISNUMBER(J305),J305,0)*Parametros!$K$4+IF(ISNUMBER(K305),K305,0)*Parametros!$K$5+IF(ISNUMBER(M305),M305,0)*Parametros!$K$6+IF(ISNUMBER(N305),N305,0)*Parametros!$K$7+IF(ISNUMBER(O305),O305,0)*Parametros!$K$8)/Parametros!$B$2))</f>
        <v/>
      </c>
      <c r="Q305" t="str">
        <f>IF(F305="","",IF(COUNTIF(J305:O305,"D")&gt;0,"Desiste",IF(IFERROR(P305,0)&gt;=Parametros!$B$1,"Aprueba","No aprueba")))</f>
        <v/>
      </c>
      <c r="T305" t="str">
        <f>IF($Q305="Aprueba",COUNTIF($Q$2:$Q305,"Aprueba"),"")</f>
        <v/>
      </c>
    </row>
    <row r="306" spans="16:20" ht="14.25" customHeight="1">
      <c r="P306" t="str">
        <f>IF(F306="","",IF(COUNTIF(J306:O306,"D")&gt;0,"",(IF(ISNUMBER(J306),J306,0)*Parametros!$K$4+IF(ISNUMBER(K306),K306,0)*Parametros!$K$5+IF(ISNUMBER(M306),M306,0)*Parametros!$K$6+IF(ISNUMBER(N306),N306,0)*Parametros!$K$7+IF(ISNUMBER(O306),O306,0)*Parametros!$K$8)/Parametros!$B$2))</f>
        <v/>
      </c>
      <c r="Q306" t="str">
        <f>IF(F306="","",IF(COUNTIF(J306:O306,"D")&gt;0,"Desiste",IF(IFERROR(P306,0)&gt;=Parametros!$B$1,"Aprueba","No aprueba")))</f>
        <v/>
      </c>
      <c r="T306" t="str">
        <f>IF($Q306="Aprueba",COUNTIF($Q$2:$Q306,"Aprueba"),"")</f>
        <v/>
      </c>
    </row>
    <row r="307" spans="16:20" ht="14.25" customHeight="1">
      <c r="P307" t="str">
        <f>IF(F307="","",IF(COUNTIF(J307:O307,"D")&gt;0,"",(IF(ISNUMBER(J307),J307,0)*Parametros!$K$4+IF(ISNUMBER(K307),K307,0)*Parametros!$K$5+IF(ISNUMBER(M307),M307,0)*Parametros!$K$6+IF(ISNUMBER(N307),N307,0)*Parametros!$K$7+IF(ISNUMBER(O307),O307,0)*Parametros!$K$8)/Parametros!$B$2))</f>
        <v/>
      </c>
      <c r="Q307" t="str">
        <f>IF(F307="","",IF(COUNTIF(J307:O307,"D")&gt;0,"Desiste",IF(IFERROR(P307,0)&gt;=Parametros!$B$1,"Aprueba","No aprueba")))</f>
        <v/>
      </c>
      <c r="T307" t="str">
        <f>IF($Q307="Aprueba",COUNTIF($Q$2:$Q307,"Aprueba"),"")</f>
        <v/>
      </c>
    </row>
    <row r="308" spans="16:20" ht="14.25" customHeight="1">
      <c r="P308" t="str">
        <f>IF(F308="","",IF(COUNTIF(J308:O308,"D")&gt;0,"",(IF(ISNUMBER(J308),J308,0)*Parametros!$K$4+IF(ISNUMBER(K308),K308,0)*Parametros!$K$5+IF(ISNUMBER(M308),M308,0)*Parametros!$K$6+IF(ISNUMBER(N308),N308,0)*Parametros!$K$7+IF(ISNUMBER(O308),O308,0)*Parametros!$K$8)/Parametros!$B$2))</f>
        <v/>
      </c>
      <c r="Q308" t="str">
        <f>IF(F308="","",IF(COUNTIF(J308:O308,"D")&gt;0,"Desiste",IF(IFERROR(P308,0)&gt;=Parametros!$B$1,"Aprueba","No aprueba")))</f>
        <v/>
      </c>
      <c r="T308" t="str">
        <f>IF($Q308="Aprueba",COUNTIF($Q$2:$Q308,"Aprueba"),"")</f>
        <v/>
      </c>
    </row>
    <row r="309" spans="16:20" ht="14.25" customHeight="1">
      <c r="P309" t="str">
        <f>IF(F309="","",IF(COUNTIF(J309:O309,"D")&gt;0,"",(IF(ISNUMBER(J309),J309,0)*Parametros!$K$4+IF(ISNUMBER(K309),K309,0)*Parametros!$K$5+IF(ISNUMBER(M309),M309,0)*Parametros!$K$6+IF(ISNUMBER(N309),N309,0)*Parametros!$K$7+IF(ISNUMBER(O309),O309,0)*Parametros!$K$8)/Parametros!$B$2))</f>
        <v/>
      </c>
      <c r="Q309" t="str">
        <f>IF(F309="","",IF(COUNTIF(J309:O309,"D")&gt;0,"Desiste",IF(IFERROR(P309,0)&gt;=Parametros!$B$1,"Aprueba","No aprueba")))</f>
        <v/>
      </c>
      <c r="T309" t="str">
        <f>IF($Q309="Aprueba",COUNTIF($Q$2:$Q309,"Aprueba"),"")</f>
        <v/>
      </c>
    </row>
    <row r="310" spans="16:20" ht="14.25" customHeight="1">
      <c r="P310" t="str">
        <f>IF(F310="","",IF(COUNTIF(J310:O310,"D")&gt;0,"",(IF(ISNUMBER(J310),J310,0)*Parametros!$K$4+IF(ISNUMBER(K310),K310,0)*Parametros!$K$5+IF(ISNUMBER(M310),M310,0)*Parametros!$K$6+IF(ISNUMBER(N310),N310,0)*Parametros!$K$7+IF(ISNUMBER(O310),O310,0)*Parametros!$K$8)/Parametros!$B$2))</f>
        <v/>
      </c>
      <c r="Q310" t="str">
        <f>IF(F310="","",IF(COUNTIF(J310:O310,"D")&gt;0,"Desiste",IF(IFERROR(P310,0)&gt;=Parametros!$B$1,"Aprueba","No aprueba")))</f>
        <v/>
      </c>
      <c r="T310" t="str">
        <f>IF($Q310="Aprueba",COUNTIF($Q$2:$Q310,"Aprueba"),"")</f>
        <v/>
      </c>
    </row>
    <row r="311" spans="16:20" ht="14.25" customHeight="1">
      <c r="P311" t="str">
        <f>IF(F311="","",IF(COUNTIF(J311:O311,"D")&gt;0,"",(IF(ISNUMBER(J311),J311,0)*Parametros!$K$4+IF(ISNUMBER(K311),K311,0)*Parametros!$K$5+IF(ISNUMBER(M311),M311,0)*Parametros!$K$6+IF(ISNUMBER(N311),N311,0)*Parametros!$K$7+IF(ISNUMBER(O311),O311,0)*Parametros!$K$8)/Parametros!$B$2))</f>
        <v/>
      </c>
      <c r="Q311" t="str">
        <f>IF(F311="","",IF(COUNTIF(J311:O311,"D")&gt;0,"Desiste",IF(IFERROR(P311,0)&gt;=Parametros!$B$1,"Aprueba","No aprueba")))</f>
        <v/>
      </c>
      <c r="T311" t="str">
        <f>IF($Q311="Aprueba",COUNTIF($Q$2:$Q311,"Aprueba"),"")</f>
        <v/>
      </c>
    </row>
    <row r="312" spans="16:20" ht="14.25" customHeight="1">
      <c r="P312" t="str">
        <f>IF(F312="","",IF(COUNTIF(J312:O312,"D")&gt;0,"",(IF(ISNUMBER(J312),J312,0)*Parametros!$K$4+IF(ISNUMBER(K312),K312,0)*Parametros!$K$5+IF(ISNUMBER(M312),M312,0)*Parametros!$K$6+IF(ISNUMBER(N312),N312,0)*Parametros!$K$7+IF(ISNUMBER(O312),O312,0)*Parametros!$K$8)/Parametros!$B$2))</f>
        <v/>
      </c>
      <c r="Q312" t="str">
        <f>IF(F312="","",IF(COUNTIF(J312:O312,"D")&gt;0,"Desiste",IF(IFERROR(P312,0)&gt;=Parametros!$B$1,"Aprueba","No aprueba")))</f>
        <v/>
      </c>
      <c r="T312" t="str">
        <f>IF($Q312="Aprueba",COUNTIF($Q$2:$Q312,"Aprueba"),"")</f>
        <v/>
      </c>
    </row>
    <row r="313" spans="16:20" ht="14.25" customHeight="1">
      <c r="P313" t="str">
        <f>IF(F313="","",IF(COUNTIF(J313:O313,"D")&gt;0,"",(IF(ISNUMBER(J313),J313,0)*Parametros!$K$4+IF(ISNUMBER(K313),K313,0)*Parametros!$K$5+IF(ISNUMBER(M313),M313,0)*Parametros!$K$6+IF(ISNUMBER(N313),N313,0)*Parametros!$K$7+IF(ISNUMBER(O313),O313,0)*Parametros!$K$8)/Parametros!$B$2))</f>
        <v/>
      </c>
      <c r="Q313" t="str">
        <f>IF(F313="","",IF(COUNTIF(J313:O313,"D")&gt;0,"Desiste",IF(IFERROR(P313,0)&gt;=Parametros!$B$1,"Aprueba","No aprueba")))</f>
        <v/>
      </c>
      <c r="T313" t="str">
        <f>IF($Q313="Aprueba",COUNTIF($Q$2:$Q313,"Aprueba"),"")</f>
        <v/>
      </c>
    </row>
    <row r="314" spans="16:20" ht="14.25" customHeight="1">
      <c r="P314" t="str">
        <f>IF(F314="","",IF(COUNTIF(J314:O314,"D")&gt;0,"",(IF(ISNUMBER(J314),J314,0)*Parametros!$K$4+IF(ISNUMBER(K314),K314,0)*Parametros!$K$5+IF(ISNUMBER(M314),M314,0)*Parametros!$K$6+IF(ISNUMBER(N314),N314,0)*Parametros!$K$7+IF(ISNUMBER(O314),O314,0)*Parametros!$K$8)/Parametros!$B$2))</f>
        <v/>
      </c>
      <c r="Q314" t="str">
        <f>IF(F314="","",IF(COUNTIF(J314:O314,"D")&gt;0,"Desiste",IF(IFERROR(P314,0)&gt;=Parametros!$B$1,"Aprueba","No aprueba")))</f>
        <v/>
      </c>
      <c r="T314" t="str">
        <f>IF($Q314="Aprueba",COUNTIF($Q$2:$Q314,"Aprueba"),"")</f>
        <v/>
      </c>
    </row>
    <row r="315" spans="16:20" ht="14.25" customHeight="1">
      <c r="P315" t="str">
        <f>IF(F315="","",IF(COUNTIF(J315:O315,"D")&gt;0,"",(IF(ISNUMBER(J315),J315,0)*Parametros!$K$4+IF(ISNUMBER(K315),K315,0)*Parametros!$K$5+IF(ISNUMBER(M315),M315,0)*Parametros!$K$6+IF(ISNUMBER(N315),N315,0)*Parametros!$K$7+IF(ISNUMBER(O315),O315,0)*Parametros!$K$8)/Parametros!$B$2))</f>
        <v/>
      </c>
      <c r="Q315" t="str">
        <f>IF(F315="","",IF(COUNTIF(J315:O315,"D")&gt;0,"Desiste",IF(IFERROR(P315,0)&gt;=Parametros!$B$1,"Aprueba","No aprueba")))</f>
        <v/>
      </c>
      <c r="T315" t="str">
        <f>IF($Q315="Aprueba",COUNTIF($Q$2:$Q315,"Aprueba"),"")</f>
        <v/>
      </c>
    </row>
    <row r="316" spans="16:20" ht="14.25" customHeight="1">
      <c r="P316" t="str">
        <f>IF(F316="","",IF(COUNTIF(J316:O316,"D")&gt;0,"",(IF(ISNUMBER(J316),J316,0)*Parametros!$K$4+IF(ISNUMBER(K316),K316,0)*Parametros!$K$5+IF(ISNUMBER(M316),M316,0)*Parametros!$K$6+IF(ISNUMBER(N316),N316,0)*Parametros!$K$7+IF(ISNUMBER(O316),O316,0)*Parametros!$K$8)/Parametros!$B$2))</f>
        <v/>
      </c>
      <c r="Q316" t="str">
        <f>IF(F316="","",IF(COUNTIF(J316:O316,"D")&gt;0,"Desiste",IF(IFERROR(P316,0)&gt;=Parametros!$B$1,"Aprueba","No aprueba")))</f>
        <v/>
      </c>
      <c r="T316" t="str">
        <f>IF($Q316="Aprueba",COUNTIF($Q$2:$Q316,"Aprueba"),"")</f>
        <v/>
      </c>
    </row>
    <row r="317" spans="16:20" ht="14.25" customHeight="1">
      <c r="P317" t="str">
        <f>IF(F317="","",IF(COUNTIF(J317:O317,"D")&gt;0,"",(IF(ISNUMBER(J317),J317,0)*Parametros!$K$4+IF(ISNUMBER(K317),K317,0)*Parametros!$K$5+IF(ISNUMBER(M317),M317,0)*Parametros!$K$6+IF(ISNUMBER(N317),N317,0)*Parametros!$K$7+IF(ISNUMBER(O317),O317,0)*Parametros!$K$8)/Parametros!$B$2))</f>
        <v/>
      </c>
      <c r="Q317" t="str">
        <f>IF(F317="","",IF(COUNTIF(J317:O317,"D")&gt;0,"Desiste",IF(IFERROR(P317,0)&gt;=Parametros!$B$1,"Aprueba","No aprueba")))</f>
        <v/>
      </c>
      <c r="T317" t="str">
        <f>IF($Q317="Aprueba",COUNTIF($Q$2:$Q317,"Aprueba"),"")</f>
        <v/>
      </c>
    </row>
    <row r="318" spans="16:20" ht="14.25" customHeight="1">
      <c r="P318" t="str">
        <f>IF(F318="","",IF(COUNTIF(J318:O318,"D")&gt;0,"",(IF(ISNUMBER(J318),J318,0)*Parametros!$K$4+IF(ISNUMBER(K318),K318,0)*Parametros!$K$5+IF(ISNUMBER(M318),M318,0)*Parametros!$K$6+IF(ISNUMBER(N318),N318,0)*Parametros!$K$7+IF(ISNUMBER(O318),O318,0)*Parametros!$K$8)/Parametros!$B$2))</f>
        <v/>
      </c>
      <c r="Q318" t="str">
        <f>IF(F318="","",IF(COUNTIF(J318:O318,"D")&gt;0,"Desiste",IF(IFERROR(P318,0)&gt;=Parametros!$B$1,"Aprueba","No aprueba")))</f>
        <v/>
      </c>
      <c r="T318" t="str">
        <f>IF($Q318="Aprueba",COUNTIF($Q$2:$Q318,"Aprueba"),"")</f>
        <v/>
      </c>
    </row>
    <row r="319" spans="16:20" ht="14.25" customHeight="1">
      <c r="P319" t="str">
        <f>IF(F319="","",IF(COUNTIF(J319:O319,"D")&gt;0,"",(IF(ISNUMBER(J319),J319,0)*Parametros!$K$4+IF(ISNUMBER(K319),K319,0)*Parametros!$K$5+IF(ISNUMBER(M319),M319,0)*Parametros!$K$6+IF(ISNUMBER(N319),N319,0)*Parametros!$K$7+IF(ISNUMBER(O319),O319,0)*Parametros!$K$8)/Parametros!$B$2))</f>
        <v/>
      </c>
      <c r="Q319" t="str">
        <f>IF(F319="","",IF(COUNTIF(J319:O319,"D")&gt;0,"Desiste",IF(IFERROR(P319,0)&gt;=Parametros!$B$1,"Aprueba","No aprueba")))</f>
        <v/>
      </c>
      <c r="T319" t="str">
        <f>IF($Q319="Aprueba",COUNTIF($Q$2:$Q319,"Aprueba"),"")</f>
        <v/>
      </c>
    </row>
    <row r="320" spans="16:20" ht="14.25" customHeight="1">
      <c r="P320" t="str">
        <f>IF(F320="","",IF(COUNTIF(J320:O320,"D")&gt;0,"",(IF(ISNUMBER(J320),J320,0)*Parametros!$K$4+IF(ISNUMBER(K320),K320,0)*Parametros!$K$5+IF(ISNUMBER(M320),M320,0)*Parametros!$K$6+IF(ISNUMBER(N320),N320,0)*Parametros!$K$7+IF(ISNUMBER(O320),O320,0)*Parametros!$K$8)/Parametros!$B$2))</f>
        <v/>
      </c>
      <c r="Q320" t="str">
        <f>IF(F320="","",IF(COUNTIF(J320:O320,"D")&gt;0,"Desiste",IF(IFERROR(P320,0)&gt;=Parametros!$B$1,"Aprueba","No aprueba")))</f>
        <v/>
      </c>
      <c r="T320" t="str">
        <f>IF($Q320="Aprueba",COUNTIF($Q$2:$Q320,"Aprueba"),"")</f>
        <v/>
      </c>
    </row>
    <row r="321" spans="16:20" ht="14.25" customHeight="1">
      <c r="P321" t="str">
        <f>IF(F321="","",IF(COUNTIF(J321:O321,"D")&gt;0,"",(IF(ISNUMBER(J321),J321,0)*Parametros!$K$4+IF(ISNUMBER(K321),K321,0)*Parametros!$K$5+IF(ISNUMBER(M321),M321,0)*Parametros!$K$6+IF(ISNUMBER(N321),N321,0)*Parametros!$K$7+IF(ISNUMBER(O321),O321,0)*Parametros!$K$8)/Parametros!$B$2))</f>
        <v/>
      </c>
      <c r="Q321" t="str">
        <f>IF(F321="","",IF(COUNTIF(J321:O321,"D")&gt;0,"Desiste",IF(IFERROR(P321,0)&gt;=Parametros!$B$1,"Aprueba","No aprueba")))</f>
        <v/>
      </c>
      <c r="T321" t="str">
        <f>IF($Q321="Aprueba",COUNTIF($Q$2:$Q321,"Aprueba"),"")</f>
        <v/>
      </c>
    </row>
    <row r="322" spans="16:20" ht="14.25" customHeight="1">
      <c r="P322" t="str">
        <f>IF(F322="","",IF(COUNTIF(J322:O322,"D")&gt;0,"",(IF(ISNUMBER(J322),J322,0)*Parametros!$K$4+IF(ISNUMBER(K322),K322,0)*Parametros!$K$5+IF(ISNUMBER(M322),M322,0)*Parametros!$K$6+IF(ISNUMBER(N322),N322,0)*Parametros!$K$7+IF(ISNUMBER(O322),O322,0)*Parametros!$K$8)/Parametros!$B$2))</f>
        <v/>
      </c>
      <c r="Q322" t="str">
        <f>IF(F322="","",IF(COUNTIF(J322:O322,"D")&gt;0,"Desiste",IF(IFERROR(P322,0)&gt;=Parametros!$B$1,"Aprueba","No aprueba")))</f>
        <v/>
      </c>
      <c r="T322" t="str">
        <f>IF($Q322="Aprueba",COUNTIF($Q$2:$Q322,"Aprueba"),"")</f>
        <v/>
      </c>
    </row>
    <row r="323" spans="16:20" ht="14.25" customHeight="1">
      <c r="P323" t="str">
        <f>IF(F323="","",IF(COUNTIF(J323:O323,"D")&gt;0,"",(IF(ISNUMBER(J323),J323,0)*Parametros!$K$4+IF(ISNUMBER(K323),K323,0)*Parametros!$K$5+IF(ISNUMBER(M323),M323,0)*Parametros!$K$6+IF(ISNUMBER(N323),N323,0)*Parametros!$K$7+IF(ISNUMBER(O323),O323,0)*Parametros!$K$8)/Parametros!$B$2))</f>
        <v/>
      </c>
      <c r="Q323" t="str">
        <f>IF(F323="","",IF(COUNTIF(J323:O323,"D")&gt;0,"Desiste",IF(IFERROR(P323,0)&gt;=Parametros!$B$1,"Aprueba","No aprueba")))</f>
        <v/>
      </c>
      <c r="T323" t="str">
        <f>IF($Q323="Aprueba",COUNTIF($Q$2:$Q323,"Aprueba"),"")</f>
        <v/>
      </c>
    </row>
    <row r="324" spans="16:20" ht="14.25" customHeight="1">
      <c r="P324" t="str">
        <f>IF(F324="","",IF(COUNTIF(J324:O324,"D")&gt;0,"",(IF(ISNUMBER(J324),J324,0)*Parametros!$K$4+IF(ISNUMBER(K324),K324,0)*Parametros!$K$5+IF(ISNUMBER(M324),M324,0)*Parametros!$K$6+IF(ISNUMBER(N324),N324,0)*Parametros!$K$7+IF(ISNUMBER(O324),O324,0)*Parametros!$K$8)/Parametros!$B$2))</f>
        <v/>
      </c>
      <c r="Q324" t="str">
        <f>IF(F324="","",IF(COUNTIF(J324:O324,"D")&gt;0,"Desiste",IF(IFERROR(P324,0)&gt;=Parametros!$B$1,"Aprueba","No aprueba")))</f>
        <v/>
      </c>
      <c r="T324" t="str">
        <f>IF($Q324="Aprueba",COUNTIF($Q$2:$Q324,"Aprueba"),"")</f>
        <v/>
      </c>
    </row>
    <row r="325" spans="16:20" ht="14.25" customHeight="1">
      <c r="P325" t="str">
        <f>IF(F325="","",IF(COUNTIF(J325:O325,"D")&gt;0,"",(IF(ISNUMBER(J325),J325,0)*Parametros!$K$4+IF(ISNUMBER(K325),K325,0)*Parametros!$K$5+IF(ISNUMBER(M325),M325,0)*Parametros!$K$6+IF(ISNUMBER(N325),N325,0)*Parametros!$K$7+IF(ISNUMBER(O325),O325,0)*Parametros!$K$8)/Parametros!$B$2))</f>
        <v/>
      </c>
      <c r="Q325" t="str">
        <f>IF(F325="","",IF(COUNTIF(J325:O325,"D")&gt;0,"Desiste",IF(IFERROR(P325,0)&gt;=Parametros!$B$1,"Aprueba","No aprueba")))</f>
        <v/>
      </c>
      <c r="T325" t="str">
        <f>IF($Q325="Aprueba",COUNTIF($Q$2:$Q325,"Aprueba"),"")</f>
        <v/>
      </c>
    </row>
    <row r="326" spans="16:20" ht="14.25" customHeight="1">
      <c r="P326" t="str">
        <f>IF(F326="","",IF(COUNTIF(J326:O326,"D")&gt;0,"",(IF(ISNUMBER(J326),J326,0)*Parametros!$K$4+IF(ISNUMBER(K326),K326,0)*Parametros!$K$5+IF(ISNUMBER(M326),M326,0)*Parametros!$K$6+IF(ISNUMBER(N326),N326,0)*Parametros!$K$7+IF(ISNUMBER(O326),O326,0)*Parametros!$K$8)/Parametros!$B$2))</f>
        <v/>
      </c>
      <c r="Q326" t="str">
        <f>IF(F326="","",IF(COUNTIF(J326:O326,"D")&gt;0,"Desiste",IF(IFERROR(P326,0)&gt;=Parametros!$B$1,"Aprueba","No aprueba")))</f>
        <v/>
      </c>
      <c r="T326" t="str">
        <f>IF($Q326="Aprueba",COUNTIF($Q$2:$Q326,"Aprueba"),"")</f>
        <v/>
      </c>
    </row>
    <row r="327" spans="16:20" ht="14.25" customHeight="1">
      <c r="P327" t="str">
        <f>IF(F327="","",IF(COUNTIF(J327:O327,"D")&gt;0,"",(IF(ISNUMBER(J327),J327,0)*Parametros!$K$4+IF(ISNUMBER(K327),K327,0)*Parametros!$K$5+IF(ISNUMBER(M327),M327,0)*Parametros!$K$6+IF(ISNUMBER(N327),N327,0)*Parametros!$K$7+IF(ISNUMBER(O327),O327,0)*Parametros!$K$8)/Parametros!$B$2))</f>
        <v/>
      </c>
      <c r="Q327" t="str">
        <f>IF(F327="","",IF(COUNTIF(J327:O327,"D")&gt;0,"Desiste",IF(IFERROR(P327,0)&gt;=Parametros!$B$1,"Aprueba","No aprueba")))</f>
        <v/>
      </c>
      <c r="T327" t="str">
        <f>IF($Q327="Aprueba",COUNTIF($Q$2:$Q327,"Aprueba"),"")</f>
        <v/>
      </c>
    </row>
    <row r="328" spans="16:20" ht="14.25" customHeight="1">
      <c r="P328" t="str">
        <f>IF(F328="","",IF(COUNTIF(J328:O328,"D")&gt;0,"",(IF(ISNUMBER(J328),J328,0)*Parametros!$K$4+IF(ISNUMBER(K328),K328,0)*Parametros!$K$5+IF(ISNUMBER(M328),M328,0)*Parametros!$K$6+IF(ISNUMBER(N328),N328,0)*Parametros!$K$7+IF(ISNUMBER(O328),O328,0)*Parametros!$K$8)/Parametros!$B$2))</f>
        <v/>
      </c>
      <c r="Q328" t="str">
        <f>IF(F328="","",IF(COUNTIF(J328:O328,"D")&gt;0,"Desiste",IF(IFERROR(P328,0)&gt;=Parametros!$B$1,"Aprueba","No aprueba")))</f>
        <v/>
      </c>
      <c r="T328" t="str">
        <f>IF($Q328="Aprueba",COUNTIF($Q$2:$Q328,"Aprueba"),"")</f>
        <v/>
      </c>
    </row>
    <row r="329" spans="16:20" ht="14.25" customHeight="1">
      <c r="P329" t="str">
        <f>IF(F329="","",IF(COUNTIF(J329:O329,"D")&gt;0,"",(IF(ISNUMBER(J329),J329,0)*Parametros!$K$4+IF(ISNUMBER(K329),K329,0)*Parametros!$K$5+IF(ISNUMBER(M329),M329,0)*Parametros!$K$6+IF(ISNUMBER(N329),N329,0)*Parametros!$K$7+IF(ISNUMBER(O329),O329,0)*Parametros!$K$8)/Parametros!$B$2))</f>
        <v/>
      </c>
      <c r="Q329" t="str">
        <f>IF(F329="","",IF(COUNTIF(J329:O329,"D")&gt;0,"Desiste",IF(IFERROR(P329,0)&gt;=Parametros!$B$1,"Aprueba","No aprueba")))</f>
        <v/>
      </c>
      <c r="T329" t="str">
        <f>IF($Q329="Aprueba",COUNTIF($Q$2:$Q329,"Aprueba"),"")</f>
        <v/>
      </c>
    </row>
    <row r="330" spans="16:20" ht="14.25" customHeight="1">
      <c r="P330" t="str">
        <f>IF(F330="","",IF(COUNTIF(J330:O330,"D")&gt;0,"",(IF(ISNUMBER(J330),J330,0)*Parametros!$K$4+IF(ISNUMBER(K330),K330,0)*Parametros!$K$5+IF(ISNUMBER(M330),M330,0)*Parametros!$K$6+IF(ISNUMBER(N330),N330,0)*Parametros!$K$7+IF(ISNUMBER(O330),O330,0)*Parametros!$K$8)/Parametros!$B$2))</f>
        <v/>
      </c>
      <c r="Q330" t="str">
        <f>IF(F330="","",IF(COUNTIF(J330:O330,"D")&gt;0,"Desiste",IF(IFERROR(P330,0)&gt;=Parametros!$B$1,"Aprueba","No aprueba")))</f>
        <v/>
      </c>
      <c r="T330" t="str">
        <f>IF($Q330="Aprueba",COUNTIF($Q$2:$Q330,"Aprueba"),"")</f>
        <v/>
      </c>
    </row>
    <row r="331" spans="16:20" ht="14.25" customHeight="1">
      <c r="P331" t="str">
        <f>IF(F331="","",IF(COUNTIF(J331:O331,"D")&gt;0,"",(IF(ISNUMBER(J331),J331,0)*Parametros!$K$4+IF(ISNUMBER(K331),K331,0)*Parametros!$K$5+IF(ISNUMBER(M331),M331,0)*Parametros!$K$6+IF(ISNUMBER(N331),N331,0)*Parametros!$K$7+IF(ISNUMBER(O331),O331,0)*Parametros!$K$8)/Parametros!$B$2))</f>
        <v/>
      </c>
      <c r="Q331" t="str">
        <f>IF(F331="","",IF(COUNTIF(J331:O331,"D")&gt;0,"Desiste",IF(IFERROR(P331,0)&gt;=Parametros!$B$1,"Aprueba","No aprueba")))</f>
        <v/>
      </c>
      <c r="T331" t="str">
        <f>IF($Q331="Aprueba",COUNTIF($Q$2:$Q331,"Aprueba"),"")</f>
        <v/>
      </c>
    </row>
    <row r="332" spans="16:20" ht="14.25" customHeight="1">
      <c r="P332" t="str">
        <f>IF(F332="","",IF(COUNTIF(J332:O332,"D")&gt;0,"",(IF(ISNUMBER(J332),J332,0)*Parametros!$K$4+IF(ISNUMBER(K332),K332,0)*Parametros!$K$5+IF(ISNUMBER(M332),M332,0)*Parametros!$K$6+IF(ISNUMBER(N332),N332,0)*Parametros!$K$7+IF(ISNUMBER(O332),O332,0)*Parametros!$K$8)/Parametros!$B$2))</f>
        <v/>
      </c>
      <c r="Q332" t="str">
        <f>IF(F332="","",IF(COUNTIF(J332:O332,"D")&gt;0,"Desiste",IF(IFERROR(P332,0)&gt;=Parametros!$B$1,"Aprueba","No aprueba")))</f>
        <v/>
      </c>
      <c r="T332" t="str">
        <f>IF($Q332="Aprueba",COUNTIF($Q$2:$Q332,"Aprueba"),"")</f>
        <v/>
      </c>
    </row>
    <row r="333" spans="16:20" ht="14.25" customHeight="1">
      <c r="P333" t="str">
        <f>IF(F333="","",IF(COUNTIF(J333:O333,"D")&gt;0,"",(IF(ISNUMBER(J333),J333,0)*Parametros!$K$4+IF(ISNUMBER(K333),K333,0)*Parametros!$K$5+IF(ISNUMBER(M333),M333,0)*Parametros!$K$6+IF(ISNUMBER(N333),N333,0)*Parametros!$K$7+IF(ISNUMBER(O333),O333,0)*Parametros!$K$8)/Parametros!$B$2))</f>
        <v/>
      </c>
      <c r="Q333" t="str">
        <f>IF(F333="","",IF(COUNTIF(J333:O333,"D")&gt;0,"Desiste",IF(IFERROR(P333,0)&gt;=Parametros!$B$1,"Aprueba","No aprueba")))</f>
        <v/>
      </c>
      <c r="T333" t="str">
        <f>IF($Q333="Aprueba",COUNTIF($Q$2:$Q333,"Aprueba"),"")</f>
        <v/>
      </c>
    </row>
    <row r="334" spans="16:20" ht="14.25" customHeight="1">
      <c r="P334" t="str">
        <f>IF(F334="","",IF(COUNTIF(J334:O334,"D")&gt;0,"",(IF(ISNUMBER(J334),J334,0)*Parametros!$K$4+IF(ISNUMBER(K334),K334,0)*Parametros!$K$5+IF(ISNUMBER(M334),M334,0)*Parametros!$K$6+IF(ISNUMBER(N334),N334,0)*Parametros!$K$7+IF(ISNUMBER(O334),O334,0)*Parametros!$K$8)/Parametros!$B$2))</f>
        <v/>
      </c>
      <c r="Q334" t="str">
        <f>IF(F334="","",IF(COUNTIF(J334:O334,"D")&gt;0,"Desiste",IF(IFERROR(P334,0)&gt;=Parametros!$B$1,"Aprueba","No aprueba")))</f>
        <v/>
      </c>
      <c r="T334" t="str">
        <f>IF($Q334="Aprueba",COUNTIF($Q$2:$Q334,"Aprueba"),"")</f>
        <v/>
      </c>
    </row>
    <row r="335" spans="16:20" ht="14.25" customHeight="1">
      <c r="P335" t="str">
        <f>IF(F335="","",IF(COUNTIF(J335:O335,"D")&gt;0,"",(IF(ISNUMBER(J335),J335,0)*Parametros!$K$4+IF(ISNUMBER(K335),K335,0)*Parametros!$K$5+IF(ISNUMBER(M335),M335,0)*Parametros!$K$6+IF(ISNUMBER(N335),N335,0)*Parametros!$K$7+IF(ISNUMBER(O335),O335,0)*Parametros!$K$8)/Parametros!$B$2))</f>
        <v/>
      </c>
      <c r="Q335" t="str">
        <f>IF(F335="","",IF(COUNTIF(J335:O335,"D")&gt;0,"Desiste",IF(IFERROR(P335,0)&gt;=Parametros!$B$1,"Aprueba","No aprueba")))</f>
        <v/>
      </c>
      <c r="T335" t="str">
        <f>IF($Q335="Aprueba",COUNTIF($Q$2:$Q335,"Aprueba"),"")</f>
        <v/>
      </c>
    </row>
    <row r="336" spans="16:20" ht="14.25" customHeight="1">
      <c r="P336" t="str">
        <f>IF(F336="","",IF(COUNTIF(J336:O336,"D")&gt;0,"",(IF(ISNUMBER(J336),J336,0)*Parametros!$K$4+IF(ISNUMBER(K336),K336,0)*Parametros!$K$5+IF(ISNUMBER(M336),M336,0)*Parametros!$K$6+IF(ISNUMBER(N336),N336,0)*Parametros!$K$7+IF(ISNUMBER(O336),O336,0)*Parametros!$K$8)/Parametros!$B$2))</f>
        <v/>
      </c>
      <c r="Q336" t="str">
        <f>IF(F336="","",IF(COUNTIF(J336:O336,"D")&gt;0,"Desiste",IF(IFERROR(P336,0)&gt;=Parametros!$B$1,"Aprueba","No aprueba")))</f>
        <v/>
      </c>
      <c r="T336" t="str">
        <f>IF($Q336="Aprueba",COUNTIF($Q$2:$Q336,"Aprueba"),"")</f>
        <v/>
      </c>
    </row>
    <row r="337" spans="16:20" ht="14.25" customHeight="1">
      <c r="P337" t="str">
        <f>IF(F337="","",IF(COUNTIF(J337:O337,"D")&gt;0,"",(IF(ISNUMBER(J337),J337,0)*Parametros!$K$4+IF(ISNUMBER(K337),K337,0)*Parametros!$K$5+IF(ISNUMBER(M337),M337,0)*Parametros!$K$6+IF(ISNUMBER(N337),N337,0)*Parametros!$K$7+IF(ISNUMBER(O337),O337,0)*Parametros!$K$8)/Parametros!$B$2))</f>
        <v/>
      </c>
      <c r="Q337" t="str">
        <f>IF(F337="","",IF(COUNTIF(J337:O337,"D")&gt;0,"Desiste",IF(IFERROR(P337,0)&gt;=Parametros!$B$1,"Aprueba","No aprueba")))</f>
        <v/>
      </c>
      <c r="T337" t="str">
        <f>IF($Q337="Aprueba",COUNTIF($Q$2:$Q337,"Aprueba"),"")</f>
        <v/>
      </c>
    </row>
    <row r="338" spans="16:20" ht="14.25" customHeight="1">
      <c r="P338" t="str">
        <f>IF(F338="","",IF(COUNTIF(J338:O338,"D")&gt;0,"",(IF(ISNUMBER(J338),J338,0)*Parametros!$K$4+IF(ISNUMBER(K338),K338,0)*Parametros!$K$5+IF(ISNUMBER(M338),M338,0)*Parametros!$K$6+IF(ISNUMBER(N338),N338,0)*Parametros!$K$7+IF(ISNUMBER(O338),O338,0)*Parametros!$K$8)/Parametros!$B$2))</f>
        <v/>
      </c>
      <c r="Q338" t="str">
        <f>IF(F338="","",IF(COUNTIF(J338:O338,"D")&gt;0,"Desiste",IF(IFERROR(P338,0)&gt;=Parametros!$B$1,"Aprueba","No aprueba")))</f>
        <v/>
      </c>
      <c r="T338" t="str">
        <f>IF($Q338="Aprueba",COUNTIF($Q$2:$Q338,"Aprueba"),"")</f>
        <v/>
      </c>
    </row>
    <row r="339" spans="16:20" ht="14.25" customHeight="1">
      <c r="P339" t="str">
        <f>IF(F339="","",IF(COUNTIF(J339:O339,"D")&gt;0,"",(IF(ISNUMBER(J339),J339,0)*Parametros!$K$4+IF(ISNUMBER(K339),K339,0)*Parametros!$K$5+IF(ISNUMBER(M339),M339,0)*Parametros!$K$6+IF(ISNUMBER(N339),N339,0)*Parametros!$K$7+IF(ISNUMBER(O339),O339,0)*Parametros!$K$8)/Parametros!$B$2))</f>
        <v/>
      </c>
      <c r="Q339" t="str">
        <f>IF(F339="","",IF(COUNTIF(J339:O339,"D")&gt;0,"Desiste",IF(IFERROR(P339,0)&gt;=Parametros!$B$1,"Aprueba","No aprueba")))</f>
        <v/>
      </c>
      <c r="T339" t="str">
        <f>IF($Q339="Aprueba",COUNTIF($Q$2:$Q339,"Aprueba"),"")</f>
        <v/>
      </c>
    </row>
    <row r="340" spans="16:20" ht="14.25" customHeight="1">
      <c r="P340" t="str">
        <f>IF(F340="","",IF(COUNTIF(J340:O340,"D")&gt;0,"",(IF(ISNUMBER(J340),J340,0)*Parametros!$K$4+IF(ISNUMBER(K340),K340,0)*Parametros!$K$5+IF(ISNUMBER(M340),M340,0)*Parametros!$K$6+IF(ISNUMBER(N340),N340,0)*Parametros!$K$7+IF(ISNUMBER(O340),O340,0)*Parametros!$K$8)/Parametros!$B$2))</f>
        <v/>
      </c>
      <c r="Q340" t="str">
        <f>IF(F340="","",IF(COUNTIF(J340:O340,"D")&gt;0,"Desiste",IF(IFERROR(P340,0)&gt;=Parametros!$B$1,"Aprueba","No aprueba")))</f>
        <v/>
      </c>
      <c r="T340" t="str">
        <f>IF($Q340="Aprueba",COUNTIF($Q$2:$Q340,"Aprueba"),"")</f>
        <v/>
      </c>
    </row>
    <row r="341" spans="16:20" ht="14.25" customHeight="1">
      <c r="P341" t="str">
        <f>IF(F341="","",IF(COUNTIF(J341:O341,"D")&gt;0,"",(IF(ISNUMBER(J341),J341,0)*Parametros!$K$4+IF(ISNUMBER(K341),K341,0)*Parametros!$K$5+IF(ISNUMBER(M341),M341,0)*Parametros!$K$6+IF(ISNUMBER(N341),N341,0)*Parametros!$K$7+IF(ISNUMBER(O341),O341,0)*Parametros!$K$8)/Parametros!$B$2))</f>
        <v/>
      </c>
      <c r="Q341" t="str">
        <f>IF(F341="","",IF(COUNTIF(J341:O341,"D")&gt;0,"Desiste",IF(IFERROR(P341,0)&gt;=Parametros!$B$1,"Aprueba","No aprueba")))</f>
        <v/>
      </c>
      <c r="T341" t="str">
        <f>IF($Q341="Aprueba",COUNTIF($Q$2:$Q341,"Aprueba"),"")</f>
        <v/>
      </c>
    </row>
    <row r="342" spans="16:20" ht="14.25" customHeight="1">
      <c r="P342" t="str">
        <f>IF(F342="","",IF(COUNTIF(J342:O342,"D")&gt;0,"",(IF(ISNUMBER(J342),J342,0)*Parametros!$K$4+IF(ISNUMBER(K342),K342,0)*Parametros!$K$5+IF(ISNUMBER(M342),M342,0)*Parametros!$K$6+IF(ISNUMBER(N342),N342,0)*Parametros!$K$7+IF(ISNUMBER(O342),O342,0)*Parametros!$K$8)/Parametros!$B$2))</f>
        <v/>
      </c>
      <c r="Q342" t="str">
        <f>IF(F342="","",IF(COUNTIF(J342:O342,"D")&gt;0,"Desiste",IF(IFERROR(P342,0)&gt;=Parametros!$B$1,"Aprueba","No aprueba")))</f>
        <v/>
      </c>
      <c r="T342" t="str">
        <f>IF($Q342="Aprueba",COUNTIF($Q$2:$Q342,"Aprueba"),"")</f>
        <v/>
      </c>
    </row>
    <row r="343" spans="16:20" ht="14.25" customHeight="1">
      <c r="P343" t="str">
        <f>IF(F343="","",IF(COUNTIF(J343:O343,"D")&gt;0,"",(IF(ISNUMBER(J343),J343,0)*Parametros!$K$4+IF(ISNUMBER(K343),K343,0)*Parametros!$K$5+IF(ISNUMBER(M343),M343,0)*Parametros!$K$6+IF(ISNUMBER(N343),N343,0)*Parametros!$K$7+IF(ISNUMBER(O343),O343,0)*Parametros!$K$8)/Parametros!$B$2))</f>
        <v/>
      </c>
      <c r="Q343" t="str">
        <f>IF(F343="","",IF(COUNTIF(J343:O343,"D")&gt;0,"Desiste",IF(IFERROR(P343,0)&gt;=Parametros!$B$1,"Aprueba","No aprueba")))</f>
        <v/>
      </c>
      <c r="T343" t="str">
        <f>IF($Q343="Aprueba",COUNTIF($Q$2:$Q343,"Aprueba"),"")</f>
        <v/>
      </c>
    </row>
    <row r="344" spans="16:20" ht="14.25" customHeight="1">
      <c r="P344" t="str">
        <f>IF(F344="","",IF(COUNTIF(J344:O344,"D")&gt;0,"",(IF(ISNUMBER(J344),J344,0)*Parametros!$K$4+IF(ISNUMBER(K344),K344,0)*Parametros!$K$5+IF(ISNUMBER(M344),M344,0)*Parametros!$K$6+IF(ISNUMBER(N344),N344,0)*Parametros!$K$7+IF(ISNUMBER(O344),O344,0)*Parametros!$K$8)/Parametros!$B$2))</f>
        <v/>
      </c>
      <c r="Q344" t="str">
        <f>IF(F344="","",IF(COUNTIF(J344:O344,"D")&gt;0,"Desiste",IF(IFERROR(P344,0)&gt;=Parametros!$B$1,"Aprueba","No aprueba")))</f>
        <v/>
      </c>
      <c r="T344" t="str">
        <f>IF($Q344="Aprueba",COUNTIF($Q$2:$Q344,"Aprueba"),"")</f>
        <v/>
      </c>
    </row>
    <row r="345" spans="16:20" ht="14.25" customHeight="1">
      <c r="P345" t="str">
        <f>IF(F345="","",IF(COUNTIF(J345:O345,"D")&gt;0,"",(IF(ISNUMBER(J345),J345,0)*Parametros!$K$4+IF(ISNUMBER(K345),K345,0)*Parametros!$K$5+IF(ISNUMBER(M345),M345,0)*Parametros!$K$6+IF(ISNUMBER(N345),N345,0)*Parametros!$K$7+IF(ISNUMBER(O345),O345,0)*Parametros!$K$8)/Parametros!$B$2))</f>
        <v/>
      </c>
      <c r="Q345" t="str">
        <f>IF(F345="","",IF(COUNTIF(J345:O345,"D")&gt;0,"Desiste",IF(IFERROR(P345,0)&gt;=Parametros!$B$1,"Aprueba","No aprueba")))</f>
        <v/>
      </c>
      <c r="T345" t="str">
        <f>IF($Q345="Aprueba",COUNTIF($Q$2:$Q345,"Aprueba"),"")</f>
        <v/>
      </c>
    </row>
    <row r="346" spans="16:20" ht="14.25" customHeight="1">
      <c r="P346" t="str">
        <f>IF(F346="","",IF(COUNTIF(J346:O346,"D")&gt;0,"",(IF(ISNUMBER(J346),J346,0)*Parametros!$K$4+IF(ISNUMBER(K346),K346,0)*Parametros!$K$5+IF(ISNUMBER(M346),M346,0)*Parametros!$K$6+IF(ISNUMBER(N346),N346,0)*Parametros!$K$7+IF(ISNUMBER(O346),O346,0)*Parametros!$K$8)/Parametros!$B$2))</f>
        <v/>
      </c>
      <c r="Q346" t="str">
        <f>IF(F346="","",IF(COUNTIF(J346:O346,"D")&gt;0,"Desiste",IF(IFERROR(P346,0)&gt;=Parametros!$B$1,"Aprueba","No aprueba")))</f>
        <v/>
      </c>
      <c r="T346" t="str">
        <f>IF($Q346="Aprueba",COUNTIF($Q$2:$Q346,"Aprueba"),"")</f>
        <v/>
      </c>
    </row>
    <row r="347" spans="16:20" ht="14.25" customHeight="1">
      <c r="P347" t="str">
        <f>IF(F347="","",IF(COUNTIF(J347:O347,"D")&gt;0,"",(IF(ISNUMBER(J347),J347,0)*Parametros!$K$4+IF(ISNUMBER(K347),K347,0)*Parametros!$K$5+IF(ISNUMBER(M347),M347,0)*Parametros!$K$6+IF(ISNUMBER(N347),N347,0)*Parametros!$K$7+IF(ISNUMBER(O347),O347,0)*Parametros!$K$8)/Parametros!$B$2))</f>
        <v/>
      </c>
      <c r="Q347" t="str">
        <f>IF(F347="","",IF(COUNTIF(J347:O347,"D")&gt;0,"Desiste",IF(IFERROR(P347,0)&gt;=Parametros!$B$1,"Aprueba","No aprueba")))</f>
        <v/>
      </c>
      <c r="T347" t="str">
        <f>IF($Q347="Aprueba",COUNTIF($Q$2:$Q347,"Aprueba"),"")</f>
        <v/>
      </c>
    </row>
    <row r="348" spans="16:20" ht="14.25" customHeight="1">
      <c r="P348" t="str">
        <f>IF(F348="","",IF(COUNTIF(J348:O348,"D")&gt;0,"",(IF(ISNUMBER(J348),J348,0)*Parametros!$K$4+IF(ISNUMBER(K348),K348,0)*Parametros!$K$5+IF(ISNUMBER(M348),M348,0)*Parametros!$K$6+IF(ISNUMBER(N348),N348,0)*Parametros!$K$7+IF(ISNUMBER(O348),O348,0)*Parametros!$K$8)/Parametros!$B$2))</f>
        <v/>
      </c>
      <c r="Q348" t="str">
        <f>IF(F348="","",IF(COUNTIF(J348:O348,"D")&gt;0,"Desiste",IF(IFERROR(P348,0)&gt;=Parametros!$B$1,"Aprueba","No aprueba")))</f>
        <v/>
      </c>
      <c r="T348" t="str">
        <f>IF($Q348="Aprueba",COUNTIF($Q$2:$Q348,"Aprueba"),"")</f>
        <v/>
      </c>
    </row>
    <row r="349" spans="16:20" ht="14.25" customHeight="1">
      <c r="P349" t="str">
        <f>IF(F349="","",IF(COUNTIF(J349:O349,"D")&gt;0,"",(IF(ISNUMBER(J349),J349,0)*Parametros!$K$4+IF(ISNUMBER(K349),K349,0)*Parametros!$K$5+IF(ISNUMBER(M349),M349,0)*Parametros!$K$6+IF(ISNUMBER(N349),N349,0)*Parametros!$K$7+IF(ISNUMBER(O349),O349,0)*Parametros!$K$8)/Parametros!$B$2))</f>
        <v/>
      </c>
      <c r="Q349" t="str">
        <f>IF(F349="","",IF(COUNTIF(J349:O349,"D")&gt;0,"Desiste",IF(IFERROR(P349,0)&gt;=Parametros!$B$1,"Aprueba","No aprueba")))</f>
        <v/>
      </c>
      <c r="T349" t="str">
        <f>IF($Q349="Aprueba",COUNTIF($Q$2:$Q349,"Aprueba"),"")</f>
        <v/>
      </c>
    </row>
    <row r="350" spans="16:20" ht="14.25" customHeight="1">
      <c r="P350" t="str">
        <f>IF(F350="","",IF(COUNTIF(J350:O350,"D")&gt;0,"",(IF(ISNUMBER(J350),J350,0)*Parametros!$K$4+IF(ISNUMBER(K350),K350,0)*Parametros!$K$5+IF(ISNUMBER(M350),M350,0)*Parametros!$K$6+IF(ISNUMBER(N350),N350,0)*Parametros!$K$7+IF(ISNUMBER(O350),O350,0)*Parametros!$K$8)/Parametros!$B$2))</f>
        <v/>
      </c>
      <c r="Q350" t="str">
        <f>IF(F350="","",IF(COUNTIF(J350:O350,"D")&gt;0,"Desiste",IF(IFERROR(P350,0)&gt;=Parametros!$B$1,"Aprueba","No aprueba")))</f>
        <v/>
      </c>
      <c r="T350" t="str">
        <f>IF($Q350="Aprueba",COUNTIF($Q$2:$Q350,"Aprueba"),"")</f>
        <v/>
      </c>
    </row>
    <row r="351" spans="16:20" ht="14.25" customHeight="1">
      <c r="P351" t="str">
        <f>IF(F351="","",IF(COUNTIF(J351:O351,"D")&gt;0,"",(IF(ISNUMBER(J351),J351,0)*Parametros!$K$4+IF(ISNUMBER(K351),K351,0)*Parametros!$K$5+IF(ISNUMBER(M351),M351,0)*Parametros!$K$6+IF(ISNUMBER(N351),N351,0)*Parametros!$K$7+IF(ISNUMBER(O351),O351,0)*Parametros!$K$8)/Parametros!$B$2))</f>
        <v/>
      </c>
      <c r="Q351" t="str">
        <f>IF(F351="","",IF(COUNTIF(J351:O351,"D")&gt;0,"Desiste",IF(IFERROR(P351,0)&gt;=Parametros!$B$1,"Aprueba","No aprueba")))</f>
        <v/>
      </c>
      <c r="T351" t="str">
        <f>IF($Q351="Aprueba",COUNTIF($Q$2:$Q351,"Aprueba"),"")</f>
        <v/>
      </c>
    </row>
    <row r="352" spans="16:20" ht="14.25" customHeight="1">
      <c r="P352" t="str">
        <f>IF(F352="","",IF(COUNTIF(J352:O352,"D")&gt;0,"",(IF(ISNUMBER(J352),J352,0)*Parametros!$K$4+IF(ISNUMBER(K352),K352,0)*Parametros!$K$5+IF(ISNUMBER(M352),M352,0)*Parametros!$K$6+IF(ISNUMBER(N352),N352,0)*Parametros!$K$7+IF(ISNUMBER(O352),O352,0)*Parametros!$K$8)/Parametros!$B$2))</f>
        <v/>
      </c>
      <c r="Q352" t="str">
        <f>IF(F352="","",IF(COUNTIF(J352:O352,"D")&gt;0,"Desiste",IF(IFERROR(P352,0)&gt;=Parametros!$B$1,"Aprueba","No aprueba")))</f>
        <v/>
      </c>
      <c r="T352" t="str">
        <f>IF($Q352="Aprueba",COUNTIF($Q$2:$Q352,"Aprueba"),"")</f>
        <v/>
      </c>
    </row>
    <row r="353" spans="16:20" ht="14.25" customHeight="1">
      <c r="P353" t="str">
        <f>IF(F353="","",IF(COUNTIF(J353:O353,"D")&gt;0,"",(IF(ISNUMBER(J353),J353,0)*Parametros!$K$4+IF(ISNUMBER(K353),K353,0)*Parametros!$K$5+IF(ISNUMBER(M353),M353,0)*Parametros!$K$6+IF(ISNUMBER(N353),N353,0)*Parametros!$K$7+IF(ISNUMBER(O353),O353,0)*Parametros!$K$8)/Parametros!$B$2))</f>
        <v/>
      </c>
      <c r="Q353" t="str">
        <f>IF(F353="","",IF(COUNTIF(J353:O353,"D")&gt;0,"Desiste",IF(IFERROR(P353,0)&gt;=Parametros!$B$1,"Aprueba","No aprueba")))</f>
        <v/>
      </c>
      <c r="T353" t="str">
        <f>IF($Q353="Aprueba",COUNTIF($Q$2:$Q353,"Aprueba"),"")</f>
        <v/>
      </c>
    </row>
    <row r="354" spans="16:20" ht="14.25" customHeight="1">
      <c r="P354" t="str">
        <f>IF(F354="","",IF(COUNTIF(J354:O354,"D")&gt;0,"",(IF(ISNUMBER(J354),J354,0)*Parametros!$K$4+IF(ISNUMBER(K354),K354,0)*Parametros!$K$5+IF(ISNUMBER(M354),M354,0)*Parametros!$K$6+IF(ISNUMBER(N354),N354,0)*Parametros!$K$7+IF(ISNUMBER(O354),O354,0)*Parametros!$K$8)/Parametros!$B$2))</f>
        <v/>
      </c>
      <c r="Q354" t="str">
        <f>IF(F354="","",IF(COUNTIF(J354:O354,"D")&gt;0,"Desiste",IF(IFERROR(P354,0)&gt;=Parametros!$B$1,"Aprueba","No aprueba")))</f>
        <v/>
      </c>
      <c r="T354" t="str">
        <f>IF($Q354="Aprueba",COUNTIF($Q$2:$Q354,"Aprueba"),"")</f>
        <v/>
      </c>
    </row>
    <row r="355" spans="16:20" ht="14.25" customHeight="1">
      <c r="P355" t="str">
        <f>IF(F355="","",IF(COUNTIF(J355:O355,"D")&gt;0,"",(IF(ISNUMBER(J355),J355,0)*Parametros!$K$4+IF(ISNUMBER(K355),K355,0)*Parametros!$K$5+IF(ISNUMBER(M355),M355,0)*Parametros!$K$6+IF(ISNUMBER(N355),N355,0)*Parametros!$K$7+IF(ISNUMBER(O355),O355,0)*Parametros!$K$8)/Parametros!$B$2))</f>
        <v/>
      </c>
      <c r="Q355" t="str">
        <f>IF(F355="","",IF(COUNTIF(J355:O355,"D")&gt;0,"Desiste",IF(IFERROR(P355,0)&gt;=Parametros!$B$1,"Aprueba","No aprueba")))</f>
        <v/>
      </c>
      <c r="T355" t="str">
        <f>IF($Q355="Aprueba",COUNTIF($Q$2:$Q355,"Aprueba"),"")</f>
        <v/>
      </c>
    </row>
    <row r="356" spans="16:20" ht="14.25" customHeight="1">
      <c r="P356" t="str">
        <f>IF(F356="","",IF(COUNTIF(J356:O356,"D")&gt;0,"",(IF(ISNUMBER(J356),J356,0)*Parametros!$K$4+IF(ISNUMBER(K356),K356,0)*Parametros!$K$5+IF(ISNUMBER(M356),M356,0)*Parametros!$K$6+IF(ISNUMBER(N356),N356,0)*Parametros!$K$7+IF(ISNUMBER(O356),O356,0)*Parametros!$K$8)/Parametros!$B$2))</f>
        <v/>
      </c>
      <c r="Q356" t="str">
        <f>IF(F356="","",IF(COUNTIF(J356:O356,"D")&gt;0,"Desiste",IF(IFERROR(P356,0)&gt;=Parametros!$B$1,"Aprueba","No aprueba")))</f>
        <v/>
      </c>
      <c r="T356" t="str">
        <f>IF($Q356="Aprueba",COUNTIF($Q$2:$Q356,"Aprueba"),"")</f>
        <v/>
      </c>
    </row>
    <row r="357" spans="16:20" ht="14.25" customHeight="1">
      <c r="P357" t="str">
        <f>IF(F357="","",IF(COUNTIF(J357:O357,"D")&gt;0,"",(IF(ISNUMBER(J357),J357,0)*Parametros!$K$4+IF(ISNUMBER(K357),K357,0)*Parametros!$K$5+IF(ISNUMBER(M357),M357,0)*Parametros!$K$6+IF(ISNUMBER(N357),N357,0)*Parametros!$K$7+IF(ISNUMBER(O357),O357,0)*Parametros!$K$8)/Parametros!$B$2))</f>
        <v/>
      </c>
      <c r="Q357" t="str">
        <f>IF(F357="","",IF(COUNTIF(J357:O357,"D")&gt;0,"Desiste",IF(IFERROR(P357,0)&gt;=Parametros!$B$1,"Aprueba","No aprueba")))</f>
        <v/>
      </c>
      <c r="T357" t="str">
        <f>IF($Q357="Aprueba",COUNTIF($Q$2:$Q357,"Aprueba"),"")</f>
        <v/>
      </c>
    </row>
    <row r="358" spans="16:20" ht="14.25" customHeight="1">
      <c r="P358" t="str">
        <f>IF(F358="","",IF(COUNTIF(J358:O358,"D")&gt;0,"",(IF(ISNUMBER(J358),J358,0)*Parametros!$K$4+IF(ISNUMBER(K358),K358,0)*Parametros!$K$5+IF(ISNUMBER(M358),M358,0)*Parametros!$K$6+IF(ISNUMBER(N358),N358,0)*Parametros!$K$7+IF(ISNUMBER(O358),O358,0)*Parametros!$K$8)/Parametros!$B$2))</f>
        <v/>
      </c>
      <c r="Q358" t="str">
        <f>IF(F358="","",IF(COUNTIF(J358:O358,"D")&gt;0,"Desiste",IF(IFERROR(P358,0)&gt;=Parametros!$B$1,"Aprueba","No aprueba")))</f>
        <v/>
      </c>
      <c r="T358" t="str">
        <f>IF($Q358="Aprueba",COUNTIF($Q$2:$Q358,"Aprueba"),"")</f>
        <v/>
      </c>
    </row>
    <row r="359" spans="16:20" ht="14.25" customHeight="1">
      <c r="P359" t="str">
        <f>IF(F359="","",IF(COUNTIF(J359:O359,"D")&gt;0,"",(IF(ISNUMBER(J359),J359,0)*Parametros!$K$4+IF(ISNUMBER(K359),K359,0)*Parametros!$K$5+IF(ISNUMBER(M359),M359,0)*Parametros!$K$6+IF(ISNUMBER(N359),N359,0)*Parametros!$K$7+IF(ISNUMBER(O359),O359,0)*Parametros!$K$8)/Parametros!$B$2))</f>
        <v/>
      </c>
      <c r="Q359" t="str">
        <f>IF(F359="","",IF(COUNTIF(J359:O359,"D")&gt;0,"Desiste",IF(IFERROR(P359,0)&gt;=Parametros!$B$1,"Aprueba","No aprueba")))</f>
        <v/>
      </c>
      <c r="T359" t="str">
        <f>IF($Q359="Aprueba",COUNTIF($Q$2:$Q359,"Aprueba"),"")</f>
        <v/>
      </c>
    </row>
    <row r="360" spans="16:20" ht="14.25" customHeight="1">
      <c r="P360" t="str">
        <f>IF(F360="","",IF(COUNTIF(J360:O360,"D")&gt;0,"",(IF(ISNUMBER(J360),J360,0)*Parametros!$K$4+IF(ISNUMBER(K360),K360,0)*Parametros!$K$5+IF(ISNUMBER(M360),M360,0)*Parametros!$K$6+IF(ISNUMBER(N360),N360,0)*Parametros!$K$7+IF(ISNUMBER(O360),O360,0)*Parametros!$K$8)/Parametros!$B$2))</f>
        <v/>
      </c>
      <c r="Q360" t="str">
        <f>IF(F360="","",IF(COUNTIF(J360:O360,"D")&gt;0,"Desiste",IF(IFERROR(P360,0)&gt;=Parametros!$B$1,"Aprueba","No aprueba")))</f>
        <v/>
      </c>
      <c r="T360" t="str">
        <f>IF($Q360="Aprueba",COUNTIF($Q$2:$Q360,"Aprueba"),"")</f>
        <v/>
      </c>
    </row>
    <row r="361" spans="16:20" ht="14.25" customHeight="1">
      <c r="P361" t="str">
        <f>IF(F361="","",IF(COUNTIF(J361:O361,"D")&gt;0,"",(IF(ISNUMBER(J361),J361,0)*Parametros!$K$4+IF(ISNUMBER(K361),K361,0)*Parametros!$K$5+IF(ISNUMBER(M361),M361,0)*Parametros!$K$6+IF(ISNUMBER(N361),N361,0)*Parametros!$K$7+IF(ISNUMBER(O361),O361,0)*Parametros!$K$8)/Parametros!$B$2))</f>
        <v/>
      </c>
      <c r="Q361" t="str">
        <f>IF(F361="","",IF(COUNTIF(J361:O361,"D")&gt;0,"Desiste",IF(IFERROR(P361,0)&gt;=Parametros!$B$1,"Aprueba","No aprueba")))</f>
        <v/>
      </c>
      <c r="T361" t="str">
        <f>IF($Q361="Aprueba",COUNTIF($Q$2:$Q361,"Aprueba"),"")</f>
        <v/>
      </c>
    </row>
    <row r="362" spans="16:20" ht="14.25" customHeight="1">
      <c r="P362" t="str">
        <f>IF(F362="","",IF(COUNTIF(J362:O362,"D")&gt;0,"",(IF(ISNUMBER(J362),J362,0)*Parametros!$K$4+IF(ISNUMBER(K362),K362,0)*Parametros!$K$5+IF(ISNUMBER(M362),M362,0)*Parametros!$K$6+IF(ISNUMBER(N362),N362,0)*Parametros!$K$7+IF(ISNUMBER(O362),O362,0)*Parametros!$K$8)/Parametros!$B$2))</f>
        <v/>
      </c>
      <c r="Q362" t="str">
        <f>IF(F362="","",IF(COUNTIF(J362:O362,"D")&gt;0,"Desiste",IF(IFERROR(P362,0)&gt;=Parametros!$B$1,"Aprueba","No aprueba")))</f>
        <v/>
      </c>
      <c r="T362" t="str">
        <f>IF($Q362="Aprueba",COUNTIF($Q$2:$Q362,"Aprueba"),"")</f>
        <v/>
      </c>
    </row>
    <row r="363" spans="16:20" ht="14.25" customHeight="1">
      <c r="P363" t="str">
        <f>IF(F363="","",IF(COUNTIF(J363:O363,"D")&gt;0,"",(IF(ISNUMBER(J363),J363,0)*Parametros!$K$4+IF(ISNUMBER(K363),K363,0)*Parametros!$K$5+IF(ISNUMBER(M363),M363,0)*Parametros!$K$6+IF(ISNUMBER(N363),N363,0)*Parametros!$K$7+IF(ISNUMBER(O363),O363,0)*Parametros!$K$8)/Parametros!$B$2))</f>
        <v/>
      </c>
      <c r="Q363" t="str">
        <f>IF(F363="","",IF(COUNTIF(J363:O363,"D")&gt;0,"Desiste",IF(IFERROR(P363,0)&gt;=Parametros!$B$1,"Aprueba","No aprueba")))</f>
        <v/>
      </c>
      <c r="T363" t="str">
        <f>IF($Q363="Aprueba",COUNTIF($Q$2:$Q363,"Aprueba"),"")</f>
        <v/>
      </c>
    </row>
    <row r="364" spans="16:20" ht="14.25" customHeight="1">
      <c r="P364" t="str">
        <f>IF(F364="","",IF(COUNTIF(J364:O364,"D")&gt;0,"",(IF(ISNUMBER(J364),J364,0)*Parametros!$K$4+IF(ISNUMBER(K364),K364,0)*Parametros!$K$5+IF(ISNUMBER(M364),M364,0)*Parametros!$K$6+IF(ISNUMBER(N364),N364,0)*Parametros!$K$7+IF(ISNUMBER(O364),O364,0)*Parametros!$K$8)/Parametros!$B$2))</f>
        <v/>
      </c>
      <c r="Q364" t="str">
        <f>IF(F364="","",IF(COUNTIF(J364:O364,"D")&gt;0,"Desiste",IF(IFERROR(P364,0)&gt;=Parametros!$B$1,"Aprueba","No aprueba")))</f>
        <v/>
      </c>
      <c r="T364" t="str">
        <f>IF($Q364="Aprueba",COUNTIF($Q$2:$Q364,"Aprueba"),"")</f>
        <v/>
      </c>
    </row>
    <row r="365" spans="16:20" ht="14.25" customHeight="1">
      <c r="P365" t="str">
        <f>IF(F365="","",IF(COUNTIF(J365:O365,"D")&gt;0,"",(IF(ISNUMBER(J365),J365,0)*Parametros!$K$4+IF(ISNUMBER(K365),K365,0)*Parametros!$K$5+IF(ISNUMBER(M365),M365,0)*Parametros!$K$6+IF(ISNUMBER(N365),N365,0)*Parametros!$K$7+IF(ISNUMBER(O365),O365,0)*Parametros!$K$8)/Parametros!$B$2))</f>
        <v/>
      </c>
      <c r="Q365" t="str">
        <f>IF(F365="","",IF(COUNTIF(J365:O365,"D")&gt;0,"Desiste",IF(IFERROR(P365,0)&gt;=Parametros!$B$1,"Aprueba","No aprueba")))</f>
        <v/>
      </c>
      <c r="T365" t="str">
        <f>IF($Q365="Aprueba",COUNTIF($Q$2:$Q365,"Aprueba"),"")</f>
        <v/>
      </c>
    </row>
    <row r="366" spans="16:20" ht="14.25" customHeight="1">
      <c r="P366" t="str">
        <f>IF(F366="","",IF(COUNTIF(J366:O366,"D")&gt;0,"",(IF(ISNUMBER(J366),J366,0)*Parametros!$K$4+IF(ISNUMBER(K366),K366,0)*Parametros!$K$5+IF(ISNUMBER(M366),M366,0)*Parametros!$K$6+IF(ISNUMBER(N366),N366,0)*Parametros!$K$7+IF(ISNUMBER(O366),O366,0)*Parametros!$K$8)/Parametros!$B$2))</f>
        <v/>
      </c>
      <c r="Q366" t="str">
        <f>IF(F366="","",IF(COUNTIF(J366:O366,"D")&gt;0,"Desiste",IF(IFERROR(P366,0)&gt;=Parametros!$B$1,"Aprueba","No aprueba")))</f>
        <v/>
      </c>
      <c r="T366" t="str">
        <f>IF($Q366="Aprueba",COUNTIF($Q$2:$Q366,"Aprueba"),"")</f>
        <v/>
      </c>
    </row>
    <row r="367" spans="16:20" ht="14.25" customHeight="1">
      <c r="P367" t="str">
        <f>IF(F367="","",IF(COUNTIF(J367:O367,"D")&gt;0,"",(IF(ISNUMBER(J367),J367,0)*Parametros!$K$4+IF(ISNUMBER(K367),K367,0)*Parametros!$K$5+IF(ISNUMBER(M367),M367,0)*Parametros!$K$6+IF(ISNUMBER(N367),N367,0)*Parametros!$K$7+IF(ISNUMBER(O367),O367,0)*Parametros!$K$8)/Parametros!$B$2))</f>
        <v/>
      </c>
      <c r="Q367" t="str">
        <f>IF(F367="","",IF(COUNTIF(J367:O367,"D")&gt;0,"Desiste",IF(IFERROR(P367,0)&gt;=Parametros!$B$1,"Aprueba","No aprueba")))</f>
        <v/>
      </c>
      <c r="T367" t="str">
        <f>IF($Q367="Aprueba",COUNTIF($Q$2:$Q367,"Aprueba"),"")</f>
        <v/>
      </c>
    </row>
    <row r="368" spans="16:20" ht="14.25" customHeight="1">
      <c r="P368" t="str">
        <f>IF(F368="","",IF(COUNTIF(J368:O368,"D")&gt;0,"",(IF(ISNUMBER(J368),J368,0)*Parametros!$K$4+IF(ISNUMBER(K368),K368,0)*Parametros!$K$5+IF(ISNUMBER(M368),M368,0)*Parametros!$K$6+IF(ISNUMBER(N368),N368,0)*Parametros!$K$7+IF(ISNUMBER(O368),O368,0)*Parametros!$K$8)/Parametros!$B$2))</f>
        <v/>
      </c>
      <c r="Q368" t="str">
        <f>IF(F368="","",IF(COUNTIF(J368:O368,"D")&gt;0,"Desiste",IF(IFERROR(P368,0)&gt;=Parametros!$B$1,"Aprueba","No aprueba")))</f>
        <v/>
      </c>
      <c r="T368" t="str">
        <f>IF($Q368="Aprueba",COUNTIF($Q$2:$Q368,"Aprueba"),"")</f>
        <v/>
      </c>
    </row>
    <row r="369" spans="16:20" ht="14.25" customHeight="1">
      <c r="P369" t="str">
        <f>IF(F369="","",IF(COUNTIF(J369:O369,"D")&gt;0,"",(IF(ISNUMBER(J369),J369,0)*Parametros!$K$4+IF(ISNUMBER(K369),K369,0)*Parametros!$K$5+IF(ISNUMBER(M369),M369,0)*Parametros!$K$6+IF(ISNUMBER(N369),N369,0)*Parametros!$K$7+IF(ISNUMBER(O369),O369,0)*Parametros!$K$8)/Parametros!$B$2))</f>
        <v/>
      </c>
      <c r="Q369" t="str">
        <f>IF(F369="","",IF(COUNTIF(J369:O369,"D")&gt;0,"Desiste",IF(IFERROR(P369,0)&gt;=Parametros!$B$1,"Aprueba","No aprueba")))</f>
        <v/>
      </c>
      <c r="T369" t="str">
        <f>IF($Q369="Aprueba",COUNTIF($Q$2:$Q369,"Aprueba"),"")</f>
        <v/>
      </c>
    </row>
    <row r="370" spans="16:20" ht="14.25" customHeight="1">
      <c r="P370" t="str">
        <f>IF(F370="","",IF(COUNTIF(J370:O370,"D")&gt;0,"",(IF(ISNUMBER(J370),J370,0)*Parametros!$K$4+IF(ISNUMBER(K370),K370,0)*Parametros!$K$5+IF(ISNUMBER(M370),M370,0)*Parametros!$K$6+IF(ISNUMBER(N370),N370,0)*Parametros!$K$7+IF(ISNUMBER(O370),O370,0)*Parametros!$K$8)/Parametros!$B$2))</f>
        <v/>
      </c>
      <c r="Q370" t="str">
        <f>IF(F370="","",IF(COUNTIF(J370:O370,"D")&gt;0,"Desiste",IF(IFERROR(P370,0)&gt;=Parametros!$B$1,"Aprueba","No aprueba")))</f>
        <v/>
      </c>
      <c r="T370" t="str">
        <f>IF($Q370="Aprueba",COUNTIF($Q$2:$Q370,"Aprueba"),"")</f>
        <v/>
      </c>
    </row>
    <row r="371" spans="16:20" ht="14.25" customHeight="1">
      <c r="P371" t="str">
        <f>IF(F371="","",IF(COUNTIF(J371:O371,"D")&gt;0,"",(IF(ISNUMBER(J371),J371,0)*Parametros!$K$4+IF(ISNUMBER(K371),K371,0)*Parametros!$K$5+IF(ISNUMBER(M371),M371,0)*Parametros!$K$6+IF(ISNUMBER(N371),N371,0)*Parametros!$K$7+IF(ISNUMBER(O371),O371,0)*Parametros!$K$8)/Parametros!$B$2))</f>
        <v/>
      </c>
      <c r="Q371" t="str">
        <f>IF(F371="","",IF(COUNTIF(J371:O371,"D")&gt;0,"Desiste",IF(IFERROR(P371,0)&gt;=Parametros!$B$1,"Aprueba","No aprueba")))</f>
        <v/>
      </c>
      <c r="T371" t="str">
        <f>IF($Q371="Aprueba",COUNTIF($Q$2:$Q371,"Aprueba"),"")</f>
        <v/>
      </c>
    </row>
    <row r="372" spans="16:20" ht="14.25" customHeight="1">
      <c r="P372" t="str">
        <f>IF(F372="","",IF(COUNTIF(J372:O372,"D")&gt;0,"",(IF(ISNUMBER(J372),J372,0)*Parametros!$K$4+IF(ISNUMBER(K372),K372,0)*Parametros!$K$5+IF(ISNUMBER(M372),M372,0)*Parametros!$K$6+IF(ISNUMBER(N372),N372,0)*Parametros!$K$7+IF(ISNUMBER(O372),O372,0)*Parametros!$K$8)/Parametros!$B$2))</f>
        <v/>
      </c>
      <c r="Q372" t="str">
        <f>IF(F372="","",IF(COUNTIF(J372:O372,"D")&gt;0,"Desiste",IF(IFERROR(P372,0)&gt;=Parametros!$B$1,"Aprueba","No aprueba")))</f>
        <v/>
      </c>
      <c r="T372" t="str">
        <f>IF($Q372="Aprueba",COUNTIF($Q$2:$Q372,"Aprueba"),"")</f>
        <v/>
      </c>
    </row>
    <row r="373" spans="16:20" ht="14.25" customHeight="1">
      <c r="P373" t="str">
        <f>IF(F373="","",IF(COUNTIF(J373:O373,"D")&gt;0,"",(IF(ISNUMBER(J373),J373,0)*Parametros!$K$4+IF(ISNUMBER(K373),K373,0)*Parametros!$K$5+IF(ISNUMBER(M373),M373,0)*Parametros!$K$6+IF(ISNUMBER(N373),N373,0)*Parametros!$K$7+IF(ISNUMBER(O373),O373,0)*Parametros!$K$8)/Parametros!$B$2))</f>
        <v/>
      </c>
      <c r="Q373" t="str">
        <f>IF(F373="","",IF(COUNTIF(J373:O373,"D")&gt;0,"Desiste",IF(IFERROR(P373,0)&gt;=Parametros!$B$1,"Aprueba","No aprueba")))</f>
        <v/>
      </c>
      <c r="T373" t="str">
        <f>IF($Q373="Aprueba",COUNTIF($Q$2:$Q373,"Aprueba"),"")</f>
        <v/>
      </c>
    </row>
    <row r="374" spans="16:20" ht="14.25" customHeight="1">
      <c r="P374" t="str">
        <f>IF(F374="","",IF(COUNTIF(J374:O374,"D")&gt;0,"",(IF(ISNUMBER(J374),J374,0)*Parametros!$K$4+IF(ISNUMBER(K374),K374,0)*Parametros!$K$5+IF(ISNUMBER(M374),M374,0)*Parametros!$K$6+IF(ISNUMBER(N374),N374,0)*Parametros!$K$7+IF(ISNUMBER(O374),O374,0)*Parametros!$K$8)/Parametros!$B$2))</f>
        <v/>
      </c>
      <c r="Q374" t="str">
        <f>IF(F374="","",IF(COUNTIF(J374:O374,"D")&gt;0,"Desiste",IF(IFERROR(P374,0)&gt;=Parametros!$B$1,"Aprueba","No aprueba")))</f>
        <v/>
      </c>
      <c r="T374" t="str">
        <f>IF($Q374="Aprueba",COUNTIF($Q$2:$Q374,"Aprueba"),"")</f>
        <v/>
      </c>
    </row>
    <row r="375" spans="16:20" ht="14.25" customHeight="1">
      <c r="P375" t="str">
        <f>IF(F375="","",IF(COUNTIF(J375:O375,"D")&gt;0,"",(IF(ISNUMBER(J375),J375,0)*Parametros!$K$4+IF(ISNUMBER(K375),K375,0)*Parametros!$K$5+IF(ISNUMBER(M375),M375,0)*Parametros!$K$6+IF(ISNUMBER(N375),N375,0)*Parametros!$K$7+IF(ISNUMBER(O375),O375,0)*Parametros!$K$8)/Parametros!$B$2))</f>
        <v/>
      </c>
      <c r="Q375" t="str">
        <f>IF(F375="","",IF(COUNTIF(J375:O375,"D")&gt;0,"Desiste",IF(IFERROR(P375,0)&gt;=Parametros!$B$1,"Aprueba","No aprueba")))</f>
        <v/>
      </c>
      <c r="T375" t="str">
        <f>IF($Q375="Aprueba",COUNTIF($Q$2:$Q375,"Aprueba"),"")</f>
        <v/>
      </c>
    </row>
    <row r="376" spans="16:20" ht="14.25" customHeight="1">
      <c r="P376" t="str">
        <f>IF(F376="","",IF(COUNTIF(J376:O376,"D")&gt;0,"",(IF(ISNUMBER(J376),J376,0)*Parametros!$K$4+IF(ISNUMBER(K376),K376,0)*Parametros!$K$5+IF(ISNUMBER(M376),M376,0)*Parametros!$K$6+IF(ISNUMBER(N376),N376,0)*Parametros!$K$7+IF(ISNUMBER(O376),O376,0)*Parametros!$K$8)/Parametros!$B$2))</f>
        <v/>
      </c>
      <c r="Q376" t="str">
        <f>IF(F376="","",IF(COUNTIF(J376:O376,"D")&gt;0,"Desiste",IF(IFERROR(P376,0)&gt;=Parametros!$B$1,"Aprueba","No aprueba")))</f>
        <v/>
      </c>
      <c r="T376" t="str">
        <f>IF($Q376="Aprueba",COUNTIF($Q$2:$Q376,"Aprueba"),"")</f>
        <v/>
      </c>
    </row>
    <row r="377" spans="16:20" ht="14.25" customHeight="1">
      <c r="P377" t="str">
        <f>IF(F377="","",IF(COUNTIF(J377:O377,"D")&gt;0,"",(IF(ISNUMBER(J377),J377,0)*Parametros!$K$4+IF(ISNUMBER(K377),K377,0)*Parametros!$K$5+IF(ISNUMBER(M377),M377,0)*Parametros!$K$6+IF(ISNUMBER(N377),N377,0)*Parametros!$K$7+IF(ISNUMBER(O377),O377,0)*Parametros!$K$8)/Parametros!$B$2))</f>
        <v/>
      </c>
      <c r="Q377" t="str">
        <f>IF(F377="","",IF(COUNTIF(J377:O377,"D")&gt;0,"Desiste",IF(IFERROR(P377,0)&gt;=Parametros!$B$1,"Aprueba","No aprueba")))</f>
        <v/>
      </c>
      <c r="T377" t="str">
        <f>IF($Q377="Aprueba",COUNTIF($Q$2:$Q377,"Aprueba"),"")</f>
        <v/>
      </c>
    </row>
    <row r="378" spans="16:20" ht="14.25" customHeight="1">
      <c r="P378" t="str">
        <f>IF(F378="","",IF(COUNTIF(J378:O378,"D")&gt;0,"",(IF(ISNUMBER(J378),J378,0)*Parametros!$K$4+IF(ISNUMBER(K378),K378,0)*Parametros!$K$5+IF(ISNUMBER(M378),M378,0)*Parametros!$K$6+IF(ISNUMBER(N378),N378,0)*Parametros!$K$7+IF(ISNUMBER(O378),O378,0)*Parametros!$K$8)/Parametros!$B$2))</f>
        <v/>
      </c>
      <c r="Q378" t="str">
        <f>IF(F378="","",IF(COUNTIF(J378:O378,"D")&gt;0,"Desiste",IF(IFERROR(P378,0)&gt;=Parametros!$B$1,"Aprueba","No aprueba")))</f>
        <v/>
      </c>
      <c r="T378" t="str">
        <f>IF($Q378="Aprueba",COUNTIF($Q$2:$Q378,"Aprueba"),"")</f>
        <v/>
      </c>
    </row>
    <row r="379" spans="16:20" ht="14.25" customHeight="1">
      <c r="P379" t="str">
        <f>IF(F379="","",IF(COUNTIF(J379:O379,"D")&gt;0,"",(IF(ISNUMBER(J379),J379,0)*Parametros!$K$4+IF(ISNUMBER(K379),K379,0)*Parametros!$K$5+IF(ISNUMBER(M379),M379,0)*Parametros!$K$6+IF(ISNUMBER(N379),N379,0)*Parametros!$K$7+IF(ISNUMBER(O379),O379,0)*Parametros!$K$8)/Parametros!$B$2))</f>
        <v/>
      </c>
      <c r="Q379" t="str">
        <f>IF(F379="","",IF(COUNTIF(J379:O379,"D")&gt;0,"Desiste",IF(IFERROR(P379,0)&gt;=Parametros!$B$1,"Aprueba","No aprueba")))</f>
        <v/>
      </c>
      <c r="T379" t="str">
        <f>IF($Q379="Aprueba",COUNTIF($Q$2:$Q379,"Aprueba"),"")</f>
        <v/>
      </c>
    </row>
    <row r="380" spans="16:20" ht="14.25" customHeight="1">
      <c r="P380" t="str">
        <f>IF(F380="","",IF(COUNTIF(J380:O380,"D")&gt;0,"",(IF(ISNUMBER(J380),J380,0)*Parametros!$K$4+IF(ISNUMBER(K380),K380,0)*Parametros!$K$5+IF(ISNUMBER(M380),M380,0)*Parametros!$K$6+IF(ISNUMBER(N380),N380,0)*Parametros!$K$7+IF(ISNUMBER(O380),O380,0)*Parametros!$K$8)/Parametros!$B$2))</f>
        <v/>
      </c>
      <c r="Q380" t="str">
        <f>IF(F380="","",IF(COUNTIF(J380:O380,"D")&gt;0,"Desiste",IF(IFERROR(P380,0)&gt;=Parametros!$B$1,"Aprueba","No aprueba")))</f>
        <v/>
      </c>
      <c r="T380" t="str">
        <f>IF($Q380="Aprueba",COUNTIF($Q$2:$Q380,"Aprueba"),"")</f>
        <v/>
      </c>
    </row>
    <row r="381" spans="16:20" ht="14.25" customHeight="1">
      <c r="P381" t="str">
        <f>IF(F381="","",IF(COUNTIF(J381:O381,"D")&gt;0,"",(IF(ISNUMBER(J381),J381,0)*Parametros!$K$4+IF(ISNUMBER(K381),K381,0)*Parametros!$K$5+IF(ISNUMBER(M381),M381,0)*Parametros!$K$6+IF(ISNUMBER(N381),N381,0)*Parametros!$K$7+IF(ISNUMBER(O381),O381,0)*Parametros!$K$8)/Parametros!$B$2))</f>
        <v/>
      </c>
      <c r="Q381" t="str">
        <f>IF(F381="","",IF(COUNTIF(J381:O381,"D")&gt;0,"Desiste",IF(IFERROR(P381,0)&gt;=Parametros!$B$1,"Aprueba","No aprueba")))</f>
        <v/>
      </c>
      <c r="T381" t="str">
        <f>IF($Q381="Aprueba",COUNTIF($Q$2:$Q381,"Aprueba"),"")</f>
        <v/>
      </c>
    </row>
    <row r="382" spans="16:20" ht="14.25" customHeight="1">
      <c r="P382" t="str">
        <f>IF(F382="","",IF(COUNTIF(J382:O382,"D")&gt;0,"",(IF(ISNUMBER(J382),J382,0)*Parametros!$K$4+IF(ISNUMBER(K382),K382,0)*Parametros!$K$5+IF(ISNUMBER(M382),M382,0)*Parametros!$K$6+IF(ISNUMBER(N382),N382,0)*Parametros!$K$7+IF(ISNUMBER(O382),O382,0)*Parametros!$K$8)/Parametros!$B$2))</f>
        <v/>
      </c>
      <c r="Q382" t="str">
        <f>IF(F382="","",IF(COUNTIF(J382:O382,"D")&gt;0,"Desiste",IF(IFERROR(P382,0)&gt;=Parametros!$B$1,"Aprueba","No aprueba")))</f>
        <v/>
      </c>
      <c r="T382" t="str">
        <f>IF($Q382="Aprueba",COUNTIF($Q$2:$Q382,"Aprueba"),"")</f>
        <v/>
      </c>
    </row>
    <row r="383" spans="16:20" ht="14.25" customHeight="1">
      <c r="P383" t="str">
        <f>IF(F383="","",IF(COUNTIF(J383:O383,"D")&gt;0,"",(IF(ISNUMBER(J383),J383,0)*Parametros!$K$4+IF(ISNUMBER(K383),K383,0)*Parametros!$K$5+IF(ISNUMBER(M383),M383,0)*Parametros!$K$6+IF(ISNUMBER(N383),N383,0)*Parametros!$K$7+IF(ISNUMBER(O383),O383,0)*Parametros!$K$8)/Parametros!$B$2))</f>
        <v/>
      </c>
      <c r="Q383" t="str">
        <f>IF(F383="","",IF(COUNTIF(J383:O383,"D")&gt;0,"Desiste",IF(IFERROR(P383,0)&gt;=Parametros!$B$1,"Aprueba","No aprueba")))</f>
        <v/>
      </c>
      <c r="T383" t="str">
        <f>IF($Q383="Aprueba",COUNTIF($Q$2:$Q383,"Aprueba"),"")</f>
        <v/>
      </c>
    </row>
    <row r="384" spans="16:20" ht="14.25" customHeight="1">
      <c r="P384" t="str">
        <f>IF(F384="","",IF(COUNTIF(J384:O384,"D")&gt;0,"",(IF(ISNUMBER(J384),J384,0)*Parametros!$K$4+IF(ISNUMBER(K384),K384,0)*Parametros!$K$5+IF(ISNUMBER(M384),M384,0)*Parametros!$K$6+IF(ISNUMBER(N384),N384,0)*Parametros!$K$7+IF(ISNUMBER(O384),O384,0)*Parametros!$K$8)/Parametros!$B$2))</f>
        <v/>
      </c>
      <c r="Q384" t="str">
        <f>IF(F384="","",IF(COUNTIF(J384:O384,"D")&gt;0,"Desiste",IF(IFERROR(P384,0)&gt;=Parametros!$B$1,"Aprueba","No aprueba")))</f>
        <v/>
      </c>
      <c r="T384" t="str">
        <f>IF($Q384="Aprueba",COUNTIF($Q$2:$Q384,"Aprueba"),"")</f>
        <v/>
      </c>
    </row>
    <row r="385" spans="16:20" ht="14.25" customHeight="1">
      <c r="P385" t="str">
        <f>IF(F385="","",IF(COUNTIF(J385:O385,"D")&gt;0,"",(IF(ISNUMBER(J385),J385,0)*Parametros!$K$4+IF(ISNUMBER(K385),K385,0)*Parametros!$K$5+IF(ISNUMBER(M385),M385,0)*Parametros!$K$6+IF(ISNUMBER(N385),N385,0)*Parametros!$K$7+IF(ISNUMBER(O385),O385,0)*Parametros!$K$8)/Parametros!$B$2))</f>
        <v/>
      </c>
      <c r="Q385" t="str">
        <f>IF(F385="","",IF(COUNTIF(J385:O385,"D")&gt;0,"Desiste",IF(IFERROR(P385,0)&gt;=Parametros!$B$1,"Aprueba","No aprueba")))</f>
        <v/>
      </c>
      <c r="T385" t="str">
        <f>IF($Q385="Aprueba",COUNTIF($Q$2:$Q385,"Aprueba"),"")</f>
        <v/>
      </c>
    </row>
    <row r="386" spans="16:20" ht="14.25" customHeight="1">
      <c r="P386" t="str">
        <f>IF(F386="","",IF(COUNTIF(J386:O386,"D")&gt;0,"",(IF(ISNUMBER(J386),J386,0)*Parametros!$K$4+IF(ISNUMBER(K386),K386,0)*Parametros!$K$5+IF(ISNUMBER(M386),M386,0)*Parametros!$K$6+IF(ISNUMBER(N386),N386,0)*Parametros!$K$7+IF(ISNUMBER(O386),O386,0)*Parametros!$K$8)/Parametros!$B$2))</f>
        <v/>
      </c>
      <c r="Q386" t="str">
        <f>IF(F386="","",IF(COUNTIF(J386:O386,"D")&gt;0,"Desiste",IF(IFERROR(P386,0)&gt;=Parametros!$B$1,"Aprueba","No aprueba")))</f>
        <v/>
      </c>
      <c r="T386" t="str">
        <f>IF($Q386="Aprueba",COUNTIF($Q$2:$Q386,"Aprueba"),"")</f>
        <v/>
      </c>
    </row>
    <row r="387" spans="16:20" ht="14.25" customHeight="1">
      <c r="P387" t="str">
        <f>IF(F387="","",IF(COUNTIF(J387:O387,"D")&gt;0,"",(IF(ISNUMBER(J387),J387,0)*Parametros!$K$4+IF(ISNUMBER(K387),K387,0)*Parametros!$K$5+IF(ISNUMBER(M387),M387,0)*Parametros!$K$6+IF(ISNUMBER(N387),N387,0)*Parametros!$K$7+IF(ISNUMBER(O387),O387,0)*Parametros!$K$8)/Parametros!$B$2))</f>
        <v/>
      </c>
      <c r="Q387" t="str">
        <f>IF(F387="","",IF(COUNTIF(J387:O387,"D")&gt;0,"Desiste",IF(IFERROR(P387,0)&gt;=Parametros!$B$1,"Aprueba","No aprueba")))</f>
        <v/>
      </c>
      <c r="T387" t="str">
        <f>IF($Q387="Aprueba",COUNTIF($Q$2:$Q387,"Aprueba"),"")</f>
        <v/>
      </c>
    </row>
    <row r="388" spans="16:20" ht="14.25" customHeight="1">
      <c r="P388" t="str">
        <f>IF(F388="","",IF(COUNTIF(J388:O388,"D")&gt;0,"",(IF(ISNUMBER(J388),J388,0)*Parametros!$K$4+IF(ISNUMBER(K388),K388,0)*Parametros!$K$5+IF(ISNUMBER(M388),M388,0)*Parametros!$K$6+IF(ISNUMBER(N388),N388,0)*Parametros!$K$7+IF(ISNUMBER(O388),O388,0)*Parametros!$K$8)/Parametros!$B$2))</f>
        <v/>
      </c>
      <c r="Q388" t="str">
        <f>IF(F388="","",IF(COUNTIF(J388:O388,"D")&gt;0,"Desiste",IF(IFERROR(P388,0)&gt;=Parametros!$B$1,"Aprueba","No aprueba")))</f>
        <v/>
      </c>
      <c r="T388" t="str">
        <f>IF($Q388="Aprueba",COUNTIF($Q$2:$Q388,"Aprueba"),"")</f>
        <v/>
      </c>
    </row>
    <row r="389" spans="16:20" ht="14.25" customHeight="1">
      <c r="P389" t="str">
        <f>IF(F389="","",IF(COUNTIF(J389:O389,"D")&gt;0,"",(IF(ISNUMBER(J389),J389,0)*Parametros!$K$4+IF(ISNUMBER(K389),K389,0)*Parametros!$K$5+IF(ISNUMBER(M389),M389,0)*Parametros!$K$6+IF(ISNUMBER(N389),N389,0)*Parametros!$K$7+IF(ISNUMBER(O389),O389,0)*Parametros!$K$8)/Parametros!$B$2))</f>
        <v/>
      </c>
      <c r="Q389" t="str">
        <f>IF(F389="","",IF(COUNTIF(J389:O389,"D")&gt;0,"Desiste",IF(IFERROR(P389,0)&gt;=Parametros!$B$1,"Aprueba","No aprueba")))</f>
        <v/>
      </c>
      <c r="T389" t="str">
        <f>IF($Q389="Aprueba",COUNTIF($Q$2:$Q389,"Aprueba"),"")</f>
        <v/>
      </c>
    </row>
    <row r="390" spans="16:20" ht="14.25" customHeight="1">
      <c r="P390" t="str">
        <f>IF(F390="","",IF(COUNTIF(J390:O390,"D")&gt;0,"",(IF(ISNUMBER(J390),J390,0)*Parametros!$K$4+IF(ISNUMBER(K390),K390,0)*Parametros!$K$5+IF(ISNUMBER(M390),M390,0)*Parametros!$K$6+IF(ISNUMBER(N390),N390,0)*Parametros!$K$7+IF(ISNUMBER(O390),O390,0)*Parametros!$K$8)/Parametros!$B$2))</f>
        <v/>
      </c>
      <c r="Q390" t="str">
        <f>IF(F390="","",IF(COUNTIF(J390:O390,"D")&gt;0,"Desiste",IF(IFERROR(P390,0)&gt;=Parametros!$B$1,"Aprueba","No aprueba")))</f>
        <v/>
      </c>
      <c r="T390" t="str">
        <f>IF($Q390="Aprueba",COUNTIF($Q$2:$Q390,"Aprueba"),"")</f>
        <v/>
      </c>
    </row>
    <row r="391" spans="16:20" ht="14.25" customHeight="1">
      <c r="P391" t="str">
        <f>IF(F391="","",IF(COUNTIF(J391:O391,"D")&gt;0,"",(IF(ISNUMBER(J391),J391,0)*Parametros!$K$4+IF(ISNUMBER(K391),K391,0)*Parametros!$K$5+IF(ISNUMBER(M391),M391,0)*Parametros!$K$6+IF(ISNUMBER(N391),N391,0)*Parametros!$K$7+IF(ISNUMBER(O391),O391,0)*Parametros!$K$8)/Parametros!$B$2))</f>
        <v/>
      </c>
      <c r="Q391" t="str">
        <f>IF(F391="","",IF(COUNTIF(J391:O391,"D")&gt;0,"Desiste",IF(IFERROR(P391,0)&gt;=Parametros!$B$1,"Aprueba","No aprueba")))</f>
        <v/>
      </c>
      <c r="T391" t="str">
        <f>IF($Q391="Aprueba",COUNTIF($Q$2:$Q391,"Aprueba"),"")</f>
        <v/>
      </c>
    </row>
    <row r="392" spans="16:20" ht="14.25" customHeight="1">
      <c r="P392" t="str">
        <f>IF(F392="","",IF(COUNTIF(J392:O392,"D")&gt;0,"",(IF(ISNUMBER(J392),J392,0)*Parametros!$K$4+IF(ISNUMBER(K392),K392,0)*Parametros!$K$5+IF(ISNUMBER(M392),M392,0)*Parametros!$K$6+IF(ISNUMBER(N392),N392,0)*Parametros!$K$7+IF(ISNUMBER(O392),O392,0)*Parametros!$K$8)/Parametros!$B$2))</f>
        <v/>
      </c>
      <c r="Q392" t="str">
        <f>IF(F392="","",IF(COUNTIF(J392:O392,"D")&gt;0,"Desiste",IF(IFERROR(P392,0)&gt;=Parametros!$B$1,"Aprueba","No aprueba")))</f>
        <v/>
      </c>
      <c r="T392" t="str">
        <f>IF($Q392="Aprueba",COUNTIF($Q$2:$Q392,"Aprueba"),"")</f>
        <v/>
      </c>
    </row>
    <row r="393" spans="16:20" ht="14.25" customHeight="1">
      <c r="P393" t="str">
        <f>IF(F393="","",IF(COUNTIF(J393:O393,"D")&gt;0,"",(IF(ISNUMBER(J393),J393,0)*Parametros!$K$4+IF(ISNUMBER(K393),K393,0)*Parametros!$K$5+IF(ISNUMBER(M393),M393,0)*Parametros!$K$6+IF(ISNUMBER(N393),N393,0)*Parametros!$K$7+IF(ISNUMBER(O393),O393,0)*Parametros!$K$8)/Parametros!$B$2))</f>
        <v/>
      </c>
      <c r="Q393" t="str">
        <f>IF(F393="","",IF(COUNTIF(J393:O393,"D")&gt;0,"Desiste",IF(IFERROR(P393,0)&gt;=Parametros!$B$1,"Aprueba","No aprueba")))</f>
        <v/>
      </c>
      <c r="T393" t="str">
        <f>IF($Q393="Aprueba",COUNTIF($Q$2:$Q393,"Aprueba"),"")</f>
        <v/>
      </c>
    </row>
    <row r="394" spans="16:20" ht="14.25" customHeight="1">
      <c r="P394" t="str">
        <f>IF(F394="","",IF(COUNTIF(J394:O394,"D")&gt;0,"",(IF(ISNUMBER(J394),J394,0)*Parametros!$K$4+IF(ISNUMBER(K394),K394,0)*Parametros!$K$5+IF(ISNUMBER(M394),M394,0)*Parametros!$K$6+IF(ISNUMBER(N394),N394,0)*Parametros!$K$7+IF(ISNUMBER(O394),O394,0)*Parametros!$K$8)/Parametros!$B$2))</f>
        <v/>
      </c>
      <c r="Q394" t="str">
        <f>IF(F394="","",IF(COUNTIF(J394:O394,"D")&gt;0,"Desiste",IF(IFERROR(P394,0)&gt;=Parametros!$B$1,"Aprueba","No aprueba")))</f>
        <v/>
      </c>
      <c r="T394" t="str">
        <f>IF($Q394="Aprueba",COUNTIF($Q$2:$Q394,"Aprueba"),"")</f>
        <v/>
      </c>
    </row>
    <row r="395" spans="16:20" ht="14.25" customHeight="1">
      <c r="P395" t="str">
        <f>IF(F395="","",IF(COUNTIF(J395:O395,"D")&gt;0,"",(IF(ISNUMBER(J395),J395,0)*Parametros!$K$4+IF(ISNUMBER(K395),K395,0)*Parametros!$K$5+IF(ISNUMBER(M395),M395,0)*Parametros!$K$6+IF(ISNUMBER(N395),N395,0)*Parametros!$K$7+IF(ISNUMBER(O395),O395,0)*Parametros!$K$8)/Parametros!$B$2))</f>
        <v/>
      </c>
      <c r="Q395" t="str">
        <f>IF(F395="","",IF(COUNTIF(J395:O395,"D")&gt;0,"Desiste",IF(IFERROR(P395,0)&gt;=Parametros!$B$1,"Aprueba","No aprueba")))</f>
        <v/>
      </c>
      <c r="T395" t="str">
        <f>IF($Q395="Aprueba",COUNTIF($Q$2:$Q395,"Aprueba"),"")</f>
        <v/>
      </c>
    </row>
    <row r="396" spans="16:20" ht="14.25" customHeight="1">
      <c r="P396" t="str">
        <f>IF(F396="","",IF(COUNTIF(J396:O396,"D")&gt;0,"",(IF(ISNUMBER(J396),J396,0)*Parametros!$K$4+IF(ISNUMBER(K396),K396,0)*Parametros!$K$5+IF(ISNUMBER(M396),M396,0)*Parametros!$K$6+IF(ISNUMBER(N396),N396,0)*Parametros!$K$7+IF(ISNUMBER(O396),O396,0)*Parametros!$K$8)/Parametros!$B$2))</f>
        <v/>
      </c>
      <c r="Q396" t="str">
        <f>IF(F396="","",IF(COUNTIF(J396:O396,"D")&gt;0,"Desiste",IF(IFERROR(P396,0)&gt;=Parametros!$B$1,"Aprueba","No aprueba")))</f>
        <v/>
      </c>
      <c r="T396" t="str">
        <f>IF($Q396="Aprueba",COUNTIF($Q$2:$Q396,"Aprueba"),"")</f>
        <v/>
      </c>
    </row>
    <row r="397" spans="16:20" ht="14.25" customHeight="1">
      <c r="P397" t="str">
        <f>IF(F397="","",IF(COUNTIF(J397:O397,"D")&gt;0,"",(IF(ISNUMBER(J397),J397,0)*Parametros!$K$4+IF(ISNUMBER(K397),K397,0)*Parametros!$K$5+IF(ISNUMBER(M397),M397,0)*Parametros!$K$6+IF(ISNUMBER(N397),N397,0)*Parametros!$K$7+IF(ISNUMBER(O397),O397,0)*Parametros!$K$8)/Parametros!$B$2))</f>
        <v/>
      </c>
      <c r="Q397" t="str">
        <f>IF(F397="","",IF(COUNTIF(J397:O397,"D")&gt;0,"Desiste",IF(IFERROR(P397,0)&gt;=Parametros!$B$1,"Aprueba","No aprueba")))</f>
        <v/>
      </c>
      <c r="T397" t="str">
        <f>IF($Q397="Aprueba",COUNTIF($Q$2:$Q397,"Aprueba"),"")</f>
        <v/>
      </c>
    </row>
    <row r="398" spans="16:20" ht="14.25" customHeight="1">
      <c r="P398" t="str">
        <f>IF(F398="","",IF(COUNTIF(J398:O398,"D")&gt;0,"",(IF(ISNUMBER(J398),J398,0)*Parametros!$K$4+IF(ISNUMBER(K398),K398,0)*Parametros!$K$5+IF(ISNUMBER(M398),M398,0)*Parametros!$K$6+IF(ISNUMBER(N398),N398,0)*Parametros!$K$7+IF(ISNUMBER(O398),O398,0)*Parametros!$K$8)/Parametros!$B$2))</f>
        <v/>
      </c>
      <c r="Q398" t="str">
        <f>IF(F398="","",IF(COUNTIF(J398:O398,"D")&gt;0,"Desiste",IF(IFERROR(P398,0)&gt;=Parametros!$B$1,"Aprueba","No aprueba")))</f>
        <v/>
      </c>
      <c r="T398" t="str">
        <f>IF($Q398="Aprueba",COUNTIF($Q$2:$Q398,"Aprueba"),"")</f>
        <v/>
      </c>
    </row>
    <row r="399" spans="16:20" ht="14.25" customHeight="1">
      <c r="P399" t="str">
        <f>IF(F399="","",IF(COUNTIF(J399:O399,"D")&gt;0,"",(IF(ISNUMBER(J399),J399,0)*Parametros!$K$4+IF(ISNUMBER(K399),K399,0)*Parametros!$K$5+IF(ISNUMBER(M399),M399,0)*Parametros!$K$6+IF(ISNUMBER(N399),N399,0)*Parametros!$K$7+IF(ISNUMBER(O399),O399,0)*Parametros!$K$8)/Parametros!$B$2))</f>
        <v/>
      </c>
      <c r="Q399" t="str">
        <f>IF(F399="","",IF(COUNTIF(J399:O399,"D")&gt;0,"Desiste",IF(IFERROR(P399,0)&gt;=Parametros!$B$1,"Aprueba","No aprueba")))</f>
        <v/>
      </c>
      <c r="T399" t="str">
        <f>IF($Q399="Aprueba",COUNTIF($Q$2:$Q399,"Aprueba"),"")</f>
        <v/>
      </c>
    </row>
    <row r="400" spans="16:20" ht="14.25" customHeight="1">
      <c r="P400" t="str">
        <f>IF(F400="","",IF(COUNTIF(J400:O400,"D")&gt;0,"",(IF(ISNUMBER(J400),J400,0)*Parametros!$K$4+IF(ISNUMBER(K400),K400,0)*Parametros!$K$5+IF(ISNUMBER(M400),M400,0)*Parametros!$K$6+IF(ISNUMBER(N400),N400,0)*Parametros!$K$7+IF(ISNUMBER(O400),O400,0)*Parametros!$K$8)/Parametros!$B$2))</f>
        <v/>
      </c>
      <c r="Q400" t="str">
        <f>IF(F400="","",IF(COUNTIF(J400:O400,"D")&gt;0,"Desiste",IF(IFERROR(P400,0)&gt;=Parametros!$B$1,"Aprueba","No aprueba")))</f>
        <v/>
      </c>
      <c r="T400" t="str">
        <f>IF($Q400="Aprueba",COUNTIF($Q$2:$Q400,"Aprueba"),"")</f>
        <v/>
      </c>
    </row>
    <row r="401" spans="16:20" ht="14.25" customHeight="1">
      <c r="P401" t="str">
        <f>IF(F401="","",IF(COUNTIF(J401:O401,"D")&gt;0,"",(IF(ISNUMBER(J401),J401,0)*Parametros!$K$4+IF(ISNUMBER(K401),K401,0)*Parametros!$K$5+IF(ISNUMBER(M401),M401,0)*Parametros!$K$6+IF(ISNUMBER(N401),N401,0)*Parametros!$K$7+IF(ISNUMBER(O401),O401,0)*Parametros!$K$8)/Parametros!$B$2))</f>
        <v/>
      </c>
      <c r="Q401" t="str">
        <f>IF(F401="","",IF(COUNTIF(J401:O401,"D")&gt;0,"Desiste",IF(IFERROR(P401,0)&gt;=Parametros!$B$1,"Aprueba","No aprueba")))</f>
        <v/>
      </c>
      <c r="T401" t="str">
        <f>IF($Q401="Aprueba",COUNTIF($Q$2:$Q401,"Aprueba"),"")</f>
        <v/>
      </c>
    </row>
    <row r="402" spans="16:20" ht="14.25" customHeight="1">
      <c r="P402" t="str">
        <f>IF(F402="","",IF(COUNTIF(J402:O402,"D")&gt;0,"",(IF(ISNUMBER(J402),J402,0)*Parametros!$K$4+IF(ISNUMBER(K402),K402,0)*Parametros!$K$5+IF(ISNUMBER(M402),M402,0)*Parametros!$K$6+IF(ISNUMBER(N402),N402,0)*Parametros!$K$7+IF(ISNUMBER(O402),O402,0)*Parametros!$K$8)/Parametros!$B$2))</f>
        <v/>
      </c>
      <c r="Q402" t="str">
        <f>IF(F402="","",IF(COUNTIF(J402:O402,"D")&gt;0,"Desiste",IF(IFERROR(P402,0)&gt;=Parametros!$B$1,"Aprueba","No aprueba")))</f>
        <v/>
      </c>
      <c r="T402" t="str">
        <f>IF($Q402="Aprueba",COUNTIF($Q$2:$Q402,"Aprueba"),"")</f>
        <v/>
      </c>
    </row>
    <row r="403" spans="16:20" ht="14.25" customHeight="1">
      <c r="P403" t="str">
        <f>IF(F403="","",IF(COUNTIF(J403:O403,"D")&gt;0,"",(IF(ISNUMBER(J403),J403,0)*Parametros!$K$4+IF(ISNUMBER(K403),K403,0)*Parametros!$K$5+IF(ISNUMBER(M403),M403,0)*Parametros!$K$6+IF(ISNUMBER(N403),N403,0)*Parametros!$K$7+IF(ISNUMBER(O403),O403,0)*Parametros!$K$8)/Parametros!$B$2))</f>
        <v/>
      </c>
      <c r="Q403" t="str">
        <f>IF(F403="","",IF(COUNTIF(J403:O403,"D")&gt;0,"Desiste",IF(IFERROR(P403,0)&gt;=Parametros!$B$1,"Aprueba","No aprueba")))</f>
        <v/>
      </c>
      <c r="T403" t="str">
        <f>IF($Q403="Aprueba",COUNTIF($Q$2:$Q403,"Aprueba"),"")</f>
        <v/>
      </c>
    </row>
    <row r="404" spans="16:20" ht="14.25" customHeight="1">
      <c r="P404" t="str">
        <f>IF(F404="","",IF(COUNTIF(J404:O404,"D")&gt;0,"",(IF(ISNUMBER(J404),J404,0)*Parametros!$K$4+IF(ISNUMBER(K404),K404,0)*Parametros!$K$5+IF(ISNUMBER(M404),M404,0)*Parametros!$K$6+IF(ISNUMBER(N404),N404,0)*Parametros!$K$7+IF(ISNUMBER(O404),O404,0)*Parametros!$K$8)/Parametros!$B$2))</f>
        <v/>
      </c>
      <c r="Q404" t="str">
        <f>IF(F404="","",IF(COUNTIF(J404:O404,"D")&gt;0,"Desiste",IF(IFERROR(P404,0)&gt;=Parametros!$B$1,"Aprueba","No aprueba")))</f>
        <v/>
      </c>
      <c r="T404" t="str">
        <f>IF($Q404="Aprueba",COUNTIF($Q$2:$Q404,"Aprueba"),"")</f>
        <v/>
      </c>
    </row>
    <row r="405" spans="16:20" ht="14.25" customHeight="1">
      <c r="P405" t="str">
        <f>IF(F405="","",IF(COUNTIF(J405:O405,"D")&gt;0,"",(IF(ISNUMBER(J405),J405,0)*Parametros!$K$4+IF(ISNUMBER(K405),K405,0)*Parametros!$K$5+IF(ISNUMBER(M405),M405,0)*Parametros!$K$6+IF(ISNUMBER(N405),N405,0)*Parametros!$K$7+IF(ISNUMBER(O405),O405,0)*Parametros!$K$8)/Parametros!$B$2))</f>
        <v/>
      </c>
      <c r="Q405" t="str">
        <f>IF(F405="","",IF(COUNTIF(J405:O405,"D")&gt;0,"Desiste",IF(IFERROR(P405,0)&gt;=Parametros!$B$1,"Aprueba","No aprueba")))</f>
        <v/>
      </c>
      <c r="T405" t="str">
        <f>IF($Q405="Aprueba",COUNTIF($Q$2:$Q405,"Aprueba"),"")</f>
        <v/>
      </c>
    </row>
    <row r="406" spans="16:20" ht="14.25" customHeight="1">
      <c r="P406" t="str">
        <f>IF(F406="","",IF(COUNTIF(J406:O406,"D")&gt;0,"",(IF(ISNUMBER(J406),J406,0)*Parametros!$K$4+IF(ISNUMBER(K406),K406,0)*Parametros!$K$5+IF(ISNUMBER(M406),M406,0)*Parametros!$K$6+IF(ISNUMBER(N406),N406,0)*Parametros!$K$7+IF(ISNUMBER(O406),O406,0)*Parametros!$K$8)/Parametros!$B$2))</f>
        <v/>
      </c>
      <c r="Q406" t="str">
        <f>IF(F406="","",IF(COUNTIF(J406:O406,"D")&gt;0,"Desiste",IF(IFERROR(P406,0)&gt;=Parametros!$B$1,"Aprueba","No aprueba")))</f>
        <v/>
      </c>
      <c r="T406" t="str">
        <f>IF($Q406="Aprueba",COUNTIF($Q$2:$Q406,"Aprueba"),"")</f>
        <v/>
      </c>
    </row>
    <row r="407" spans="16:20" ht="14.25" customHeight="1">
      <c r="P407" t="str">
        <f>IF(F407="","",IF(COUNTIF(J407:O407,"D")&gt;0,"",(IF(ISNUMBER(J407),J407,0)*Parametros!$K$4+IF(ISNUMBER(K407),K407,0)*Parametros!$K$5+IF(ISNUMBER(M407),M407,0)*Parametros!$K$6+IF(ISNUMBER(N407),N407,0)*Parametros!$K$7+IF(ISNUMBER(O407),O407,0)*Parametros!$K$8)/Parametros!$B$2))</f>
        <v/>
      </c>
      <c r="Q407" t="str">
        <f>IF(F407="","",IF(COUNTIF(J407:O407,"D")&gt;0,"Desiste",IF(IFERROR(P407,0)&gt;=Parametros!$B$1,"Aprueba","No aprueba")))</f>
        <v/>
      </c>
      <c r="T407" t="str">
        <f>IF($Q407="Aprueba",COUNTIF($Q$2:$Q407,"Aprueba"),"")</f>
        <v/>
      </c>
    </row>
    <row r="408" spans="16:20" ht="14.25" customHeight="1">
      <c r="P408" t="str">
        <f>IF(F408="","",IF(COUNTIF(J408:O408,"D")&gt;0,"",(IF(ISNUMBER(J408),J408,0)*Parametros!$K$4+IF(ISNUMBER(K408),K408,0)*Parametros!$K$5+IF(ISNUMBER(M408),M408,0)*Parametros!$K$6+IF(ISNUMBER(N408),N408,0)*Parametros!$K$7+IF(ISNUMBER(O408),O408,0)*Parametros!$K$8)/Parametros!$B$2))</f>
        <v/>
      </c>
      <c r="Q408" t="str">
        <f>IF(F408="","",IF(COUNTIF(J408:O408,"D")&gt;0,"Desiste",IF(IFERROR(P408,0)&gt;=Parametros!$B$1,"Aprueba","No aprueba")))</f>
        <v/>
      </c>
      <c r="T408" t="str">
        <f>IF($Q408="Aprueba",COUNTIF($Q$2:$Q408,"Aprueba"),"")</f>
        <v/>
      </c>
    </row>
    <row r="409" spans="16:20" ht="14.25" customHeight="1">
      <c r="P409" t="str">
        <f>IF(F409="","",IF(COUNTIF(J409:O409,"D")&gt;0,"",(IF(ISNUMBER(J409),J409,0)*Parametros!$K$4+IF(ISNUMBER(K409),K409,0)*Parametros!$K$5+IF(ISNUMBER(M409),M409,0)*Parametros!$K$6+IF(ISNUMBER(N409),N409,0)*Parametros!$K$7+IF(ISNUMBER(O409),O409,0)*Parametros!$K$8)/Parametros!$B$2))</f>
        <v/>
      </c>
      <c r="Q409" t="str">
        <f>IF(F409="","",IF(COUNTIF(J409:O409,"D")&gt;0,"Desiste",IF(IFERROR(P409,0)&gt;=Parametros!$B$1,"Aprueba","No aprueba")))</f>
        <v/>
      </c>
      <c r="T409" t="str">
        <f>IF($Q409="Aprueba",COUNTIF($Q$2:$Q409,"Aprueba"),"")</f>
        <v/>
      </c>
    </row>
    <row r="410" spans="16:20" ht="14.25" customHeight="1">
      <c r="P410" t="str">
        <f>IF(F410="","",IF(COUNTIF(J410:O410,"D")&gt;0,"",(IF(ISNUMBER(J410),J410,0)*Parametros!$K$4+IF(ISNUMBER(K410),K410,0)*Parametros!$K$5+IF(ISNUMBER(M410),M410,0)*Parametros!$K$6+IF(ISNUMBER(N410),N410,0)*Parametros!$K$7+IF(ISNUMBER(O410),O410,0)*Parametros!$K$8)/Parametros!$B$2))</f>
        <v/>
      </c>
      <c r="Q410" t="str">
        <f>IF(F410="","",IF(COUNTIF(J410:O410,"D")&gt;0,"Desiste",IF(IFERROR(P410,0)&gt;=Parametros!$B$1,"Aprueba","No aprueba")))</f>
        <v/>
      </c>
      <c r="T410" t="str">
        <f>IF($Q410="Aprueba",COUNTIF($Q$2:$Q410,"Aprueba"),"")</f>
        <v/>
      </c>
    </row>
    <row r="411" spans="16:20" ht="14.25" customHeight="1">
      <c r="P411" t="str">
        <f>IF(F411="","",IF(COUNTIF(J411:O411,"D")&gt;0,"",(IF(ISNUMBER(J411),J411,0)*Parametros!$K$4+IF(ISNUMBER(K411),K411,0)*Parametros!$K$5+IF(ISNUMBER(M411),M411,0)*Parametros!$K$6+IF(ISNUMBER(N411),N411,0)*Parametros!$K$7+IF(ISNUMBER(O411),O411,0)*Parametros!$K$8)/Parametros!$B$2))</f>
        <v/>
      </c>
      <c r="Q411" t="str">
        <f>IF(F411="","",IF(COUNTIF(J411:O411,"D")&gt;0,"Desiste",IF(IFERROR(P411,0)&gt;=Parametros!$B$1,"Aprueba","No aprueba")))</f>
        <v/>
      </c>
      <c r="T411" t="str">
        <f>IF($Q411="Aprueba",COUNTIF($Q$2:$Q411,"Aprueba"),"")</f>
        <v/>
      </c>
    </row>
    <row r="412" spans="16:20" ht="14.25" customHeight="1">
      <c r="P412" t="str">
        <f>IF(F412="","",IF(COUNTIF(J412:O412,"D")&gt;0,"",(IF(ISNUMBER(J412),J412,0)*Parametros!$K$4+IF(ISNUMBER(K412),K412,0)*Parametros!$K$5+IF(ISNUMBER(M412),M412,0)*Parametros!$K$6+IF(ISNUMBER(N412),N412,0)*Parametros!$K$7+IF(ISNUMBER(O412),O412,0)*Parametros!$K$8)/Parametros!$B$2))</f>
        <v/>
      </c>
      <c r="Q412" t="str">
        <f>IF(F412="","",IF(COUNTIF(J412:O412,"D")&gt;0,"Desiste",IF(IFERROR(P412,0)&gt;=Parametros!$B$1,"Aprueba","No aprueba")))</f>
        <v/>
      </c>
      <c r="T412" t="str">
        <f>IF($Q412="Aprueba",COUNTIF($Q$2:$Q412,"Aprueba"),"")</f>
        <v/>
      </c>
    </row>
    <row r="413" spans="16:20" ht="14.25" customHeight="1">
      <c r="P413" t="str">
        <f>IF(F413="","",IF(COUNTIF(J413:O413,"D")&gt;0,"",(IF(ISNUMBER(J413),J413,0)*Parametros!$K$4+IF(ISNUMBER(K413),K413,0)*Parametros!$K$5+IF(ISNUMBER(M413),M413,0)*Parametros!$K$6+IF(ISNUMBER(N413),N413,0)*Parametros!$K$7+IF(ISNUMBER(O413),O413,0)*Parametros!$K$8)/Parametros!$B$2))</f>
        <v/>
      </c>
      <c r="Q413" t="str">
        <f>IF(F413="","",IF(COUNTIF(J413:O413,"D")&gt;0,"Desiste",IF(IFERROR(P413,0)&gt;=Parametros!$B$1,"Aprueba","No aprueba")))</f>
        <v/>
      </c>
      <c r="T413" t="str">
        <f>IF($Q413="Aprueba",COUNTIF($Q$2:$Q413,"Aprueba"),"")</f>
        <v/>
      </c>
    </row>
    <row r="414" spans="16:20" ht="14.25" customHeight="1">
      <c r="P414" t="str">
        <f>IF(F414="","",IF(COUNTIF(J414:O414,"D")&gt;0,"",(IF(ISNUMBER(J414),J414,0)*Parametros!$K$4+IF(ISNUMBER(K414),K414,0)*Parametros!$K$5+IF(ISNUMBER(M414),M414,0)*Parametros!$K$6+IF(ISNUMBER(N414),N414,0)*Parametros!$K$7+IF(ISNUMBER(O414),O414,0)*Parametros!$K$8)/Parametros!$B$2))</f>
        <v/>
      </c>
      <c r="Q414" t="str">
        <f>IF(F414="","",IF(COUNTIF(J414:O414,"D")&gt;0,"Desiste",IF(IFERROR(P414,0)&gt;=Parametros!$B$1,"Aprueba","No aprueba")))</f>
        <v/>
      </c>
      <c r="T414" t="str">
        <f>IF($Q414="Aprueba",COUNTIF($Q$2:$Q414,"Aprueba"),"")</f>
        <v/>
      </c>
    </row>
    <row r="415" spans="16:20" ht="14.25" customHeight="1">
      <c r="P415" t="str">
        <f>IF(F415="","",IF(COUNTIF(J415:O415,"D")&gt;0,"",(IF(ISNUMBER(J415),J415,0)*Parametros!$K$4+IF(ISNUMBER(K415),K415,0)*Parametros!$K$5+IF(ISNUMBER(M415),M415,0)*Parametros!$K$6+IF(ISNUMBER(N415),N415,0)*Parametros!$K$7+IF(ISNUMBER(O415),O415,0)*Parametros!$K$8)/Parametros!$B$2))</f>
        <v/>
      </c>
      <c r="Q415" t="str">
        <f>IF(F415="","",IF(COUNTIF(J415:O415,"D")&gt;0,"Desiste",IF(IFERROR(P415,0)&gt;=Parametros!$B$1,"Aprueba","No aprueba")))</f>
        <v/>
      </c>
      <c r="T415" t="str">
        <f>IF($Q415="Aprueba",COUNTIF($Q$2:$Q415,"Aprueba"),"")</f>
        <v/>
      </c>
    </row>
    <row r="416" spans="16:20" ht="14.25" customHeight="1">
      <c r="P416" t="str">
        <f>IF(F416="","",IF(COUNTIF(J416:O416,"D")&gt;0,"",(IF(ISNUMBER(J416),J416,0)*Parametros!$K$4+IF(ISNUMBER(K416),K416,0)*Parametros!$K$5+IF(ISNUMBER(M416),M416,0)*Parametros!$K$6+IF(ISNUMBER(N416),N416,0)*Parametros!$K$7+IF(ISNUMBER(O416),O416,0)*Parametros!$K$8)/Parametros!$B$2))</f>
        <v/>
      </c>
      <c r="Q416" t="str">
        <f>IF(F416="","",IF(COUNTIF(J416:O416,"D")&gt;0,"Desiste",IF(IFERROR(P416,0)&gt;=Parametros!$B$1,"Aprueba","No aprueba")))</f>
        <v/>
      </c>
      <c r="T416" t="str">
        <f>IF($Q416="Aprueba",COUNTIF($Q$2:$Q416,"Aprueba"),"")</f>
        <v/>
      </c>
    </row>
    <row r="417" spans="16:20" ht="14.25" customHeight="1">
      <c r="P417" t="str">
        <f>IF(F417="","",IF(COUNTIF(J417:O417,"D")&gt;0,"",(IF(ISNUMBER(J417),J417,0)*Parametros!$K$4+IF(ISNUMBER(K417),K417,0)*Parametros!$K$5+IF(ISNUMBER(M417),M417,0)*Parametros!$K$6+IF(ISNUMBER(N417),N417,0)*Parametros!$K$7+IF(ISNUMBER(O417),O417,0)*Parametros!$K$8)/Parametros!$B$2))</f>
        <v/>
      </c>
      <c r="Q417" t="str">
        <f>IF(F417="","",IF(COUNTIF(J417:O417,"D")&gt;0,"Desiste",IF(IFERROR(P417,0)&gt;=Parametros!$B$1,"Aprueba","No aprueba")))</f>
        <v/>
      </c>
      <c r="T417" t="str">
        <f>IF($Q417="Aprueba",COUNTIF($Q$2:$Q417,"Aprueba"),"")</f>
        <v/>
      </c>
    </row>
    <row r="418" spans="16:20" ht="14.25" customHeight="1">
      <c r="P418" t="str">
        <f>IF(F418="","",IF(COUNTIF(J418:O418,"D")&gt;0,"",(IF(ISNUMBER(J418),J418,0)*Parametros!$K$4+IF(ISNUMBER(K418),K418,0)*Parametros!$K$5+IF(ISNUMBER(M418),M418,0)*Parametros!$K$6+IF(ISNUMBER(N418),N418,0)*Parametros!$K$7+IF(ISNUMBER(O418),O418,0)*Parametros!$K$8)/Parametros!$B$2))</f>
        <v/>
      </c>
      <c r="Q418" t="str">
        <f>IF(F418="","",IF(COUNTIF(J418:O418,"D")&gt;0,"Desiste",IF(IFERROR(P418,0)&gt;=Parametros!$B$1,"Aprueba","No aprueba")))</f>
        <v/>
      </c>
      <c r="T418" t="str">
        <f>IF($Q418="Aprueba",COUNTIF($Q$2:$Q418,"Aprueba"),"")</f>
        <v/>
      </c>
    </row>
    <row r="419" spans="16:20" ht="14.25" customHeight="1">
      <c r="P419" t="str">
        <f>IF(F419="","",IF(COUNTIF(J419:O419,"D")&gt;0,"",(IF(ISNUMBER(J419),J419,0)*Parametros!$K$4+IF(ISNUMBER(K419),K419,0)*Parametros!$K$5+IF(ISNUMBER(M419),M419,0)*Parametros!$K$6+IF(ISNUMBER(N419),N419,0)*Parametros!$K$7+IF(ISNUMBER(O419),O419,0)*Parametros!$K$8)/Parametros!$B$2))</f>
        <v/>
      </c>
      <c r="Q419" t="str">
        <f>IF(F419="","",IF(COUNTIF(J419:O419,"D")&gt;0,"Desiste",IF(IFERROR(P419,0)&gt;=Parametros!$B$1,"Aprueba","No aprueba")))</f>
        <v/>
      </c>
      <c r="T419" t="str">
        <f>IF($Q419="Aprueba",COUNTIF($Q$2:$Q419,"Aprueba"),"")</f>
        <v/>
      </c>
    </row>
    <row r="420" spans="16:20" ht="14.25" customHeight="1">
      <c r="P420" t="str">
        <f>IF(F420="","",IF(COUNTIF(J420:O420,"D")&gt;0,"",(IF(ISNUMBER(J420),J420,0)*Parametros!$K$4+IF(ISNUMBER(K420),K420,0)*Parametros!$K$5+IF(ISNUMBER(M420),M420,0)*Parametros!$K$6+IF(ISNUMBER(N420),N420,0)*Parametros!$K$7+IF(ISNUMBER(O420),O420,0)*Parametros!$K$8)/Parametros!$B$2))</f>
        <v/>
      </c>
      <c r="Q420" t="str">
        <f>IF(F420="","",IF(COUNTIF(J420:O420,"D")&gt;0,"Desiste",IF(IFERROR(P420,0)&gt;=Parametros!$B$1,"Aprueba","No aprueba")))</f>
        <v/>
      </c>
      <c r="T420" t="str">
        <f>IF($Q420="Aprueba",COUNTIF($Q$2:$Q420,"Aprueba"),"")</f>
        <v/>
      </c>
    </row>
    <row r="421" spans="16:20" ht="14.25" customHeight="1">
      <c r="P421" t="str">
        <f>IF(F421="","",IF(COUNTIF(J421:O421,"D")&gt;0,"",(IF(ISNUMBER(J421),J421,0)*Parametros!$K$4+IF(ISNUMBER(K421),K421,0)*Parametros!$K$5+IF(ISNUMBER(M421),M421,0)*Parametros!$K$6+IF(ISNUMBER(N421),N421,0)*Parametros!$K$7+IF(ISNUMBER(O421),O421,0)*Parametros!$K$8)/Parametros!$B$2))</f>
        <v/>
      </c>
      <c r="Q421" t="str">
        <f>IF(F421="","",IF(COUNTIF(J421:O421,"D")&gt;0,"Desiste",IF(IFERROR(P421,0)&gt;=Parametros!$B$1,"Aprueba","No aprueba")))</f>
        <v/>
      </c>
      <c r="T421" t="str">
        <f>IF($Q421="Aprueba",COUNTIF($Q$2:$Q421,"Aprueba"),"")</f>
        <v/>
      </c>
    </row>
    <row r="422" spans="16:20" ht="14.25" customHeight="1">
      <c r="P422" t="str">
        <f>IF(F422="","",IF(COUNTIF(J422:O422,"D")&gt;0,"",(IF(ISNUMBER(J422),J422,0)*Parametros!$K$4+IF(ISNUMBER(K422),K422,0)*Parametros!$K$5+IF(ISNUMBER(M422),M422,0)*Parametros!$K$6+IF(ISNUMBER(N422),N422,0)*Parametros!$K$7+IF(ISNUMBER(O422),O422,0)*Parametros!$K$8)/Parametros!$B$2))</f>
        <v/>
      </c>
      <c r="Q422" t="str">
        <f>IF(F422="","",IF(COUNTIF(J422:O422,"D")&gt;0,"Desiste",IF(IFERROR(P422,0)&gt;=Parametros!$B$1,"Aprueba","No aprueba")))</f>
        <v/>
      </c>
      <c r="T422" t="str">
        <f>IF($Q422="Aprueba",COUNTIF($Q$2:$Q422,"Aprueba"),"")</f>
        <v/>
      </c>
    </row>
    <row r="423" spans="16:20" ht="14.25" customHeight="1">
      <c r="P423" t="str">
        <f>IF(F423="","",IF(COUNTIF(J423:O423,"D")&gt;0,"",(IF(ISNUMBER(J423),J423,0)*Parametros!$K$4+IF(ISNUMBER(K423),K423,0)*Parametros!$K$5+IF(ISNUMBER(M423),M423,0)*Parametros!$K$6+IF(ISNUMBER(N423),N423,0)*Parametros!$K$7+IF(ISNUMBER(O423),O423,0)*Parametros!$K$8)/Parametros!$B$2))</f>
        <v/>
      </c>
      <c r="Q423" t="str">
        <f>IF(F423="","",IF(COUNTIF(J423:O423,"D")&gt;0,"Desiste",IF(IFERROR(P423,0)&gt;=Parametros!$B$1,"Aprueba","No aprueba")))</f>
        <v/>
      </c>
      <c r="T423" t="str">
        <f>IF($Q423="Aprueba",COUNTIF($Q$2:$Q423,"Aprueba"),"")</f>
        <v/>
      </c>
    </row>
    <row r="424" spans="16:20" ht="14.25" customHeight="1">
      <c r="P424" t="str">
        <f>IF(F424="","",IF(COUNTIF(J424:O424,"D")&gt;0,"",(IF(ISNUMBER(J424),J424,0)*Parametros!$K$4+IF(ISNUMBER(K424),K424,0)*Parametros!$K$5+IF(ISNUMBER(M424),M424,0)*Parametros!$K$6+IF(ISNUMBER(N424),N424,0)*Parametros!$K$7+IF(ISNUMBER(O424),O424,0)*Parametros!$K$8)/Parametros!$B$2))</f>
        <v/>
      </c>
      <c r="Q424" t="str">
        <f>IF(F424="","",IF(COUNTIF(J424:O424,"D")&gt;0,"Desiste",IF(IFERROR(P424,0)&gt;=Parametros!$B$1,"Aprueba","No aprueba")))</f>
        <v/>
      </c>
      <c r="T424" t="str">
        <f>IF($Q424="Aprueba",COUNTIF($Q$2:$Q424,"Aprueba"),"")</f>
        <v/>
      </c>
    </row>
    <row r="425" spans="16:20" ht="14.25" customHeight="1">
      <c r="P425" t="str">
        <f>IF(F425="","",IF(COUNTIF(J425:O425,"D")&gt;0,"",(IF(ISNUMBER(J425),J425,0)*Parametros!$K$4+IF(ISNUMBER(K425),K425,0)*Parametros!$K$5+IF(ISNUMBER(M425),M425,0)*Parametros!$K$6+IF(ISNUMBER(N425),N425,0)*Parametros!$K$7+IF(ISNUMBER(O425),O425,0)*Parametros!$K$8)/Parametros!$B$2))</f>
        <v/>
      </c>
      <c r="Q425" t="str">
        <f>IF(F425="","",IF(COUNTIF(J425:O425,"D")&gt;0,"Desiste",IF(IFERROR(P425,0)&gt;=Parametros!$B$1,"Aprueba","No aprueba")))</f>
        <v/>
      </c>
      <c r="T425" t="str">
        <f>IF($Q425="Aprueba",COUNTIF($Q$2:$Q425,"Aprueba"),"")</f>
        <v/>
      </c>
    </row>
    <row r="426" spans="16:20" ht="14.25" customHeight="1">
      <c r="P426" t="str">
        <f>IF(F426="","",IF(COUNTIF(J426:O426,"D")&gt;0,"",(IF(ISNUMBER(J426),J426,0)*Parametros!$K$4+IF(ISNUMBER(K426),K426,0)*Parametros!$K$5+IF(ISNUMBER(M426),M426,0)*Parametros!$K$6+IF(ISNUMBER(N426),N426,0)*Parametros!$K$7+IF(ISNUMBER(O426),O426,0)*Parametros!$K$8)/Parametros!$B$2))</f>
        <v/>
      </c>
      <c r="Q426" t="str">
        <f>IF(F426="","",IF(COUNTIF(J426:O426,"D")&gt;0,"Desiste",IF(IFERROR(P426,0)&gt;=Parametros!$B$1,"Aprueba","No aprueba")))</f>
        <v/>
      </c>
      <c r="T426" t="str">
        <f>IF($Q426="Aprueba",COUNTIF($Q$2:$Q426,"Aprueba"),"")</f>
        <v/>
      </c>
    </row>
    <row r="427" spans="16:20" ht="14.25" customHeight="1">
      <c r="P427" t="str">
        <f>IF(F427="","",IF(COUNTIF(J427:O427,"D")&gt;0,"",(IF(ISNUMBER(J427),J427,0)*Parametros!$K$4+IF(ISNUMBER(K427),K427,0)*Parametros!$K$5+IF(ISNUMBER(M427),M427,0)*Parametros!$K$6+IF(ISNUMBER(N427),N427,0)*Parametros!$K$7+IF(ISNUMBER(O427),O427,0)*Parametros!$K$8)/Parametros!$B$2))</f>
        <v/>
      </c>
      <c r="Q427" t="str">
        <f>IF(F427="","",IF(COUNTIF(J427:O427,"D")&gt;0,"Desiste",IF(IFERROR(P427,0)&gt;=Parametros!$B$1,"Aprueba","No aprueba")))</f>
        <v/>
      </c>
      <c r="T427" t="str">
        <f>IF($Q427="Aprueba",COUNTIF($Q$2:$Q427,"Aprueba"),"")</f>
        <v/>
      </c>
    </row>
    <row r="428" spans="16:20" ht="14.25" customHeight="1">
      <c r="P428" t="str">
        <f>IF(F428="","",IF(COUNTIF(J428:O428,"D")&gt;0,"",(IF(ISNUMBER(J428),J428,0)*Parametros!$K$4+IF(ISNUMBER(K428),K428,0)*Parametros!$K$5+IF(ISNUMBER(M428),M428,0)*Parametros!$K$6+IF(ISNUMBER(N428),N428,0)*Parametros!$K$7+IF(ISNUMBER(O428),O428,0)*Parametros!$K$8)/Parametros!$B$2))</f>
        <v/>
      </c>
      <c r="Q428" t="str">
        <f>IF(F428="","",IF(COUNTIF(J428:O428,"D")&gt;0,"Desiste",IF(IFERROR(P428,0)&gt;=Parametros!$B$1,"Aprueba","No aprueba")))</f>
        <v/>
      </c>
      <c r="T428" t="str">
        <f>IF($Q428="Aprueba",COUNTIF($Q$2:$Q428,"Aprueba"),"")</f>
        <v/>
      </c>
    </row>
    <row r="429" spans="16:20" ht="14.25" customHeight="1">
      <c r="P429" t="str">
        <f>IF(F429="","",IF(COUNTIF(J429:O429,"D")&gt;0,"",(IF(ISNUMBER(J429),J429,0)*Parametros!$K$4+IF(ISNUMBER(K429),K429,0)*Parametros!$K$5+IF(ISNUMBER(M429),M429,0)*Parametros!$K$6+IF(ISNUMBER(N429),N429,0)*Parametros!$K$7+IF(ISNUMBER(O429),O429,0)*Parametros!$K$8)/Parametros!$B$2))</f>
        <v/>
      </c>
      <c r="Q429" t="str">
        <f>IF(F429="","",IF(COUNTIF(J429:O429,"D")&gt;0,"Desiste",IF(IFERROR(P429,0)&gt;=Parametros!$B$1,"Aprueba","No aprueba")))</f>
        <v/>
      </c>
      <c r="T429" t="str">
        <f>IF($Q429="Aprueba",COUNTIF($Q$2:$Q429,"Aprueba"),"")</f>
        <v/>
      </c>
    </row>
    <row r="430" spans="16:20" ht="14.25" customHeight="1">
      <c r="P430" t="str">
        <f>IF(F430="","",IF(COUNTIF(J430:O430,"D")&gt;0,"",(IF(ISNUMBER(J430),J430,0)*Parametros!$K$4+IF(ISNUMBER(K430),K430,0)*Parametros!$K$5+IF(ISNUMBER(M430),M430,0)*Parametros!$K$6+IF(ISNUMBER(N430),N430,0)*Parametros!$K$7+IF(ISNUMBER(O430),O430,0)*Parametros!$K$8)/Parametros!$B$2))</f>
        <v/>
      </c>
      <c r="Q430" t="str">
        <f>IF(F430="","",IF(COUNTIF(J430:O430,"D")&gt;0,"Desiste",IF(IFERROR(P430,0)&gt;=Parametros!$B$1,"Aprueba","No aprueba")))</f>
        <v/>
      </c>
      <c r="T430" t="str">
        <f>IF($Q430="Aprueba",COUNTIF($Q$2:$Q430,"Aprueba"),"")</f>
        <v/>
      </c>
    </row>
    <row r="431" spans="16:20" ht="14.25" customHeight="1">
      <c r="P431" t="str">
        <f>IF(F431="","",IF(COUNTIF(J431:O431,"D")&gt;0,"",(IF(ISNUMBER(J431),J431,0)*Parametros!$K$4+IF(ISNUMBER(K431),K431,0)*Parametros!$K$5+IF(ISNUMBER(M431),M431,0)*Parametros!$K$6+IF(ISNUMBER(N431),N431,0)*Parametros!$K$7+IF(ISNUMBER(O431),O431,0)*Parametros!$K$8)/Parametros!$B$2))</f>
        <v/>
      </c>
      <c r="Q431" t="str">
        <f>IF(F431="","",IF(COUNTIF(J431:O431,"D")&gt;0,"Desiste",IF(IFERROR(P431,0)&gt;=Parametros!$B$1,"Aprueba","No aprueba")))</f>
        <v/>
      </c>
      <c r="T431" t="str">
        <f>IF($Q431="Aprueba",COUNTIF($Q$2:$Q431,"Aprueba"),"")</f>
        <v/>
      </c>
    </row>
    <row r="432" spans="16:20" ht="14.25" customHeight="1">
      <c r="P432" t="str">
        <f>IF(F432="","",IF(COUNTIF(J432:O432,"D")&gt;0,"",(IF(ISNUMBER(J432),J432,0)*Parametros!$K$4+IF(ISNUMBER(K432),K432,0)*Parametros!$K$5+IF(ISNUMBER(M432),M432,0)*Parametros!$K$6+IF(ISNUMBER(N432),N432,0)*Parametros!$K$7+IF(ISNUMBER(O432),O432,0)*Parametros!$K$8)/Parametros!$B$2))</f>
        <v/>
      </c>
      <c r="Q432" t="str">
        <f>IF(F432="","",IF(COUNTIF(J432:O432,"D")&gt;0,"Desiste",IF(IFERROR(P432,0)&gt;=Parametros!$B$1,"Aprueba","No aprueba")))</f>
        <v/>
      </c>
      <c r="T432" t="str">
        <f>IF($Q432="Aprueba",COUNTIF($Q$2:$Q432,"Aprueba"),"")</f>
        <v/>
      </c>
    </row>
    <row r="433" spans="16:20" ht="14.25" customHeight="1">
      <c r="P433" t="str">
        <f>IF(F433="","",IF(COUNTIF(J433:O433,"D")&gt;0,"",(IF(ISNUMBER(J433),J433,0)*Parametros!$K$4+IF(ISNUMBER(K433),K433,0)*Parametros!$K$5+IF(ISNUMBER(M433),M433,0)*Parametros!$K$6+IF(ISNUMBER(N433),N433,0)*Parametros!$K$7+IF(ISNUMBER(O433),O433,0)*Parametros!$K$8)/Parametros!$B$2))</f>
        <v/>
      </c>
      <c r="Q433" t="str">
        <f>IF(F433="","",IF(COUNTIF(J433:O433,"D")&gt;0,"Desiste",IF(IFERROR(P433,0)&gt;=Parametros!$B$1,"Aprueba","No aprueba")))</f>
        <v/>
      </c>
      <c r="T433" t="str">
        <f>IF($Q433="Aprueba",COUNTIF($Q$2:$Q433,"Aprueba"),"")</f>
        <v/>
      </c>
    </row>
    <row r="434" spans="16:20" ht="14.25" customHeight="1">
      <c r="P434" t="str">
        <f>IF(F434="","",IF(COUNTIF(J434:O434,"D")&gt;0,"",(IF(ISNUMBER(J434),J434,0)*Parametros!$K$4+IF(ISNUMBER(K434),K434,0)*Parametros!$K$5+IF(ISNUMBER(M434),M434,0)*Parametros!$K$6+IF(ISNUMBER(N434),N434,0)*Parametros!$K$7+IF(ISNUMBER(O434),O434,0)*Parametros!$K$8)/Parametros!$B$2))</f>
        <v/>
      </c>
      <c r="Q434" t="str">
        <f>IF(F434="","",IF(COUNTIF(J434:O434,"D")&gt;0,"Desiste",IF(IFERROR(P434,0)&gt;=Parametros!$B$1,"Aprueba","No aprueba")))</f>
        <v/>
      </c>
      <c r="T434" t="str">
        <f>IF($Q434="Aprueba",COUNTIF($Q$2:$Q434,"Aprueba"),"")</f>
        <v/>
      </c>
    </row>
    <row r="435" spans="16:20" ht="14.25" customHeight="1">
      <c r="P435" t="str">
        <f>IF(F435="","",IF(COUNTIF(J435:O435,"D")&gt;0,"",(IF(ISNUMBER(J435),J435,0)*Parametros!$K$4+IF(ISNUMBER(K435),K435,0)*Parametros!$K$5+IF(ISNUMBER(M435),M435,0)*Parametros!$K$6+IF(ISNUMBER(N435),N435,0)*Parametros!$K$7+IF(ISNUMBER(O435),O435,0)*Parametros!$K$8)/Parametros!$B$2))</f>
        <v/>
      </c>
      <c r="Q435" t="str">
        <f>IF(F435="","",IF(COUNTIF(J435:O435,"D")&gt;0,"Desiste",IF(IFERROR(P435,0)&gt;=Parametros!$B$1,"Aprueba","No aprueba")))</f>
        <v/>
      </c>
      <c r="T435" t="str">
        <f>IF($Q435="Aprueba",COUNTIF($Q$2:$Q435,"Aprueba"),"")</f>
        <v/>
      </c>
    </row>
    <row r="436" spans="16:20" ht="14.25" customHeight="1">
      <c r="P436" t="str">
        <f>IF(F436="","",IF(COUNTIF(J436:O436,"D")&gt;0,"",(IF(ISNUMBER(J436),J436,0)*Parametros!$K$4+IF(ISNUMBER(K436),K436,0)*Parametros!$K$5+IF(ISNUMBER(M436),M436,0)*Parametros!$K$6+IF(ISNUMBER(N436),N436,0)*Parametros!$K$7+IF(ISNUMBER(O436),O436,0)*Parametros!$K$8)/Parametros!$B$2))</f>
        <v/>
      </c>
      <c r="Q436" t="str">
        <f>IF(F436="","",IF(COUNTIF(J436:O436,"D")&gt;0,"Desiste",IF(IFERROR(P436,0)&gt;=Parametros!$B$1,"Aprueba","No aprueba")))</f>
        <v/>
      </c>
      <c r="T436" t="str">
        <f>IF($Q436="Aprueba",COUNTIF($Q$2:$Q436,"Aprueba"),"")</f>
        <v/>
      </c>
    </row>
    <row r="437" spans="16:20" ht="14.25" customHeight="1">
      <c r="P437" t="str">
        <f>IF(F437="","",IF(COUNTIF(J437:O437,"D")&gt;0,"",(IF(ISNUMBER(J437),J437,0)*Parametros!$K$4+IF(ISNUMBER(K437),K437,0)*Parametros!$K$5+IF(ISNUMBER(M437),M437,0)*Parametros!$K$6+IF(ISNUMBER(N437),N437,0)*Parametros!$K$7+IF(ISNUMBER(O437),O437,0)*Parametros!$K$8)/Parametros!$B$2))</f>
        <v/>
      </c>
      <c r="Q437" t="str">
        <f>IF(F437="","",IF(COUNTIF(J437:O437,"D")&gt;0,"Desiste",IF(IFERROR(P437,0)&gt;=Parametros!$B$1,"Aprueba","No aprueba")))</f>
        <v/>
      </c>
      <c r="T437" t="str">
        <f>IF($Q437="Aprueba",COUNTIF($Q$2:$Q437,"Aprueba"),"")</f>
        <v/>
      </c>
    </row>
    <row r="438" spans="16:20" ht="14.25" customHeight="1">
      <c r="P438" t="str">
        <f>IF(F438="","",IF(COUNTIF(J438:O438,"D")&gt;0,"",(IF(ISNUMBER(J438),J438,0)*Parametros!$K$4+IF(ISNUMBER(K438),K438,0)*Parametros!$K$5+IF(ISNUMBER(M438),M438,0)*Parametros!$K$6+IF(ISNUMBER(N438),N438,0)*Parametros!$K$7+IF(ISNUMBER(O438),O438,0)*Parametros!$K$8)/Parametros!$B$2))</f>
        <v/>
      </c>
      <c r="Q438" t="str">
        <f>IF(F438="","",IF(COUNTIF(J438:O438,"D")&gt;0,"Desiste",IF(IFERROR(P438,0)&gt;=Parametros!$B$1,"Aprueba","No aprueba")))</f>
        <v/>
      </c>
      <c r="T438" t="str">
        <f>IF($Q438="Aprueba",COUNTIF($Q$2:$Q438,"Aprueba"),"")</f>
        <v/>
      </c>
    </row>
    <row r="439" spans="16:20" ht="14.25" customHeight="1">
      <c r="P439" t="str">
        <f>IF(F439="","",IF(COUNTIF(J439:O439,"D")&gt;0,"",(IF(ISNUMBER(J439),J439,0)*Parametros!$K$4+IF(ISNUMBER(K439),K439,0)*Parametros!$K$5+IF(ISNUMBER(M439),M439,0)*Parametros!$K$6+IF(ISNUMBER(N439),N439,0)*Parametros!$K$7+IF(ISNUMBER(O439),O439,0)*Parametros!$K$8)/Parametros!$B$2))</f>
        <v/>
      </c>
      <c r="Q439" t="str">
        <f>IF(F439="","",IF(COUNTIF(J439:O439,"D")&gt;0,"Desiste",IF(IFERROR(P439,0)&gt;=Parametros!$B$1,"Aprueba","No aprueba")))</f>
        <v/>
      </c>
      <c r="T439" t="str">
        <f>IF($Q439="Aprueba",COUNTIF($Q$2:$Q439,"Aprueba"),"")</f>
        <v/>
      </c>
    </row>
    <row r="440" spans="16:20" ht="14.25" customHeight="1">
      <c r="P440" t="str">
        <f>IF(F440="","",IF(COUNTIF(J440:O440,"D")&gt;0,"",(IF(ISNUMBER(J440),J440,0)*Parametros!$K$4+IF(ISNUMBER(K440),K440,0)*Parametros!$K$5+IF(ISNUMBER(M440),M440,0)*Parametros!$K$6+IF(ISNUMBER(N440),N440,0)*Parametros!$K$7+IF(ISNUMBER(O440),O440,0)*Parametros!$K$8)/Parametros!$B$2))</f>
        <v/>
      </c>
      <c r="Q440" t="str">
        <f>IF(F440="","",IF(COUNTIF(J440:O440,"D")&gt;0,"Desiste",IF(IFERROR(P440,0)&gt;=Parametros!$B$1,"Aprueba","No aprueba")))</f>
        <v/>
      </c>
      <c r="T440" t="str">
        <f>IF($Q440="Aprueba",COUNTIF($Q$2:$Q440,"Aprueba"),"")</f>
        <v/>
      </c>
    </row>
    <row r="441" spans="16:20" ht="14.25" customHeight="1">
      <c r="P441" t="str">
        <f>IF(F441="","",IF(COUNTIF(J441:O441,"D")&gt;0,"",(IF(ISNUMBER(J441),J441,0)*Parametros!$K$4+IF(ISNUMBER(K441),K441,0)*Parametros!$K$5+IF(ISNUMBER(M441),M441,0)*Parametros!$K$6+IF(ISNUMBER(N441),N441,0)*Parametros!$K$7+IF(ISNUMBER(O441),O441,0)*Parametros!$K$8)/Parametros!$B$2))</f>
        <v/>
      </c>
      <c r="Q441" t="str">
        <f>IF(F441="","",IF(COUNTIF(J441:O441,"D")&gt;0,"Desiste",IF(IFERROR(P441,0)&gt;=Parametros!$B$1,"Aprueba","No aprueba")))</f>
        <v/>
      </c>
      <c r="T441" t="str">
        <f>IF($Q441="Aprueba",COUNTIF($Q$2:$Q441,"Aprueba"),"")</f>
        <v/>
      </c>
    </row>
    <row r="442" spans="16:20" ht="14.25" customHeight="1">
      <c r="P442" t="str">
        <f>IF(F442="","",IF(COUNTIF(J442:O442,"D")&gt;0,"",(IF(ISNUMBER(J442),J442,0)*Parametros!$K$4+IF(ISNUMBER(K442),K442,0)*Parametros!$K$5+IF(ISNUMBER(M442),M442,0)*Parametros!$K$6+IF(ISNUMBER(N442),N442,0)*Parametros!$K$7+IF(ISNUMBER(O442),O442,0)*Parametros!$K$8)/Parametros!$B$2))</f>
        <v/>
      </c>
      <c r="Q442" t="str">
        <f>IF(F442="","",IF(COUNTIF(J442:O442,"D")&gt;0,"Desiste",IF(IFERROR(P442,0)&gt;=Parametros!$B$1,"Aprueba","No aprueba")))</f>
        <v/>
      </c>
      <c r="T442" t="str">
        <f>IF($Q442="Aprueba",COUNTIF($Q$2:$Q442,"Aprueba"),"")</f>
        <v/>
      </c>
    </row>
    <row r="443" spans="16:20" ht="14.25" customHeight="1">
      <c r="P443" t="str">
        <f>IF(F443="","",IF(COUNTIF(J443:O443,"D")&gt;0,"",(IF(ISNUMBER(J443),J443,0)*Parametros!$K$4+IF(ISNUMBER(K443),K443,0)*Parametros!$K$5+IF(ISNUMBER(M443),M443,0)*Parametros!$K$6+IF(ISNUMBER(N443),N443,0)*Parametros!$K$7+IF(ISNUMBER(O443),O443,0)*Parametros!$K$8)/Parametros!$B$2))</f>
        <v/>
      </c>
      <c r="Q443" t="str">
        <f>IF(F443="","",IF(COUNTIF(J443:O443,"D")&gt;0,"Desiste",IF(IFERROR(P443,0)&gt;=Parametros!$B$1,"Aprueba","No aprueba")))</f>
        <v/>
      </c>
      <c r="T443" t="str">
        <f>IF($Q443="Aprueba",COUNTIF($Q$2:$Q443,"Aprueba"),"")</f>
        <v/>
      </c>
    </row>
    <row r="444" spans="16:20" ht="14.25" customHeight="1">
      <c r="P444" t="str">
        <f>IF(F444="","",IF(COUNTIF(J444:O444,"D")&gt;0,"",(IF(ISNUMBER(J444),J444,0)*Parametros!$K$4+IF(ISNUMBER(K444),K444,0)*Parametros!$K$5+IF(ISNUMBER(M444),M444,0)*Parametros!$K$6+IF(ISNUMBER(N444),N444,0)*Parametros!$K$7+IF(ISNUMBER(O444),O444,0)*Parametros!$K$8)/Parametros!$B$2))</f>
        <v/>
      </c>
      <c r="Q444" t="str">
        <f>IF(F444="","",IF(COUNTIF(J444:O444,"D")&gt;0,"Desiste",IF(IFERROR(P444,0)&gt;=Parametros!$B$1,"Aprueba","No aprueba")))</f>
        <v/>
      </c>
      <c r="T444" t="str">
        <f>IF($Q444="Aprueba",COUNTIF($Q$2:$Q444,"Aprueba"),"")</f>
        <v/>
      </c>
    </row>
    <row r="445" spans="16:20" ht="14.25" customHeight="1">
      <c r="P445" t="str">
        <f>IF(F445="","",IF(COUNTIF(J445:O445,"D")&gt;0,"",(IF(ISNUMBER(J445),J445,0)*Parametros!$K$4+IF(ISNUMBER(K445),K445,0)*Parametros!$K$5+IF(ISNUMBER(M445),M445,0)*Parametros!$K$6+IF(ISNUMBER(N445),N445,0)*Parametros!$K$7+IF(ISNUMBER(O445),O445,0)*Parametros!$K$8)/Parametros!$B$2))</f>
        <v/>
      </c>
      <c r="Q445" t="str">
        <f>IF(F445="","",IF(COUNTIF(J445:O445,"D")&gt;0,"Desiste",IF(IFERROR(P445,0)&gt;=Parametros!$B$1,"Aprueba","No aprueba")))</f>
        <v/>
      </c>
      <c r="T445" t="str">
        <f>IF($Q445="Aprueba",COUNTIF($Q$2:$Q445,"Aprueba"),"")</f>
        <v/>
      </c>
    </row>
    <row r="446" spans="16:20" ht="14.25" customHeight="1">
      <c r="P446" t="str">
        <f>IF(F446="","",IF(COUNTIF(J446:O446,"D")&gt;0,"",(IF(ISNUMBER(J446),J446,0)*Parametros!$K$4+IF(ISNUMBER(K446),K446,0)*Parametros!$K$5+IF(ISNUMBER(M446),M446,0)*Parametros!$K$6+IF(ISNUMBER(N446),N446,0)*Parametros!$K$7+IF(ISNUMBER(O446),O446,0)*Parametros!$K$8)/Parametros!$B$2))</f>
        <v/>
      </c>
      <c r="Q446" t="str">
        <f>IF(F446="","",IF(COUNTIF(J446:O446,"D")&gt;0,"Desiste",IF(IFERROR(P446,0)&gt;=Parametros!$B$1,"Aprueba","No aprueba")))</f>
        <v/>
      </c>
      <c r="T446" t="str">
        <f>IF($Q446="Aprueba",COUNTIF($Q$2:$Q446,"Aprueba"),"")</f>
        <v/>
      </c>
    </row>
    <row r="447" spans="16:20" ht="14.25" customHeight="1">
      <c r="P447" t="str">
        <f>IF(F447="","",IF(COUNTIF(J447:O447,"D")&gt;0,"",(IF(ISNUMBER(J447),J447,0)*Parametros!$K$4+IF(ISNUMBER(K447),K447,0)*Parametros!$K$5+IF(ISNUMBER(M447),M447,0)*Parametros!$K$6+IF(ISNUMBER(N447),N447,0)*Parametros!$K$7+IF(ISNUMBER(O447),O447,0)*Parametros!$K$8)/Parametros!$B$2))</f>
        <v/>
      </c>
      <c r="Q447" t="str">
        <f>IF(F447="","",IF(COUNTIF(J447:O447,"D")&gt;0,"Desiste",IF(IFERROR(P447,0)&gt;=Parametros!$B$1,"Aprueba","No aprueba")))</f>
        <v/>
      </c>
      <c r="T447" t="str">
        <f>IF($Q447="Aprueba",COUNTIF($Q$2:$Q447,"Aprueba"),"")</f>
        <v/>
      </c>
    </row>
    <row r="448" spans="16:20" ht="14.25" customHeight="1">
      <c r="P448" t="str">
        <f>IF(F448="","",IF(COUNTIF(J448:O448,"D")&gt;0,"",(IF(ISNUMBER(J448),J448,0)*Parametros!$K$4+IF(ISNUMBER(K448),K448,0)*Parametros!$K$5+IF(ISNUMBER(M448),M448,0)*Parametros!$K$6+IF(ISNUMBER(N448),N448,0)*Parametros!$K$7+IF(ISNUMBER(O448),O448,0)*Parametros!$K$8)/Parametros!$B$2))</f>
        <v/>
      </c>
      <c r="Q448" t="str">
        <f>IF(F448="","",IF(COUNTIF(J448:O448,"D")&gt;0,"Desiste",IF(IFERROR(P448,0)&gt;=Parametros!$B$1,"Aprueba","No aprueba")))</f>
        <v/>
      </c>
      <c r="T448" t="str">
        <f>IF($Q448="Aprueba",COUNTIF($Q$2:$Q448,"Aprueba"),"")</f>
        <v/>
      </c>
    </row>
    <row r="449" spans="16:20" ht="14.25" customHeight="1">
      <c r="P449" t="str">
        <f>IF(F449="","",IF(COUNTIF(J449:O449,"D")&gt;0,"",(IF(ISNUMBER(J449),J449,0)*Parametros!$K$4+IF(ISNUMBER(K449),K449,0)*Parametros!$K$5+IF(ISNUMBER(M449),M449,0)*Parametros!$K$6+IF(ISNUMBER(N449),N449,0)*Parametros!$K$7+IF(ISNUMBER(O449),O449,0)*Parametros!$K$8)/Parametros!$B$2))</f>
        <v/>
      </c>
      <c r="Q449" t="str">
        <f>IF(F449="","",IF(COUNTIF(J449:O449,"D")&gt;0,"Desiste",IF(IFERROR(P449,0)&gt;=Parametros!$B$1,"Aprueba","No aprueba")))</f>
        <v/>
      </c>
      <c r="T449" t="str">
        <f>IF($Q449="Aprueba",COUNTIF($Q$2:$Q449,"Aprueba"),"")</f>
        <v/>
      </c>
    </row>
    <row r="450" spans="16:20" ht="14.25" customHeight="1">
      <c r="P450" t="str">
        <f>IF(F450="","",IF(COUNTIF(J450:O450,"D")&gt;0,"",(IF(ISNUMBER(J450),J450,0)*Parametros!$K$4+IF(ISNUMBER(K450),K450,0)*Parametros!$K$5+IF(ISNUMBER(M450),M450,0)*Parametros!$K$6+IF(ISNUMBER(N450),N450,0)*Parametros!$K$7+IF(ISNUMBER(O450),O450,0)*Parametros!$K$8)/Parametros!$B$2))</f>
        <v/>
      </c>
      <c r="Q450" t="str">
        <f>IF(F450="","",IF(COUNTIF(J450:O450,"D")&gt;0,"Desiste",IF(IFERROR(P450,0)&gt;=Parametros!$B$1,"Aprueba","No aprueba")))</f>
        <v/>
      </c>
      <c r="T450" t="str">
        <f>IF($Q450="Aprueba",COUNTIF($Q$2:$Q450,"Aprueba"),"")</f>
        <v/>
      </c>
    </row>
    <row r="451" spans="16:20" ht="14.25" customHeight="1">
      <c r="P451" t="str">
        <f>IF(F451="","",IF(COUNTIF(J451:O451,"D")&gt;0,"",(IF(ISNUMBER(J451),J451,0)*Parametros!$K$4+IF(ISNUMBER(K451),K451,0)*Parametros!$K$5+IF(ISNUMBER(M451),M451,0)*Parametros!$K$6+IF(ISNUMBER(N451),N451,0)*Parametros!$K$7+IF(ISNUMBER(O451),O451,0)*Parametros!$K$8)/Parametros!$B$2))</f>
        <v/>
      </c>
      <c r="Q451" t="str">
        <f>IF(F451="","",IF(COUNTIF(J451:O451,"D")&gt;0,"Desiste",IF(IFERROR(P451,0)&gt;=Parametros!$B$1,"Aprueba","No aprueba")))</f>
        <v/>
      </c>
      <c r="T451" t="str">
        <f>IF($Q451="Aprueba",COUNTIF($Q$2:$Q451,"Aprueba"),"")</f>
        <v/>
      </c>
    </row>
    <row r="452" spans="16:20" ht="14.25" customHeight="1">
      <c r="P452" t="str">
        <f>IF(F452="","",IF(COUNTIF(J452:O452,"D")&gt;0,"",(IF(ISNUMBER(J452),J452,0)*Parametros!$K$4+IF(ISNUMBER(K452),K452,0)*Parametros!$K$5+IF(ISNUMBER(M452),M452,0)*Parametros!$K$6+IF(ISNUMBER(N452),N452,0)*Parametros!$K$7+IF(ISNUMBER(O452),O452,0)*Parametros!$K$8)/Parametros!$B$2))</f>
        <v/>
      </c>
      <c r="Q452" t="str">
        <f>IF(F452="","",IF(COUNTIF(J452:O452,"D")&gt;0,"Desiste",IF(IFERROR(P452,0)&gt;=Parametros!$B$1,"Aprueba","No aprueba")))</f>
        <v/>
      </c>
      <c r="T452" t="str">
        <f>IF($Q452="Aprueba",COUNTIF($Q$2:$Q452,"Aprueba"),"")</f>
        <v/>
      </c>
    </row>
    <row r="453" spans="16:20" ht="14.25" customHeight="1">
      <c r="P453" t="str">
        <f>IF(F453="","",IF(COUNTIF(J453:O453,"D")&gt;0,"",(IF(ISNUMBER(J453),J453,0)*Parametros!$K$4+IF(ISNUMBER(K453),K453,0)*Parametros!$K$5+IF(ISNUMBER(M453),M453,0)*Parametros!$K$6+IF(ISNUMBER(N453),N453,0)*Parametros!$K$7+IF(ISNUMBER(O453),O453,0)*Parametros!$K$8)/Parametros!$B$2))</f>
        <v/>
      </c>
      <c r="Q453" t="str">
        <f>IF(F453="","",IF(COUNTIF(J453:O453,"D")&gt;0,"Desiste",IF(IFERROR(P453,0)&gt;=Parametros!$B$1,"Aprueba","No aprueba")))</f>
        <v/>
      </c>
      <c r="T453" t="str">
        <f>IF($Q453="Aprueba",COUNTIF($Q$2:$Q453,"Aprueba"),"")</f>
        <v/>
      </c>
    </row>
    <row r="454" spans="16:20" ht="14.25" customHeight="1">
      <c r="P454" t="str">
        <f>IF(F454="","",IF(COUNTIF(J454:O454,"D")&gt;0,"",(IF(ISNUMBER(J454),J454,0)*Parametros!$K$4+IF(ISNUMBER(K454),K454,0)*Parametros!$K$5+IF(ISNUMBER(M454),M454,0)*Parametros!$K$6+IF(ISNUMBER(N454),N454,0)*Parametros!$K$7+IF(ISNUMBER(O454),O454,0)*Parametros!$K$8)/Parametros!$B$2))</f>
        <v/>
      </c>
      <c r="Q454" t="str">
        <f>IF(F454="","",IF(COUNTIF(J454:O454,"D")&gt;0,"Desiste",IF(IFERROR(P454,0)&gt;=Parametros!$B$1,"Aprueba","No aprueba")))</f>
        <v/>
      </c>
      <c r="T454" t="str">
        <f>IF($Q454="Aprueba",COUNTIF($Q$2:$Q454,"Aprueba"),"")</f>
        <v/>
      </c>
    </row>
    <row r="455" spans="16:20" ht="14.25" customHeight="1">
      <c r="P455" t="str">
        <f>IF(F455="","",IF(COUNTIF(J455:O455,"D")&gt;0,"",(IF(ISNUMBER(J455),J455,0)*Parametros!$K$4+IF(ISNUMBER(K455),K455,0)*Parametros!$K$5+IF(ISNUMBER(M455),M455,0)*Parametros!$K$6+IF(ISNUMBER(N455),N455,0)*Parametros!$K$7+IF(ISNUMBER(O455),O455,0)*Parametros!$K$8)/Parametros!$B$2))</f>
        <v/>
      </c>
      <c r="Q455" t="str">
        <f>IF(F455="","",IF(COUNTIF(J455:O455,"D")&gt;0,"Desiste",IF(IFERROR(P455,0)&gt;=Parametros!$B$1,"Aprueba","No aprueba")))</f>
        <v/>
      </c>
      <c r="T455" t="str">
        <f>IF($Q455="Aprueba",COUNTIF($Q$2:$Q455,"Aprueba"),"")</f>
        <v/>
      </c>
    </row>
    <row r="456" spans="16:20" ht="14.25" customHeight="1">
      <c r="P456" t="str">
        <f>IF(F456="","",IF(COUNTIF(J456:O456,"D")&gt;0,"",(IF(ISNUMBER(J456),J456,0)*Parametros!$K$4+IF(ISNUMBER(K456),K456,0)*Parametros!$K$5+IF(ISNUMBER(M456),M456,0)*Parametros!$K$6+IF(ISNUMBER(N456),N456,0)*Parametros!$K$7+IF(ISNUMBER(O456),O456,0)*Parametros!$K$8)/Parametros!$B$2))</f>
        <v/>
      </c>
      <c r="Q456" t="str">
        <f>IF(F456="","",IF(COUNTIF(J456:O456,"D")&gt;0,"Desiste",IF(IFERROR(P456,0)&gt;=Parametros!$B$1,"Aprueba","No aprueba")))</f>
        <v/>
      </c>
      <c r="T456" t="str">
        <f>IF($Q456="Aprueba",COUNTIF($Q$2:$Q456,"Aprueba"),"")</f>
        <v/>
      </c>
    </row>
    <row r="457" spans="16:20" ht="14.25" customHeight="1">
      <c r="P457" t="str">
        <f>IF(F457="","",IF(COUNTIF(J457:O457,"D")&gt;0,"",(IF(ISNUMBER(J457),J457,0)*Parametros!$K$4+IF(ISNUMBER(K457),K457,0)*Parametros!$K$5+IF(ISNUMBER(M457),M457,0)*Parametros!$K$6+IF(ISNUMBER(N457),N457,0)*Parametros!$K$7+IF(ISNUMBER(O457),O457,0)*Parametros!$K$8)/Parametros!$B$2))</f>
        <v/>
      </c>
      <c r="Q457" t="str">
        <f>IF(F457="","",IF(COUNTIF(J457:O457,"D")&gt;0,"Desiste",IF(IFERROR(P457,0)&gt;=Parametros!$B$1,"Aprueba","No aprueba")))</f>
        <v/>
      </c>
      <c r="T457" t="str">
        <f>IF($Q457="Aprueba",COUNTIF($Q$2:$Q457,"Aprueba"),"")</f>
        <v/>
      </c>
    </row>
    <row r="458" spans="16:20" ht="14.25" customHeight="1">
      <c r="P458" t="str">
        <f>IF(F458="","",IF(COUNTIF(J458:O458,"D")&gt;0,"",(IF(ISNUMBER(J458),J458,0)*Parametros!$K$4+IF(ISNUMBER(K458),K458,0)*Parametros!$K$5+IF(ISNUMBER(M458),M458,0)*Parametros!$K$6+IF(ISNUMBER(N458),N458,0)*Parametros!$K$7+IF(ISNUMBER(O458),O458,0)*Parametros!$K$8)/Parametros!$B$2))</f>
        <v/>
      </c>
      <c r="Q458" t="str">
        <f>IF(F458="","",IF(COUNTIF(J458:O458,"D")&gt;0,"Desiste",IF(IFERROR(P458,0)&gt;=Parametros!$B$1,"Aprueba","No aprueba")))</f>
        <v/>
      </c>
      <c r="T458" t="str">
        <f>IF($Q458="Aprueba",COUNTIF($Q$2:$Q458,"Aprueba"),"")</f>
        <v/>
      </c>
    </row>
    <row r="459" spans="16:20" ht="14.25" customHeight="1">
      <c r="P459" t="str">
        <f>IF(F459="","",IF(COUNTIF(J459:O459,"D")&gt;0,"",(IF(ISNUMBER(J459),J459,0)*Parametros!$K$4+IF(ISNUMBER(K459),K459,0)*Parametros!$K$5+IF(ISNUMBER(M459),M459,0)*Parametros!$K$6+IF(ISNUMBER(N459),N459,0)*Parametros!$K$7+IF(ISNUMBER(O459),O459,0)*Parametros!$K$8)/Parametros!$B$2))</f>
        <v/>
      </c>
      <c r="Q459" t="str">
        <f>IF(F459="","",IF(COUNTIF(J459:O459,"D")&gt;0,"Desiste",IF(IFERROR(P459,0)&gt;=Parametros!$B$1,"Aprueba","No aprueba")))</f>
        <v/>
      </c>
      <c r="T459" t="str">
        <f>IF($Q459="Aprueba",COUNTIF($Q$2:$Q459,"Aprueba"),"")</f>
        <v/>
      </c>
    </row>
    <row r="460" spans="16:20" ht="14.25" customHeight="1">
      <c r="P460" t="str">
        <f>IF(F460="","",IF(COUNTIF(J460:O460,"D")&gt;0,"",(IF(ISNUMBER(J460),J460,0)*Parametros!$K$4+IF(ISNUMBER(K460),K460,0)*Parametros!$K$5+IF(ISNUMBER(M460),M460,0)*Parametros!$K$6+IF(ISNUMBER(N460),N460,0)*Parametros!$K$7+IF(ISNUMBER(O460),O460,0)*Parametros!$K$8)/Parametros!$B$2))</f>
        <v/>
      </c>
      <c r="Q460" t="str">
        <f>IF(F460="","",IF(COUNTIF(J460:O460,"D")&gt;0,"Desiste",IF(IFERROR(P460,0)&gt;=Parametros!$B$1,"Aprueba","No aprueba")))</f>
        <v/>
      </c>
      <c r="T460" t="str">
        <f>IF($Q460="Aprueba",COUNTIF($Q$2:$Q460,"Aprueba"),"")</f>
        <v/>
      </c>
    </row>
    <row r="461" spans="16:20" ht="14.25" customHeight="1">
      <c r="P461" t="str">
        <f>IF(F461="","",IF(COUNTIF(J461:O461,"D")&gt;0,"",(IF(ISNUMBER(J461),J461,0)*Parametros!$K$4+IF(ISNUMBER(K461),K461,0)*Parametros!$K$5+IF(ISNUMBER(M461),M461,0)*Parametros!$K$6+IF(ISNUMBER(N461),N461,0)*Parametros!$K$7+IF(ISNUMBER(O461),O461,0)*Parametros!$K$8)/Parametros!$B$2))</f>
        <v/>
      </c>
      <c r="Q461" t="str">
        <f>IF(F461="","",IF(COUNTIF(J461:O461,"D")&gt;0,"Desiste",IF(IFERROR(P461,0)&gt;=Parametros!$B$1,"Aprueba","No aprueba")))</f>
        <v/>
      </c>
      <c r="T461" t="str">
        <f>IF($Q461="Aprueba",COUNTIF($Q$2:$Q461,"Aprueba"),"")</f>
        <v/>
      </c>
    </row>
    <row r="462" spans="16:20" ht="14.25" customHeight="1">
      <c r="P462" t="str">
        <f>IF(F462="","",IF(COUNTIF(J462:O462,"D")&gt;0,"",(IF(ISNUMBER(J462),J462,0)*Parametros!$K$4+IF(ISNUMBER(K462),K462,0)*Parametros!$K$5+IF(ISNUMBER(M462),M462,0)*Parametros!$K$6+IF(ISNUMBER(N462),N462,0)*Parametros!$K$7+IF(ISNUMBER(O462),O462,0)*Parametros!$K$8)/Parametros!$B$2))</f>
        <v/>
      </c>
      <c r="Q462" t="str">
        <f>IF(F462="","",IF(COUNTIF(J462:O462,"D")&gt;0,"Desiste",IF(IFERROR(P462,0)&gt;=Parametros!$B$1,"Aprueba","No aprueba")))</f>
        <v/>
      </c>
      <c r="T462" t="str">
        <f>IF($Q462="Aprueba",COUNTIF($Q$2:$Q462,"Aprueba"),"")</f>
        <v/>
      </c>
    </row>
    <row r="463" spans="16:20" ht="14.25" customHeight="1">
      <c r="P463" t="str">
        <f>IF(F463="","",IF(COUNTIF(J463:O463,"D")&gt;0,"",(IF(ISNUMBER(J463),J463,0)*Parametros!$K$4+IF(ISNUMBER(K463),K463,0)*Parametros!$K$5+IF(ISNUMBER(M463),M463,0)*Parametros!$K$6+IF(ISNUMBER(N463),N463,0)*Parametros!$K$7+IF(ISNUMBER(O463),O463,0)*Parametros!$K$8)/Parametros!$B$2))</f>
        <v/>
      </c>
      <c r="Q463" t="str">
        <f>IF(F463="","",IF(COUNTIF(J463:O463,"D")&gt;0,"Desiste",IF(IFERROR(P463,0)&gt;=Parametros!$B$1,"Aprueba","No aprueba")))</f>
        <v/>
      </c>
      <c r="T463" t="str">
        <f>IF($Q463="Aprueba",COUNTIF($Q$2:$Q463,"Aprueba"),"")</f>
        <v/>
      </c>
    </row>
    <row r="464" spans="16:20" ht="14.25" customHeight="1">
      <c r="P464" t="str">
        <f>IF(F464="","",IF(COUNTIF(J464:O464,"D")&gt;0,"",(IF(ISNUMBER(J464),J464,0)*Parametros!$K$4+IF(ISNUMBER(K464),K464,0)*Parametros!$K$5+IF(ISNUMBER(M464),M464,0)*Parametros!$K$6+IF(ISNUMBER(N464),N464,0)*Parametros!$K$7+IF(ISNUMBER(O464),O464,0)*Parametros!$K$8)/Parametros!$B$2))</f>
        <v/>
      </c>
      <c r="Q464" t="str">
        <f>IF(F464="","",IF(COUNTIF(J464:O464,"D")&gt;0,"Desiste",IF(IFERROR(P464,0)&gt;=Parametros!$B$1,"Aprueba","No aprueba")))</f>
        <v/>
      </c>
      <c r="T464" t="str">
        <f>IF($Q464="Aprueba",COUNTIF($Q$2:$Q464,"Aprueba"),"")</f>
        <v/>
      </c>
    </row>
    <row r="465" spans="16:20" ht="14.25" customHeight="1">
      <c r="P465" t="str">
        <f>IF(F465="","",IF(COUNTIF(J465:O465,"D")&gt;0,"",(IF(ISNUMBER(J465),J465,0)*Parametros!$K$4+IF(ISNUMBER(K465),K465,0)*Parametros!$K$5+IF(ISNUMBER(M465),M465,0)*Parametros!$K$6+IF(ISNUMBER(N465),N465,0)*Parametros!$K$7+IF(ISNUMBER(O465),O465,0)*Parametros!$K$8)/Parametros!$B$2))</f>
        <v/>
      </c>
      <c r="Q465" t="str">
        <f>IF(F465="","",IF(COUNTIF(J465:O465,"D")&gt;0,"Desiste",IF(IFERROR(P465,0)&gt;=Parametros!$B$1,"Aprueba","No aprueba")))</f>
        <v/>
      </c>
      <c r="T465" t="str">
        <f>IF($Q465="Aprueba",COUNTIF($Q$2:$Q465,"Aprueba"),"")</f>
        <v/>
      </c>
    </row>
    <row r="466" spans="16:20" ht="14.25" customHeight="1">
      <c r="P466" t="str">
        <f>IF(F466="","",IF(COUNTIF(J466:O466,"D")&gt;0,"",(IF(ISNUMBER(J466),J466,0)*Parametros!$K$4+IF(ISNUMBER(K466),K466,0)*Parametros!$K$5+IF(ISNUMBER(M466),M466,0)*Parametros!$K$6+IF(ISNUMBER(N466),N466,0)*Parametros!$K$7+IF(ISNUMBER(O466),O466,0)*Parametros!$K$8)/Parametros!$B$2))</f>
        <v/>
      </c>
      <c r="Q466" t="str">
        <f>IF(F466="","",IF(COUNTIF(J466:O466,"D")&gt;0,"Desiste",IF(IFERROR(P466,0)&gt;=Parametros!$B$1,"Aprueba","No aprueba")))</f>
        <v/>
      </c>
      <c r="T466" t="str">
        <f>IF($Q466="Aprueba",COUNTIF($Q$2:$Q466,"Aprueba"),"")</f>
        <v/>
      </c>
    </row>
    <row r="467" spans="16:20" ht="14.25" customHeight="1">
      <c r="P467" t="str">
        <f>IF(F467="","",IF(COUNTIF(J467:O467,"D")&gt;0,"",(IF(ISNUMBER(J467),J467,0)*Parametros!$K$4+IF(ISNUMBER(K467),K467,0)*Parametros!$K$5+IF(ISNUMBER(M467),M467,0)*Parametros!$K$6+IF(ISNUMBER(N467),N467,0)*Parametros!$K$7+IF(ISNUMBER(O467),O467,0)*Parametros!$K$8)/Parametros!$B$2))</f>
        <v/>
      </c>
      <c r="Q467" t="str">
        <f>IF(F467="","",IF(COUNTIF(J467:O467,"D")&gt;0,"Desiste",IF(IFERROR(P467,0)&gt;=Parametros!$B$1,"Aprueba","No aprueba")))</f>
        <v/>
      </c>
      <c r="T467" t="str">
        <f>IF($Q467="Aprueba",COUNTIF($Q$2:$Q467,"Aprueba"),"")</f>
        <v/>
      </c>
    </row>
    <row r="468" spans="16:20" ht="14.25" customHeight="1">
      <c r="P468" t="str">
        <f>IF(F468="","",IF(COUNTIF(J468:O468,"D")&gt;0,"",(IF(ISNUMBER(J468),J468,0)*Parametros!$K$4+IF(ISNUMBER(K468),K468,0)*Parametros!$K$5+IF(ISNUMBER(M468),M468,0)*Parametros!$K$6+IF(ISNUMBER(N468),N468,0)*Parametros!$K$7+IF(ISNUMBER(O468),O468,0)*Parametros!$K$8)/Parametros!$B$2))</f>
        <v/>
      </c>
      <c r="Q468" t="str">
        <f>IF(F468="","",IF(COUNTIF(J468:O468,"D")&gt;0,"Desiste",IF(IFERROR(P468,0)&gt;=Parametros!$B$1,"Aprueba","No aprueba")))</f>
        <v/>
      </c>
      <c r="T468" t="str">
        <f>IF($Q468="Aprueba",COUNTIF($Q$2:$Q468,"Aprueba"),"")</f>
        <v/>
      </c>
    </row>
    <row r="469" spans="16:20" ht="14.25" customHeight="1">
      <c r="P469" t="str">
        <f>IF(F469="","",IF(COUNTIF(J469:O469,"D")&gt;0,"",(IF(ISNUMBER(J469),J469,0)*Parametros!$K$4+IF(ISNUMBER(K469),K469,0)*Parametros!$K$5+IF(ISNUMBER(M469),M469,0)*Parametros!$K$6+IF(ISNUMBER(N469),N469,0)*Parametros!$K$7+IF(ISNUMBER(O469),O469,0)*Parametros!$K$8)/Parametros!$B$2))</f>
        <v/>
      </c>
      <c r="Q469" t="str">
        <f>IF(F469="","",IF(COUNTIF(J469:O469,"D")&gt;0,"Desiste",IF(IFERROR(P469,0)&gt;=Parametros!$B$1,"Aprueba","No aprueba")))</f>
        <v/>
      </c>
      <c r="T469" t="str">
        <f>IF($Q469="Aprueba",COUNTIF($Q$2:$Q469,"Aprueba"),"")</f>
        <v/>
      </c>
    </row>
    <row r="470" spans="16:20" ht="14.25" customHeight="1">
      <c r="P470" t="str">
        <f>IF(F470="","",IF(COUNTIF(J470:O470,"D")&gt;0,"",(IF(ISNUMBER(J470),J470,0)*Parametros!$K$4+IF(ISNUMBER(K470),K470,0)*Parametros!$K$5+IF(ISNUMBER(M470),M470,0)*Parametros!$K$6+IF(ISNUMBER(N470),N470,0)*Parametros!$K$7+IF(ISNUMBER(O470),O470,0)*Parametros!$K$8)/Parametros!$B$2))</f>
        <v/>
      </c>
      <c r="Q470" t="str">
        <f>IF(F470="","",IF(COUNTIF(J470:O470,"D")&gt;0,"Desiste",IF(IFERROR(P470,0)&gt;=Parametros!$B$1,"Aprueba","No aprueba")))</f>
        <v/>
      </c>
      <c r="T470" t="str">
        <f>IF($Q470="Aprueba",COUNTIF($Q$2:$Q470,"Aprueba"),"")</f>
        <v/>
      </c>
    </row>
    <row r="471" spans="16:20" ht="14.25" customHeight="1">
      <c r="P471" t="str">
        <f>IF(F471="","",IF(COUNTIF(J471:O471,"D")&gt;0,"",(IF(ISNUMBER(J471),J471,0)*Parametros!$K$4+IF(ISNUMBER(K471),K471,0)*Parametros!$K$5+IF(ISNUMBER(M471),M471,0)*Parametros!$K$6+IF(ISNUMBER(N471),N471,0)*Parametros!$K$7+IF(ISNUMBER(O471),O471,0)*Parametros!$K$8)/Parametros!$B$2))</f>
        <v/>
      </c>
      <c r="Q471" t="str">
        <f>IF(F471="","",IF(COUNTIF(J471:O471,"D")&gt;0,"Desiste",IF(IFERROR(P471,0)&gt;=Parametros!$B$1,"Aprueba","No aprueba")))</f>
        <v/>
      </c>
      <c r="T471" t="str">
        <f>IF($Q471="Aprueba",COUNTIF($Q$2:$Q471,"Aprueba"),"")</f>
        <v/>
      </c>
    </row>
    <row r="472" spans="16:20" ht="14.25" customHeight="1">
      <c r="P472" t="str">
        <f>IF(F472="","",IF(COUNTIF(J472:O472,"D")&gt;0,"",(IF(ISNUMBER(J472),J472,0)*Parametros!$K$4+IF(ISNUMBER(K472),K472,0)*Parametros!$K$5+IF(ISNUMBER(M472),M472,0)*Parametros!$K$6+IF(ISNUMBER(N472),N472,0)*Parametros!$K$7+IF(ISNUMBER(O472),O472,0)*Parametros!$K$8)/Parametros!$B$2))</f>
        <v/>
      </c>
      <c r="Q472" t="str">
        <f>IF(F472="","",IF(COUNTIF(J472:O472,"D")&gt;0,"Desiste",IF(IFERROR(P472,0)&gt;=Parametros!$B$1,"Aprueba","No aprueba")))</f>
        <v/>
      </c>
      <c r="T472" t="str">
        <f>IF($Q472="Aprueba",COUNTIF($Q$2:$Q472,"Aprueba"),"")</f>
        <v/>
      </c>
    </row>
    <row r="473" spans="16:20" ht="14.25" customHeight="1">
      <c r="P473" t="str">
        <f>IF(F473="","",IF(COUNTIF(J473:O473,"D")&gt;0,"",(IF(ISNUMBER(J473),J473,0)*Parametros!$K$4+IF(ISNUMBER(K473),K473,0)*Parametros!$K$5+IF(ISNUMBER(M473),M473,0)*Parametros!$K$6+IF(ISNUMBER(N473),N473,0)*Parametros!$K$7+IF(ISNUMBER(O473),O473,0)*Parametros!$K$8)/Parametros!$B$2))</f>
        <v/>
      </c>
      <c r="Q473" t="str">
        <f>IF(F473="","",IF(COUNTIF(J473:O473,"D")&gt;0,"Desiste",IF(IFERROR(P473,0)&gt;=Parametros!$B$1,"Aprueba","No aprueba")))</f>
        <v/>
      </c>
      <c r="T473" t="str">
        <f>IF($Q473="Aprueba",COUNTIF($Q$2:$Q473,"Aprueba"),"")</f>
        <v/>
      </c>
    </row>
    <row r="474" spans="16:20" ht="14.25" customHeight="1">
      <c r="P474" t="str">
        <f>IF(F474="","",IF(COUNTIF(J474:O474,"D")&gt;0,"",(IF(ISNUMBER(J474),J474,0)*Parametros!$K$4+IF(ISNUMBER(K474),K474,0)*Parametros!$K$5+IF(ISNUMBER(M474),M474,0)*Parametros!$K$6+IF(ISNUMBER(N474),N474,0)*Parametros!$K$7+IF(ISNUMBER(O474),O474,0)*Parametros!$K$8)/Parametros!$B$2))</f>
        <v/>
      </c>
      <c r="Q474" t="str">
        <f>IF(F474="","",IF(COUNTIF(J474:O474,"D")&gt;0,"Desiste",IF(IFERROR(P474,0)&gt;=Parametros!$B$1,"Aprueba","No aprueba")))</f>
        <v/>
      </c>
      <c r="T474" t="str">
        <f>IF($Q474="Aprueba",COUNTIF($Q$2:$Q474,"Aprueba"),"")</f>
        <v/>
      </c>
    </row>
    <row r="475" spans="16:20" ht="14.25" customHeight="1">
      <c r="P475" t="str">
        <f>IF(F475="","",IF(COUNTIF(J475:O475,"D")&gt;0,"",(IF(ISNUMBER(J475),J475,0)*Parametros!$K$4+IF(ISNUMBER(K475),K475,0)*Parametros!$K$5+IF(ISNUMBER(M475),M475,0)*Parametros!$K$6+IF(ISNUMBER(N475),N475,0)*Parametros!$K$7+IF(ISNUMBER(O475),O475,0)*Parametros!$K$8)/Parametros!$B$2))</f>
        <v/>
      </c>
      <c r="Q475" t="str">
        <f>IF(F475="","",IF(COUNTIF(J475:O475,"D")&gt;0,"Desiste",IF(IFERROR(P475,0)&gt;=Parametros!$B$1,"Aprueba","No aprueba")))</f>
        <v/>
      </c>
      <c r="T475" t="str">
        <f>IF($Q475="Aprueba",COUNTIF($Q$2:$Q475,"Aprueba"),"")</f>
        <v/>
      </c>
    </row>
    <row r="476" spans="16:20" ht="14.25" customHeight="1">
      <c r="P476" t="str">
        <f>IF(F476="","",IF(COUNTIF(J476:O476,"D")&gt;0,"",(IF(ISNUMBER(J476),J476,0)*Parametros!$K$4+IF(ISNUMBER(K476),K476,0)*Parametros!$K$5+IF(ISNUMBER(M476),M476,0)*Parametros!$K$6+IF(ISNUMBER(N476),N476,0)*Parametros!$K$7+IF(ISNUMBER(O476),O476,0)*Parametros!$K$8)/Parametros!$B$2))</f>
        <v/>
      </c>
      <c r="Q476" t="str">
        <f>IF(F476="","",IF(COUNTIF(J476:O476,"D")&gt;0,"Desiste",IF(IFERROR(P476,0)&gt;=Parametros!$B$1,"Aprueba","No aprueba")))</f>
        <v/>
      </c>
      <c r="T476" t="str">
        <f>IF($Q476="Aprueba",COUNTIF($Q$2:$Q476,"Aprueba"),"")</f>
        <v/>
      </c>
    </row>
    <row r="477" spans="16:20" ht="14.25" customHeight="1">
      <c r="P477" t="str">
        <f>IF(F477="","",IF(COUNTIF(J477:O477,"D")&gt;0,"",(IF(ISNUMBER(J477),J477,0)*Parametros!$K$4+IF(ISNUMBER(K477),K477,0)*Parametros!$K$5+IF(ISNUMBER(M477),M477,0)*Parametros!$K$6+IF(ISNUMBER(N477),N477,0)*Parametros!$K$7+IF(ISNUMBER(O477),O477,0)*Parametros!$K$8)/Parametros!$B$2))</f>
        <v/>
      </c>
      <c r="Q477" t="str">
        <f>IF(F477="","",IF(COUNTIF(J477:O477,"D")&gt;0,"Desiste",IF(IFERROR(P477,0)&gt;=Parametros!$B$1,"Aprueba","No aprueba")))</f>
        <v/>
      </c>
      <c r="T477" t="str">
        <f>IF($Q477="Aprueba",COUNTIF($Q$2:$Q477,"Aprueba"),"")</f>
        <v/>
      </c>
    </row>
    <row r="478" spans="16:20" ht="14.25" customHeight="1">
      <c r="P478" t="str">
        <f>IF(F478="","",IF(COUNTIF(J478:O478,"D")&gt;0,"",(IF(ISNUMBER(J478),J478,0)*Parametros!$K$4+IF(ISNUMBER(K478),K478,0)*Parametros!$K$5+IF(ISNUMBER(M478),M478,0)*Parametros!$K$6+IF(ISNUMBER(N478),N478,0)*Parametros!$K$7+IF(ISNUMBER(O478),O478,0)*Parametros!$K$8)/Parametros!$B$2))</f>
        <v/>
      </c>
      <c r="Q478" t="str">
        <f>IF(F478="","",IF(COUNTIF(J478:O478,"D")&gt;0,"Desiste",IF(IFERROR(P478,0)&gt;=Parametros!$B$1,"Aprueba","No aprueba")))</f>
        <v/>
      </c>
      <c r="T478" t="str">
        <f>IF($Q478="Aprueba",COUNTIF($Q$2:$Q478,"Aprueba"),"")</f>
        <v/>
      </c>
    </row>
    <row r="479" spans="16:20" ht="14.25" customHeight="1">
      <c r="P479" t="str">
        <f>IF(F479="","",IF(COUNTIF(J479:O479,"D")&gt;0,"",(IF(ISNUMBER(J479),J479,0)*Parametros!$K$4+IF(ISNUMBER(K479),K479,0)*Parametros!$K$5+IF(ISNUMBER(M479),M479,0)*Parametros!$K$6+IF(ISNUMBER(N479),N479,0)*Parametros!$K$7+IF(ISNUMBER(O479),O479,0)*Parametros!$K$8)/Parametros!$B$2))</f>
        <v/>
      </c>
      <c r="Q479" t="str">
        <f>IF(F479="","",IF(COUNTIF(J479:O479,"D")&gt;0,"Desiste",IF(IFERROR(P479,0)&gt;=Parametros!$B$1,"Aprueba","No aprueba")))</f>
        <v/>
      </c>
      <c r="T479" t="str">
        <f>IF($Q479="Aprueba",COUNTIF($Q$2:$Q479,"Aprueba"),"")</f>
        <v/>
      </c>
    </row>
    <row r="480" spans="16:20" ht="14.25" customHeight="1">
      <c r="P480" t="str">
        <f>IF(F480="","",IF(COUNTIF(J480:O480,"D")&gt;0,"",(IF(ISNUMBER(J480),J480,0)*Parametros!$K$4+IF(ISNUMBER(K480),K480,0)*Parametros!$K$5+IF(ISNUMBER(M480),M480,0)*Parametros!$K$6+IF(ISNUMBER(N480),N480,0)*Parametros!$K$7+IF(ISNUMBER(O480),O480,0)*Parametros!$K$8)/Parametros!$B$2))</f>
        <v/>
      </c>
      <c r="Q480" t="str">
        <f>IF(F480="","",IF(COUNTIF(J480:O480,"D")&gt;0,"Desiste",IF(IFERROR(P480,0)&gt;=Parametros!$B$1,"Aprueba","No aprueba")))</f>
        <v/>
      </c>
      <c r="T480" t="str">
        <f>IF($Q480="Aprueba",COUNTIF($Q$2:$Q480,"Aprueba"),"")</f>
        <v/>
      </c>
    </row>
    <row r="481" spans="16:20" ht="14.25" customHeight="1">
      <c r="P481" t="str">
        <f>IF(F481="","",IF(COUNTIF(J481:O481,"D")&gt;0,"",(IF(ISNUMBER(J481),J481,0)*Parametros!$K$4+IF(ISNUMBER(K481),K481,0)*Parametros!$K$5+IF(ISNUMBER(M481),M481,0)*Parametros!$K$6+IF(ISNUMBER(N481),N481,0)*Parametros!$K$7+IF(ISNUMBER(O481),O481,0)*Parametros!$K$8)/Parametros!$B$2))</f>
        <v/>
      </c>
      <c r="Q481" t="str">
        <f>IF(F481="","",IF(COUNTIF(J481:O481,"D")&gt;0,"Desiste",IF(IFERROR(P481,0)&gt;=Parametros!$B$1,"Aprueba","No aprueba")))</f>
        <v/>
      </c>
      <c r="T481" t="str">
        <f>IF($Q481="Aprueba",COUNTIF($Q$2:$Q481,"Aprueba"),"")</f>
        <v/>
      </c>
    </row>
    <row r="482" spans="16:20" ht="14.25" customHeight="1">
      <c r="P482" t="str">
        <f>IF(F482="","",IF(COUNTIF(J482:O482,"D")&gt;0,"",(IF(ISNUMBER(J482),J482,0)*Parametros!$K$4+IF(ISNUMBER(K482),K482,0)*Parametros!$K$5+IF(ISNUMBER(M482),M482,0)*Parametros!$K$6+IF(ISNUMBER(N482),N482,0)*Parametros!$K$7+IF(ISNUMBER(O482),O482,0)*Parametros!$K$8)/Parametros!$B$2))</f>
        <v/>
      </c>
      <c r="Q482" t="str">
        <f>IF(F482="","",IF(COUNTIF(J482:O482,"D")&gt;0,"Desiste",IF(IFERROR(P482,0)&gt;=Parametros!$B$1,"Aprueba","No aprueba")))</f>
        <v/>
      </c>
      <c r="T482" t="str">
        <f>IF($Q482="Aprueba",COUNTIF($Q$2:$Q482,"Aprueba"),"")</f>
        <v/>
      </c>
    </row>
    <row r="483" spans="16:20" ht="14.25" customHeight="1">
      <c r="P483" t="str">
        <f>IF(F483="","",IF(COUNTIF(J483:O483,"D")&gt;0,"",(IF(ISNUMBER(J483),J483,0)*Parametros!$K$4+IF(ISNUMBER(K483),K483,0)*Parametros!$K$5+IF(ISNUMBER(M483),M483,0)*Parametros!$K$6+IF(ISNUMBER(N483),N483,0)*Parametros!$K$7+IF(ISNUMBER(O483),O483,0)*Parametros!$K$8)/Parametros!$B$2))</f>
        <v/>
      </c>
      <c r="Q483" t="str">
        <f>IF(F483="","",IF(COUNTIF(J483:O483,"D")&gt;0,"Desiste",IF(IFERROR(P483,0)&gt;=Parametros!$B$1,"Aprueba","No aprueba")))</f>
        <v/>
      </c>
      <c r="T483" t="str">
        <f>IF($Q483="Aprueba",COUNTIF($Q$2:$Q483,"Aprueba"),"")</f>
        <v/>
      </c>
    </row>
    <row r="484" spans="16:20" ht="14.25" customHeight="1">
      <c r="P484" t="str">
        <f>IF(F484="","",IF(COUNTIF(J484:O484,"D")&gt;0,"",(IF(ISNUMBER(J484),J484,0)*Parametros!$K$4+IF(ISNUMBER(K484),K484,0)*Parametros!$K$5+IF(ISNUMBER(M484),M484,0)*Parametros!$K$6+IF(ISNUMBER(N484),N484,0)*Parametros!$K$7+IF(ISNUMBER(O484),O484,0)*Parametros!$K$8)/Parametros!$B$2))</f>
        <v/>
      </c>
      <c r="Q484" t="str">
        <f>IF(F484="","",IF(COUNTIF(J484:O484,"D")&gt;0,"Desiste",IF(IFERROR(P484,0)&gt;=Parametros!$B$1,"Aprueba","No aprueba")))</f>
        <v/>
      </c>
      <c r="T484" t="str">
        <f>IF($Q484="Aprueba",COUNTIF($Q$2:$Q484,"Aprueba"),"")</f>
        <v/>
      </c>
    </row>
    <row r="485" spans="16:20" ht="14.25" customHeight="1">
      <c r="P485" t="str">
        <f>IF(F485="","",IF(COUNTIF(J485:O485,"D")&gt;0,"",(IF(ISNUMBER(J485),J485,0)*Parametros!$K$4+IF(ISNUMBER(K485),K485,0)*Parametros!$K$5+IF(ISNUMBER(M485),M485,0)*Parametros!$K$6+IF(ISNUMBER(N485),N485,0)*Parametros!$K$7+IF(ISNUMBER(O485),O485,0)*Parametros!$K$8)/Parametros!$B$2))</f>
        <v/>
      </c>
      <c r="Q485" t="str">
        <f>IF(F485="","",IF(COUNTIF(J485:O485,"D")&gt;0,"Desiste",IF(IFERROR(P485,0)&gt;=Parametros!$B$1,"Aprueba","No aprueba")))</f>
        <v/>
      </c>
      <c r="T485" t="str">
        <f>IF($Q485="Aprueba",COUNTIF($Q$2:$Q485,"Aprueba"),"")</f>
        <v/>
      </c>
    </row>
    <row r="486" spans="16:20" ht="14.25" customHeight="1">
      <c r="P486" t="str">
        <f>IF(F486="","",IF(COUNTIF(J486:O486,"D")&gt;0,"",(IF(ISNUMBER(J486),J486,0)*Parametros!$K$4+IF(ISNUMBER(K486),K486,0)*Parametros!$K$5+IF(ISNUMBER(M486),M486,0)*Parametros!$K$6+IF(ISNUMBER(N486),N486,0)*Parametros!$K$7+IF(ISNUMBER(O486),O486,0)*Parametros!$K$8)/Parametros!$B$2))</f>
        <v/>
      </c>
      <c r="Q486" t="str">
        <f>IF(F486="","",IF(COUNTIF(J486:O486,"D")&gt;0,"Desiste",IF(IFERROR(P486,0)&gt;=Parametros!$B$1,"Aprueba","No aprueba")))</f>
        <v/>
      </c>
      <c r="T486" t="str">
        <f>IF($Q486="Aprueba",COUNTIF($Q$2:$Q486,"Aprueba"),"")</f>
        <v/>
      </c>
    </row>
    <row r="487" spans="16:20" ht="14.25" customHeight="1">
      <c r="P487" t="str">
        <f>IF(F487="","",IF(COUNTIF(J487:O487,"D")&gt;0,"",(IF(ISNUMBER(J487),J487,0)*Parametros!$K$4+IF(ISNUMBER(K487),K487,0)*Parametros!$K$5+IF(ISNUMBER(M487),M487,0)*Parametros!$K$6+IF(ISNUMBER(N487),N487,0)*Parametros!$K$7+IF(ISNUMBER(O487),O487,0)*Parametros!$K$8)/Parametros!$B$2))</f>
        <v/>
      </c>
      <c r="Q487" t="str">
        <f>IF(F487="","",IF(COUNTIF(J487:O487,"D")&gt;0,"Desiste",IF(IFERROR(P487,0)&gt;=Parametros!$B$1,"Aprueba","No aprueba")))</f>
        <v/>
      </c>
      <c r="T487" t="str">
        <f>IF($Q487="Aprueba",COUNTIF($Q$2:$Q487,"Aprueba"),"")</f>
        <v/>
      </c>
    </row>
    <row r="488" spans="16:20" ht="14.25" customHeight="1">
      <c r="P488" t="str">
        <f>IF(F488="","",IF(COUNTIF(J488:O488,"D")&gt;0,"",(IF(ISNUMBER(J488),J488,0)*Parametros!$K$4+IF(ISNUMBER(K488),K488,0)*Parametros!$K$5+IF(ISNUMBER(M488),M488,0)*Parametros!$K$6+IF(ISNUMBER(N488),N488,0)*Parametros!$K$7+IF(ISNUMBER(O488),O488,0)*Parametros!$K$8)/Parametros!$B$2))</f>
        <v/>
      </c>
      <c r="Q488" t="str">
        <f>IF(F488="","",IF(COUNTIF(J488:O488,"D")&gt;0,"Desiste",IF(IFERROR(P488,0)&gt;=Parametros!$B$1,"Aprueba","No aprueba")))</f>
        <v/>
      </c>
      <c r="T488" t="str">
        <f>IF($Q488="Aprueba",COUNTIF($Q$2:$Q488,"Aprueba"),"")</f>
        <v/>
      </c>
    </row>
    <row r="489" spans="16:20" ht="14.25" customHeight="1">
      <c r="P489" t="str">
        <f>IF(F489="","",IF(COUNTIF(J489:O489,"D")&gt;0,"",(IF(ISNUMBER(J489),J489,0)*Parametros!$K$4+IF(ISNUMBER(K489),K489,0)*Parametros!$K$5+IF(ISNUMBER(M489),M489,0)*Parametros!$K$6+IF(ISNUMBER(N489),N489,0)*Parametros!$K$7+IF(ISNUMBER(O489),O489,0)*Parametros!$K$8)/Parametros!$B$2))</f>
        <v/>
      </c>
      <c r="Q489" t="str">
        <f>IF(F489="","",IF(COUNTIF(J489:O489,"D")&gt;0,"Desiste",IF(IFERROR(P489,0)&gt;=Parametros!$B$1,"Aprueba","No aprueba")))</f>
        <v/>
      </c>
      <c r="T489" t="str">
        <f>IF($Q489="Aprueba",COUNTIF($Q$2:$Q489,"Aprueba"),"")</f>
        <v/>
      </c>
    </row>
    <row r="490" spans="16:20" ht="14.25" customHeight="1">
      <c r="P490" t="str">
        <f>IF(F490="","",IF(COUNTIF(J490:O490,"D")&gt;0,"",(IF(ISNUMBER(J490),J490,0)*Parametros!$K$4+IF(ISNUMBER(K490),K490,0)*Parametros!$K$5+IF(ISNUMBER(M490),M490,0)*Parametros!$K$6+IF(ISNUMBER(N490),N490,0)*Parametros!$K$7+IF(ISNUMBER(O490),O490,0)*Parametros!$K$8)/Parametros!$B$2))</f>
        <v/>
      </c>
      <c r="Q490" t="str">
        <f>IF(F490="","",IF(COUNTIF(J490:O490,"D")&gt;0,"Desiste",IF(IFERROR(P490,0)&gt;=Parametros!$B$1,"Aprueba","No aprueba")))</f>
        <v/>
      </c>
      <c r="T490" t="str">
        <f>IF($Q490="Aprueba",COUNTIF($Q$2:$Q490,"Aprueba"),"")</f>
        <v/>
      </c>
    </row>
    <row r="491" spans="16:20" ht="14.25" customHeight="1">
      <c r="P491" t="str">
        <f>IF(F491="","",IF(COUNTIF(J491:O491,"D")&gt;0,"",(IF(ISNUMBER(J491),J491,0)*Parametros!$K$4+IF(ISNUMBER(K491),K491,0)*Parametros!$K$5+IF(ISNUMBER(M491),M491,0)*Parametros!$K$6+IF(ISNUMBER(N491),N491,0)*Parametros!$K$7+IF(ISNUMBER(O491),O491,0)*Parametros!$K$8)/Parametros!$B$2))</f>
        <v/>
      </c>
      <c r="Q491" t="str">
        <f>IF(F491="","",IF(COUNTIF(J491:O491,"D")&gt;0,"Desiste",IF(IFERROR(P491,0)&gt;=Parametros!$B$1,"Aprueba","No aprueba")))</f>
        <v/>
      </c>
      <c r="T491" t="str">
        <f>IF($Q491="Aprueba",COUNTIF($Q$2:$Q491,"Aprueba"),"")</f>
        <v/>
      </c>
    </row>
    <row r="492" spans="16:20" ht="14.25" customHeight="1">
      <c r="P492" t="str">
        <f>IF(F492="","",IF(COUNTIF(J492:O492,"D")&gt;0,"",(IF(ISNUMBER(J492),J492,0)*Parametros!$K$4+IF(ISNUMBER(K492),K492,0)*Parametros!$K$5+IF(ISNUMBER(M492),M492,0)*Parametros!$K$6+IF(ISNUMBER(N492),N492,0)*Parametros!$K$7+IF(ISNUMBER(O492),O492,0)*Parametros!$K$8)/Parametros!$B$2))</f>
        <v/>
      </c>
      <c r="Q492" t="str">
        <f>IF(F492="","",IF(COUNTIF(J492:O492,"D")&gt;0,"Desiste",IF(IFERROR(P492,0)&gt;=Parametros!$B$1,"Aprueba","No aprueba")))</f>
        <v/>
      </c>
      <c r="T492" t="str">
        <f>IF($Q492="Aprueba",COUNTIF($Q$2:$Q492,"Aprueba"),"")</f>
        <v/>
      </c>
    </row>
    <row r="493" spans="16:20" ht="14.25" customHeight="1">
      <c r="P493" t="str">
        <f>IF(F493="","",IF(COUNTIF(J493:O493,"D")&gt;0,"",(IF(ISNUMBER(J493),J493,0)*Parametros!$K$4+IF(ISNUMBER(K493),K493,0)*Parametros!$K$5+IF(ISNUMBER(M493),M493,0)*Parametros!$K$6+IF(ISNUMBER(N493),N493,0)*Parametros!$K$7+IF(ISNUMBER(O493),O493,0)*Parametros!$K$8)/Parametros!$B$2))</f>
        <v/>
      </c>
      <c r="Q493" t="str">
        <f>IF(F493="","",IF(COUNTIF(J493:O493,"D")&gt;0,"Desiste",IF(IFERROR(P493,0)&gt;=Parametros!$B$1,"Aprueba","No aprueba")))</f>
        <v/>
      </c>
      <c r="T493" t="str">
        <f>IF($Q493="Aprueba",COUNTIF($Q$2:$Q493,"Aprueba"),"")</f>
        <v/>
      </c>
    </row>
    <row r="494" spans="16:20" ht="14.25" customHeight="1">
      <c r="P494" t="str">
        <f>IF(F494="","",IF(COUNTIF(J494:O494,"D")&gt;0,"",(IF(ISNUMBER(J494),J494,0)*Parametros!$K$4+IF(ISNUMBER(K494),K494,0)*Parametros!$K$5+IF(ISNUMBER(M494),M494,0)*Parametros!$K$6+IF(ISNUMBER(N494),N494,0)*Parametros!$K$7+IF(ISNUMBER(O494),O494,0)*Parametros!$K$8)/Parametros!$B$2))</f>
        <v/>
      </c>
      <c r="Q494" t="str">
        <f>IF(F494="","",IF(COUNTIF(J494:O494,"D")&gt;0,"Desiste",IF(IFERROR(P494,0)&gt;=Parametros!$B$1,"Aprueba","No aprueba")))</f>
        <v/>
      </c>
      <c r="T494" t="str">
        <f>IF($Q494="Aprueba",COUNTIF($Q$2:$Q494,"Aprueba"),"")</f>
        <v/>
      </c>
    </row>
    <row r="495" spans="16:20" ht="14.25" customHeight="1">
      <c r="P495" t="str">
        <f>IF(F495="","",IF(COUNTIF(J495:O495,"D")&gt;0,"",(IF(ISNUMBER(J495),J495,0)*Parametros!$K$4+IF(ISNUMBER(K495),K495,0)*Parametros!$K$5+IF(ISNUMBER(M495),M495,0)*Parametros!$K$6+IF(ISNUMBER(N495),N495,0)*Parametros!$K$7+IF(ISNUMBER(O495),O495,0)*Parametros!$K$8)/Parametros!$B$2))</f>
        <v/>
      </c>
      <c r="Q495" t="str">
        <f>IF(F495="","",IF(COUNTIF(J495:O495,"D")&gt;0,"Desiste",IF(IFERROR(P495,0)&gt;=Parametros!$B$1,"Aprueba","No aprueba")))</f>
        <v/>
      </c>
      <c r="T495" t="str">
        <f>IF($Q495="Aprueba",COUNTIF($Q$2:$Q495,"Aprueba"),"")</f>
        <v/>
      </c>
    </row>
    <row r="496" spans="16:20" ht="14.25" customHeight="1">
      <c r="P496" t="str">
        <f>IF(F496="","",IF(COUNTIF(J496:O496,"D")&gt;0,"",(IF(ISNUMBER(J496),J496,0)*Parametros!$K$4+IF(ISNUMBER(K496),K496,0)*Parametros!$K$5+IF(ISNUMBER(M496),M496,0)*Parametros!$K$6+IF(ISNUMBER(N496),N496,0)*Parametros!$K$7+IF(ISNUMBER(O496),O496,0)*Parametros!$K$8)/Parametros!$B$2))</f>
        <v/>
      </c>
      <c r="Q496" t="str">
        <f>IF(F496="","",IF(COUNTIF(J496:O496,"D")&gt;0,"Desiste",IF(IFERROR(P496,0)&gt;=Parametros!$B$1,"Aprueba","No aprueba")))</f>
        <v/>
      </c>
      <c r="T496" t="str">
        <f>IF($Q496="Aprueba",COUNTIF($Q$2:$Q496,"Aprueba"),"")</f>
        <v/>
      </c>
    </row>
    <row r="497" spans="16:20" ht="14.25" customHeight="1">
      <c r="P497" t="str">
        <f>IF(F497="","",IF(COUNTIF(J497:O497,"D")&gt;0,"",(IF(ISNUMBER(J497),J497,0)*Parametros!$K$4+IF(ISNUMBER(K497),K497,0)*Parametros!$K$5+IF(ISNUMBER(M497),M497,0)*Parametros!$K$6+IF(ISNUMBER(N497),N497,0)*Parametros!$K$7+IF(ISNUMBER(O497),O497,0)*Parametros!$K$8)/Parametros!$B$2))</f>
        <v/>
      </c>
      <c r="Q497" t="str">
        <f>IF(F497="","",IF(COUNTIF(J497:O497,"D")&gt;0,"Desiste",IF(IFERROR(P497,0)&gt;=Parametros!$B$1,"Aprueba","No aprueba")))</f>
        <v/>
      </c>
      <c r="T497" t="str">
        <f>IF($Q497="Aprueba",COUNTIF($Q$2:$Q497,"Aprueba"),"")</f>
        <v/>
      </c>
    </row>
    <row r="498" spans="16:20" ht="14.25" customHeight="1">
      <c r="P498" t="str">
        <f>IF(F498="","",IF(COUNTIF(J498:O498,"D")&gt;0,"",(IF(ISNUMBER(J498),J498,0)*Parametros!$K$4+IF(ISNUMBER(K498),K498,0)*Parametros!$K$5+IF(ISNUMBER(M498),M498,0)*Parametros!$K$6+IF(ISNUMBER(N498),N498,0)*Parametros!$K$7+IF(ISNUMBER(O498),O498,0)*Parametros!$K$8)/Parametros!$B$2))</f>
        <v/>
      </c>
      <c r="Q498" t="str">
        <f>IF(F498="","",IF(COUNTIF(J498:O498,"D")&gt;0,"Desiste",IF(IFERROR(P498,0)&gt;=Parametros!$B$1,"Aprueba","No aprueba")))</f>
        <v/>
      </c>
      <c r="T498" t="str">
        <f>IF($Q498="Aprueba",COUNTIF($Q$2:$Q498,"Aprueba"),"")</f>
        <v/>
      </c>
    </row>
    <row r="499" spans="16:20" ht="14.25" customHeight="1">
      <c r="P499" t="str">
        <f>IF(F499="","",IF(COUNTIF(J499:O499,"D")&gt;0,"",(IF(ISNUMBER(J499),J499,0)*Parametros!$K$4+IF(ISNUMBER(K499),K499,0)*Parametros!$K$5+IF(ISNUMBER(M499),M499,0)*Parametros!$K$6+IF(ISNUMBER(N499),N499,0)*Parametros!$K$7+IF(ISNUMBER(O499),O499,0)*Parametros!$K$8)/Parametros!$B$2))</f>
        <v/>
      </c>
      <c r="Q499" t="str">
        <f>IF(F499="","",IF(COUNTIF(J499:O499,"D")&gt;0,"Desiste",IF(IFERROR(P499,0)&gt;=Parametros!$B$1,"Aprueba","No aprueba")))</f>
        <v/>
      </c>
      <c r="T499" t="str">
        <f>IF($Q499="Aprueba",COUNTIF($Q$2:$Q499,"Aprueba"),"")</f>
        <v/>
      </c>
    </row>
    <row r="500" spans="16:20" ht="14.25" customHeight="1">
      <c r="P500" t="str">
        <f>IF(F500="","",IF(COUNTIF(J500:O500,"D")&gt;0,"",(IF(ISNUMBER(J500),J500,0)*Parametros!$K$4+IF(ISNUMBER(K500),K500,0)*Parametros!$K$5+IF(ISNUMBER(M500),M500,0)*Parametros!$K$6+IF(ISNUMBER(N500),N500,0)*Parametros!$K$7+IF(ISNUMBER(O500),O500,0)*Parametros!$K$8)/Parametros!$B$2))</f>
        <v/>
      </c>
      <c r="Q500" t="str">
        <f>IF(F500="","",IF(COUNTIF(J500:O500,"D")&gt;0,"Desiste",IF(IFERROR(P500,0)&gt;=Parametros!$B$1,"Aprueba","No aprueba")))</f>
        <v/>
      </c>
      <c r="T500" t="str">
        <f>IF($Q500="Aprueba",COUNTIF($Q$2:$Q500,"Aprueba"),"")</f>
        <v/>
      </c>
    </row>
    <row r="501" spans="16:20" ht="14.25" customHeight="1"/>
    <row r="502" spans="16:20" ht="14.25" customHeight="1"/>
    <row r="503" spans="16:20" ht="14.25" customHeight="1"/>
    <row r="504" spans="16:20" ht="14.25" customHeight="1"/>
    <row r="505" spans="16:20" ht="14.25" customHeight="1"/>
    <row r="506" spans="16:20" ht="14.25" customHeight="1"/>
    <row r="507" spans="16:20" ht="14.25" customHeight="1"/>
    <row r="508" spans="16:20" ht="14.25" customHeight="1"/>
    <row r="509" spans="16:20" ht="14.25" customHeight="1"/>
    <row r="510" spans="16:20" ht="14.25" customHeight="1"/>
    <row r="511" spans="16:20" ht="14.25" customHeight="1"/>
    <row r="512" spans="16:20"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conditionalFormatting sqref="Q2:Q96">
    <cfRule type="cellIs" dxfId="3" priority="2" operator="equal">
      <formula>"Aprueba"</formula>
    </cfRule>
    <cfRule type="cellIs" dxfId="2" priority="3" operator="equal">
      <formula>"No aprueba"</formula>
    </cfRule>
  </conditionalFormatting>
  <dataValidations count="6">
    <dataValidation type="custom" allowBlank="1" showInputMessage="1" showErrorMessage="1" prompt="Documento invalido - El numero de documento debe tener entre 5 y 15 digitos." sqref="E2:E96" xr:uid="{00000000-0002-0000-0000-000000000000}">
      <formula1>AND(gte(LEN(E2),MIN((5),(15))),lte(LEN(E2),MAX((5),(15))))</formula1>
      <formula2>0</formula2>
    </dataValidation>
    <dataValidation type="list" allowBlank="1" sqref="I2:I96" xr:uid="{00000000-0002-0000-0000-000001000000}">
      <formula1>Lista_Formador</formula1>
      <formula2>0</formula2>
    </dataValidation>
    <dataValidation type="list" allowBlank="1" sqref="B2:B96" xr:uid="{00000000-0002-0000-0000-000002000000}">
      <formula1>Lista_Campana</formula1>
      <formula2>0</formula2>
    </dataValidation>
    <dataValidation type="date" operator="greaterThanOrEqual" allowBlank="1" showInputMessage="1" showErrorMessage="1" prompt="Fecha invalida - Ingresa una fecha valida (DD/MM/AAAA)." sqref="C2:C96" xr:uid="{00000000-0002-0000-0000-000004000000}">
      <formula1>DATE(2020,1,1)</formula1>
      <formula2>0</formula2>
    </dataValidation>
    <dataValidation type="list" allowBlank="1" sqref="D2:D96" xr:uid="{00000000-0002-0000-0000-000005000000}">
      <formula1>Lista_Cargo</formula1>
      <formula2>0</formula2>
    </dataValidation>
    <dataValidation type="custom" allowBlank="1" showInputMessage="1" showErrorMessage="1" errorTitle="Valor no permitido" error="Ingresa una nota entre 1 y 5 o la letra D para indicar que desiste." promptTitle="Nota o desistimiento" prompt="Valores permitidos: 1 a 5, o D si la persona desiste." sqref="J2:O500" xr:uid="{6BA1304F-4696-4C4B-B108-5B92A41EAAF0}">
      <formula1>OR(J2="",UPPER(J2&amp;"")="D",AND(ISNUMBER(J2),J2&gt;=1,J2&lt;=5))</formula1>
    </dataValidation>
  </dataValidations>
  <hyperlinks>
    <hyperlink ref="G12" r:id="rId1" xr:uid="{00000000-0004-0000-0000-000000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55E6-2483-4D2A-8D5E-1136D09CBEC8}">
  <dimension ref="A1:L184"/>
  <sheetViews>
    <sheetView tabSelected="1" topLeftCell="D1" workbookViewId="0">
      <selection activeCell="K2" sqref="K2:K6"/>
    </sheetView>
  </sheetViews>
  <sheetFormatPr baseColWidth="10" defaultColWidth="9.85546875" defaultRowHeight="14.25"/>
  <cols>
    <col min="1" max="1" width="5.7109375" style="64" customWidth="1"/>
    <col min="2" max="2" width="17.140625" style="64" customWidth="1"/>
    <col min="3" max="3" width="29.7109375" style="64" customWidth="1"/>
    <col min="4" max="4" width="18.28515625" style="64" customWidth="1"/>
    <col min="5" max="5" width="22.85546875" style="87" customWidth="1"/>
    <col min="6" max="6" width="18.28515625" style="64" customWidth="1"/>
    <col min="7" max="7" width="16" style="64" customWidth="1"/>
    <col min="8" max="9" width="13.7109375" style="64" customWidth="1"/>
    <col min="10" max="11" width="32" style="64" customWidth="1"/>
    <col min="12" max="12" width="29.7109375" style="64" customWidth="1"/>
    <col min="13" max="16384" width="9.85546875" style="64"/>
  </cols>
  <sheetData>
    <row r="1" spans="1:12" ht="24" customHeight="1">
      <c r="A1" s="65" t="s">
        <v>117</v>
      </c>
      <c r="B1" s="65" t="s">
        <v>4</v>
      </c>
      <c r="C1" s="65" t="s">
        <v>5</v>
      </c>
      <c r="D1" s="65" t="s">
        <v>1</v>
      </c>
      <c r="E1" s="65" t="s">
        <v>174</v>
      </c>
      <c r="F1" s="65" t="s">
        <v>118</v>
      </c>
      <c r="G1" s="65" t="s">
        <v>119</v>
      </c>
      <c r="H1" s="65" t="s">
        <v>120</v>
      </c>
      <c r="I1" s="65" t="s">
        <v>176</v>
      </c>
      <c r="J1" s="65" t="s">
        <v>121</v>
      </c>
      <c r="K1" s="65" t="s">
        <v>175</v>
      </c>
      <c r="L1" s="65" t="s">
        <v>17</v>
      </c>
    </row>
    <row r="2" spans="1:12" ht="13.35" customHeight="1">
      <c r="A2" s="91">
        <f>IFERROR(IF(INDEX(Registro!$E$2:$E$100,MATCH(1,Registro!$T$2:$T$100,0))="","", 1),"")</f>
        <v>1</v>
      </c>
      <c r="B2" s="92">
        <f>IFERROR(INDEX(Registro!$E$2:$E$100,MATCH(1,Registro!$T$2:$T$100,0)),"")</f>
        <v>1193156026</v>
      </c>
      <c r="C2" s="92" t="str">
        <f>IFERROR(INDEX(Registro!$F$2:$F$100,MATCH(1,Registro!$T$2:$T$100,0)),"")</f>
        <v>Sara Isabel Molina Sánchez</v>
      </c>
      <c r="D2" s="92" t="str">
        <f>IFERROR(INDEX(Registro!$B$2:$B$100,MATCH(1,Registro!$T$2:$T$100,0)),"")</f>
        <v>Posgrados</v>
      </c>
      <c r="E2" s="94">
        <f>IFERROR(INDEX(Registro!$P$2:$P$100,MATCH(1,Registro!$T$2:$T$100,0)),"")</f>
        <v>72</v>
      </c>
      <c r="F2" s="66">
        <v>1</v>
      </c>
      <c r="G2" s="68"/>
      <c r="H2" s="69"/>
      <c r="I2" s="88"/>
      <c r="J2" s="69"/>
      <c r="K2" s="99"/>
      <c r="L2" s="67"/>
    </row>
    <row r="3" spans="1:12" ht="13.35" customHeight="1">
      <c r="A3" s="91"/>
      <c r="B3" s="93"/>
      <c r="C3" s="92"/>
      <c r="D3" s="92"/>
      <c r="E3" s="94"/>
      <c r="F3" s="66">
        <v>2</v>
      </c>
      <c r="G3" s="68"/>
      <c r="H3" s="69"/>
      <c r="I3" s="89"/>
      <c r="K3" s="100"/>
      <c r="L3" s="67"/>
    </row>
    <row r="4" spans="1:12" ht="13.35" customHeight="1">
      <c r="A4" s="91"/>
      <c r="B4" s="93"/>
      <c r="C4" s="92"/>
      <c r="D4" s="92"/>
      <c r="E4" s="94"/>
      <c r="F4" s="66">
        <v>3</v>
      </c>
      <c r="G4" s="68"/>
      <c r="H4" s="69"/>
      <c r="I4" s="89"/>
      <c r="J4" s="69"/>
      <c r="K4" s="100"/>
      <c r="L4" s="67"/>
    </row>
    <row r="5" spans="1:12" ht="13.35" customHeight="1">
      <c r="A5" s="91"/>
      <c r="B5" s="93"/>
      <c r="C5" s="92"/>
      <c r="D5" s="92"/>
      <c r="E5" s="94"/>
      <c r="F5" s="66">
        <v>4</v>
      </c>
      <c r="G5" s="68"/>
      <c r="H5" s="69"/>
      <c r="I5" s="89"/>
      <c r="J5" s="69"/>
      <c r="K5" s="100"/>
      <c r="L5" s="67"/>
    </row>
    <row r="6" spans="1:12" ht="13.35" customHeight="1">
      <c r="A6" s="91"/>
      <c r="B6" s="93"/>
      <c r="C6" s="92"/>
      <c r="D6" s="92"/>
      <c r="E6" s="94"/>
      <c r="F6" s="66">
        <v>5</v>
      </c>
      <c r="G6" s="68"/>
      <c r="H6" s="69"/>
      <c r="I6" s="89"/>
      <c r="J6" s="69"/>
      <c r="K6" s="101"/>
      <c r="L6" s="67"/>
    </row>
    <row r="7" spans="1:12" ht="13.35" customHeight="1">
      <c r="A7" s="95">
        <f>IFERROR(IF(INDEX(Registro!$E$2:$E$100,MATCH(2,Registro!$T$2:$T$100,0))="","", 2),"")</f>
        <v>2</v>
      </c>
      <c r="B7" s="96">
        <f>IFERROR(INDEX(Registro!$E$2:$E$100,MATCH(2,Registro!$T$2:$T$100,0)),"")</f>
        <v>1016001652</v>
      </c>
      <c r="C7" s="96" t="str">
        <f>IFERROR(INDEX(Registro!$F$2:$F$100,MATCH(2,Registro!$T$2:$T$100,0)),"")</f>
        <v>Helen Sofia Calderon Camelo</v>
      </c>
      <c r="D7" s="96" t="str">
        <f>IFERROR(INDEX(Registro!$B$2:$B$100,MATCH(2,Registro!$T$2:$T$100,0)),"")</f>
        <v>Posgrados</v>
      </c>
      <c r="E7" s="98">
        <f>IFERROR(INDEX(Registro!$P$2:$P$100,MATCH(2,Registro!$T$2:$T$100,0)),"")</f>
        <v>70</v>
      </c>
      <c r="F7" s="70">
        <v>1</v>
      </c>
      <c r="G7" s="72"/>
      <c r="H7" s="73"/>
      <c r="I7" s="90"/>
      <c r="J7" s="73"/>
      <c r="K7" s="102"/>
      <c r="L7" s="71"/>
    </row>
    <row r="8" spans="1:12" ht="13.35" customHeight="1">
      <c r="A8" s="95"/>
      <c r="B8" s="97"/>
      <c r="C8" s="96"/>
      <c r="D8" s="96"/>
      <c r="E8" s="98"/>
      <c r="F8" s="70">
        <v>2</v>
      </c>
      <c r="G8" s="72"/>
      <c r="H8" s="73"/>
      <c r="I8" s="90"/>
      <c r="J8" s="73"/>
      <c r="K8" s="103"/>
      <c r="L8" s="71"/>
    </row>
    <row r="9" spans="1:12" ht="13.35" customHeight="1">
      <c r="A9" s="95"/>
      <c r="B9" s="97"/>
      <c r="C9" s="96"/>
      <c r="D9" s="96"/>
      <c r="E9" s="98"/>
      <c r="F9" s="70">
        <v>3</v>
      </c>
      <c r="G9" s="72"/>
      <c r="H9" s="73"/>
      <c r="I9" s="90"/>
      <c r="J9" s="73"/>
      <c r="K9" s="103"/>
      <c r="L9" s="71"/>
    </row>
    <row r="10" spans="1:12" ht="13.35" customHeight="1">
      <c r="A10" s="95"/>
      <c r="B10" s="97"/>
      <c r="C10" s="96"/>
      <c r="D10" s="96"/>
      <c r="E10" s="98"/>
      <c r="F10" s="70">
        <v>4</v>
      </c>
      <c r="G10" s="72"/>
      <c r="H10" s="73"/>
      <c r="I10" s="90"/>
      <c r="J10" s="73"/>
      <c r="K10" s="103"/>
      <c r="L10" s="71"/>
    </row>
    <row r="11" spans="1:12" ht="13.35" customHeight="1">
      <c r="A11" s="95"/>
      <c r="B11" s="97"/>
      <c r="C11" s="96"/>
      <c r="D11" s="96"/>
      <c r="E11" s="98"/>
      <c r="F11" s="70">
        <v>5</v>
      </c>
      <c r="G11" s="72"/>
      <c r="H11" s="73"/>
      <c r="I11" s="90"/>
      <c r="J11" s="73"/>
      <c r="K11" s="104"/>
      <c r="L11" s="71"/>
    </row>
    <row r="12" spans="1:12" ht="13.35" customHeight="1">
      <c r="A12" s="91">
        <f>IFERROR(IF(INDEX(Registro!$E$2:$E$100,MATCH(3,Registro!$T$2:$T$100,0))="","", 3),"")</f>
        <v>3</v>
      </c>
      <c r="B12" s="92">
        <f>IFERROR(INDEX(Registro!$E$2:$E$100,MATCH(3,Registro!$T$2:$T$100,0)),"")</f>
        <v>1001314657</v>
      </c>
      <c r="C12" s="92" t="str">
        <f>IFERROR(INDEX(Registro!$F$2:$F$100,MATCH(3,Registro!$T$2:$T$100,0)),"")</f>
        <v>Thomas Bernardo Fernandez Laverde</v>
      </c>
      <c r="D12" s="92" t="str">
        <f>IFERROR(INDEX(Registro!$B$2:$B$100,MATCH(3,Registro!$T$2:$T$100,0)),"")</f>
        <v>Posgrados</v>
      </c>
      <c r="E12" s="94">
        <f>IFERROR(INDEX(Registro!$P$2:$P$100,MATCH(3,Registro!$T$2:$T$100,0)),"")</f>
        <v>72</v>
      </c>
      <c r="F12" s="66">
        <v>1</v>
      </c>
      <c r="G12" s="68"/>
      <c r="H12" s="69"/>
      <c r="I12" s="89"/>
      <c r="J12" s="69"/>
      <c r="K12" s="99"/>
      <c r="L12" s="67"/>
    </row>
    <row r="13" spans="1:12" ht="13.35" customHeight="1">
      <c r="A13" s="91"/>
      <c r="B13" s="93"/>
      <c r="C13" s="92"/>
      <c r="D13" s="92"/>
      <c r="E13" s="94"/>
      <c r="F13" s="66">
        <v>2</v>
      </c>
      <c r="G13" s="68"/>
      <c r="H13" s="69"/>
      <c r="I13" s="89"/>
      <c r="J13" s="69"/>
      <c r="K13" s="100"/>
      <c r="L13" s="67"/>
    </row>
    <row r="14" spans="1:12" ht="13.35" customHeight="1">
      <c r="A14" s="91"/>
      <c r="B14" s="93"/>
      <c r="C14" s="92"/>
      <c r="D14" s="92"/>
      <c r="E14" s="94"/>
      <c r="F14" s="66">
        <v>3</v>
      </c>
      <c r="G14" s="68"/>
      <c r="H14" s="69"/>
      <c r="I14" s="89"/>
      <c r="J14" s="69"/>
      <c r="K14" s="100"/>
      <c r="L14" s="67"/>
    </row>
    <row r="15" spans="1:12" ht="13.35" customHeight="1">
      <c r="A15" s="91"/>
      <c r="B15" s="93"/>
      <c r="C15" s="92"/>
      <c r="D15" s="92"/>
      <c r="E15" s="94"/>
      <c r="F15" s="66">
        <v>4</v>
      </c>
      <c r="G15" s="68"/>
      <c r="H15" s="69"/>
      <c r="I15" s="89"/>
      <c r="J15" s="69"/>
      <c r="K15" s="100"/>
      <c r="L15" s="67"/>
    </row>
    <row r="16" spans="1:12" ht="13.35" customHeight="1">
      <c r="A16" s="91"/>
      <c r="B16" s="93"/>
      <c r="C16" s="92"/>
      <c r="D16" s="92"/>
      <c r="E16" s="94"/>
      <c r="F16" s="66">
        <v>5</v>
      </c>
      <c r="G16" s="68"/>
      <c r="H16" s="69"/>
      <c r="I16" s="89"/>
      <c r="J16" s="69"/>
      <c r="K16" s="101"/>
      <c r="L16" s="67"/>
    </row>
    <row r="17" spans="1:12" ht="13.35" customHeight="1">
      <c r="A17" s="95">
        <f>IFERROR(IF(INDEX(Registro!$E$2:$E$100,MATCH(4,Registro!$T$2:$T$100,0))="","", 4),"")</f>
        <v>4</v>
      </c>
      <c r="B17" s="96">
        <f>IFERROR(INDEX(Registro!$E$2:$E$100,MATCH(4,Registro!$T$2:$T$100,0)),"")</f>
        <v>1033096735</v>
      </c>
      <c r="C17" s="96" t="str">
        <f>IFERROR(INDEX(Registro!$F$2:$F$100,MATCH(4,Registro!$T$2:$T$100,0)),"")</f>
        <v>Pablo Steven Ochoa Rodriguez</v>
      </c>
      <c r="D17" s="96" t="str">
        <f>IFERROR(INDEX(Registro!$B$2:$B$100,MATCH(4,Registro!$T$2:$T$100,0)),"")</f>
        <v>Posgrados</v>
      </c>
      <c r="E17" s="98">
        <f>IFERROR(INDEX(Registro!$P$2:$P$100,MATCH(4,Registro!$T$2:$T$100,0)),"")</f>
        <v>81</v>
      </c>
      <c r="F17" s="70">
        <v>1</v>
      </c>
      <c r="G17" s="72"/>
      <c r="H17" s="73"/>
      <c r="I17" s="90"/>
      <c r="J17" s="73"/>
      <c r="K17" s="102"/>
      <c r="L17" s="71"/>
    </row>
    <row r="18" spans="1:12" ht="13.35" customHeight="1">
      <c r="A18" s="95"/>
      <c r="B18" s="97"/>
      <c r="C18" s="96"/>
      <c r="D18" s="96"/>
      <c r="E18" s="98"/>
      <c r="F18" s="70">
        <v>2</v>
      </c>
      <c r="G18" s="72"/>
      <c r="H18" s="73"/>
      <c r="I18" s="90"/>
      <c r="J18" s="73"/>
      <c r="K18" s="103"/>
      <c r="L18" s="71"/>
    </row>
    <row r="19" spans="1:12" ht="13.35" customHeight="1">
      <c r="A19" s="95"/>
      <c r="B19" s="97"/>
      <c r="C19" s="96"/>
      <c r="D19" s="96"/>
      <c r="E19" s="98"/>
      <c r="F19" s="70">
        <v>3</v>
      </c>
      <c r="G19" s="72"/>
      <c r="H19" s="73"/>
      <c r="I19" s="90"/>
      <c r="J19" s="73"/>
      <c r="K19" s="103"/>
      <c r="L19" s="71"/>
    </row>
    <row r="20" spans="1:12" ht="13.35" customHeight="1">
      <c r="A20" s="95"/>
      <c r="B20" s="97"/>
      <c r="C20" s="96"/>
      <c r="D20" s="96"/>
      <c r="E20" s="98"/>
      <c r="F20" s="70">
        <v>4</v>
      </c>
      <c r="G20" s="72"/>
      <c r="H20" s="73"/>
      <c r="I20" s="90"/>
      <c r="J20" s="73"/>
      <c r="K20" s="103"/>
      <c r="L20" s="71"/>
    </row>
    <row r="21" spans="1:12" ht="13.35" customHeight="1">
      <c r="A21" s="95"/>
      <c r="B21" s="97"/>
      <c r="C21" s="96"/>
      <c r="D21" s="96"/>
      <c r="E21" s="98"/>
      <c r="F21" s="70">
        <v>5</v>
      </c>
      <c r="G21" s="72"/>
      <c r="H21" s="73"/>
      <c r="I21" s="90"/>
      <c r="J21" s="73"/>
      <c r="K21" s="104"/>
      <c r="L21" s="71"/>
    </row>
    <row r="22" spans="1:12" ht="13.35" customHeight="1">
      <c r="A22" s="91">
        <f>IFERROR(IF(INDEX(Registro!$E$2:$E$100,MATCH(5,Registro!$T$2:$T$100,0))="","", 5),"")</f>
        <v>5</v>
      </c>
      <c r="B22" s="92">
        <f>IFERROR(INDEX(Registro!$E$2:$E$100,MATCH(5,Registro!$T$2:$T$100,0)),"")</f>
        <v>1004961429</v>
      </c>
      <c r="C22" s="92" t="str">
        <f>IFERROR(INDEX(Registro!$F$2:$F$100,MATCH(5,Registro!$T$2:$T$100,0)),"")</f>
        <v>Jhon Stiven Marin Valencia</v>
      </c>
      <c r="D22" s="92" t="str">
        <f>IFERROR(INDEX(Registro!$B$2:$B$100,MATCH(5,Registro!$T$2:$T$100,0)),"")</f>
        <v>Posgrados</v>
      </c>
      <c r="E22" s="94">
        <f>IFERROR(INDEX(Registro!$P$2:$P$100,MATCH(5,Registro!$T$2:$T$100,0)),"")</f>
        <v>73</v>
      </c>
      <c r="F22" s="66">
        <v>1</v>
      </c>
      <c r="G22" s="68"/>
      <c r="H22" s="69"/>
      <c r="I22" s="89"/>
      <c r="J22" s="69"/>
      <c r="K22" s="99"/>
      <c r="L22" s="67"/>
    </row>
    <row r="23" spans="1:12" ht="13.35" customHeight="1">
      <c r="A23" s="91"/>
      <c r="B23" s="93"/>
      <c r="C23" s="92"/>
      <c r="D23" s="92"/>
      <c r="E23" s="94"/>
      <c r="F23" s="66">
        <v>2</v>
      </c>
      <c r="G23" s="68"/>
      <c r="H23" s="69"/>
      <c r="I23" s="89"/>
      <c r="J23" s="69"/>
      <c r="K23" s="100"/>
      <c r="L23" s="67"/>
    </row>
    <row r="24" spans="1:12" ht="13.35" customHeight="1">
      <c r="A24" s="91"/>
      <c r="B24" s="93"/>
      <c r="C24" s="92"/>
      <c r="D24" s="92"/>
      <c r="E24" s="94"/>
      <c r="F24" s="66">
        <v>3</v>
      </c>
      <c r="G24" s="68"/>
      <c r="H24" s="69"/>
      <c r="I24" s="89"/>
      <c r="J24" s="69"/>
      <c r="K24" s="100"/>
      <c r="L24" s="67"/>
    </row>
    <row r="25" spans="1:12" ht="13.35" customHeight="1">
      <c r="A25" s="91"/>
      <c r="B25" s="93"/>
      <c r="C25" s="92"/>
      <c r="D25" s="92"/>
      <c r="E25" s="94"/>
      <c r="F25" s="66">
        <v>4</v>
      </c>
      <c r="G25" s="68"/>
      <c r="H25" s="69"/>
      <c r="I25" s="89"/>
      <c r="J25" s="69"/>
      <c r="K25" s="100"/>
      <c r="L25" s="67"/>
    </row>
    <row r="26" spans="1:12" ht="13.35" customHeight="1">
      <c r="A26" s="91"/>
      <c r="B26" s="93"/>
      <c r="C26" s="92"/>
      <c r="D26" s="92"/>
      <c r="E26" s="94"/>
      <c r="F26" s="66">
        <v>5</v>
      </c>
      <c r="G26" s="68"/>
      <c r="H26" s="69"/>
      <c r="I26" s="89"/>
      <c r="J26" s="69"/>
      <c r="K26" s="101"/>
      <c r="L26" s="67"/>
    </row>
    <row r="27" spans="1:12" ht="13.35" customHeight="1">
      <c r="A27" s="95">
        <f>IFERROR(IF(INDEX(Registro!$E$2:$E$100,MATCH(6,Registro!$T$2:$T$100,0))="","", 6),"")</f>
        <v>6</v>
      </c>
      <c r="B27" s="96">
        <f>IFERROR(INDEX(Registro!$E$2:$E$100,MATCH(6,Registro!$T$2:$T$100,0)),"")</f>
        <v>53121281</v>
      </c>
      <c r="C27" s="96" t="str">
        <f>IFERROR(INDEX(Registro!$F$2:$F$100,MATCH(6,Registro!$T$2:$T$100,0)),"")</f>
        <v>Yulieth Paola Rodriguez Cañon</v>
      </c>
      <c r="D27" s="96" t="str">
        <f>IFERROR(INDEX(Registro!$B$2:$B$100,MATCH(6,Registro!$T$2:$T$100,0)),"")</f>
        <v>Posgrados</v>
      </c>
      <c r="E27" s="98">
        <f>IFERROR(INDEX(Registro!$P$2:$P$100,MATCH(6,Registro!$T$2:$T$100,0)),"")</f>
        <v>78</v>
      </c>
      <c r="F27" s="70">
        <v>1</v>
      </c>
      <c r="G27" s="72"/>
      <c r="H27" s="73"/>
      <c r="I27" s="90"/>
      <c r="J27" s="73"/>
      <c r="K27" s="102"/>
      <c r="L27" s="71"/>
    </row>
    <row r="28" spans="1:12" ht="13.35" customHeight="1">
      <c r="A28" s="95"/>
      <c r="B28" s="97"/>
      <c r="C28" s="96"/>
      <c r="D28" s="96"/>
      <c r="E28" s="98"/>
      <c r="F28" s="70">
        <v>2</v>
      </c>
      <c r="G28" s="72"/>
      <c r="H28" s="73"/>
      <c r="I28" s="90"/>
      <c r="J28" s="73"/>
      <c r="K28" s="103"/>
      <c r="L28" s="71"/>
    </row>
    <row r="29" spans="1:12" ht="13.35" customHeight="1">
      <c r="A29" s="95"/>
      <c r="B29" s="97"/>
      <c r="C29" s="96"/>
      <c r="D29" s="96"/>
      <c r="E29" s="98"/>
      <c r="F29" s="70">
        <v>3</v>
      </c>
      <c r="G29" s="72"/>
      <c r="H29" s="73"/>
      <c r="I29" s="90"/>
      <c r="J29" s="73"/>
      <c r="K29" s="103"/>
      <c r="L29" s="71"/>
    </row>
    <row r="30" spans="1:12" ht="13.35" customHeight="1">
      <c r="A30" s="95"/>
      <c r="B30" s="97"/>
      <c r="C30" s="96"/>
      <c r="D30" s="96"/>
      <c r="E30" s="98"/>
      <c r="F30" s="70">
        <v>4</v>
      </c>
      <c r="G30" s="72"/>
      <c r="H30" s="73"/>
      <c r="I30" s="90"/>
      <c r="J30" s="73"/>
      <c r="K30" s="103"/>
      <c r="L30" s="71"/>
    </row>
    <row r="31" spans="1:12" ht="13.35" customHeight="1">
      <c r="A31" s="95"/>
      <c r="B31" s="97"/>
      <c r="C31" s="96"/>
      <c r="D31" s="96"/>
      <c r="E31" s="98"/>
      <c r="F31" s="70">
        <v>5</v>
      </c>
      <c r="G31" s="72"/>
      <c r="H31" s="73"/>
      <c r="I31" s="90"/>
      <c r="J31" s="73"/>
      <c r="K31" s="104"/>
      <c r="L31" s="71"/>
    </row>
    <row r="32" spans="1:12" ht="13.35" customHeight="1">
      <c r="A32" s="91">
        <f>IFERROR(IF(INDEX(Registro!$E$2:$E$100,MATCH(7,Registro!$T$2:$T$100,0))="","", 7),"")</f>
        <v>7</v>
      </c>
      <c r="B32" s="92">
        <f>IFERROR(INDEX(Registro!$E$2:$E$100,MATCH(7,Registro!$T$2:$T$100,0)),"")</f>
        <v>1024585365</v>
      </c>
      <c r="C32" s="92" t="str">
        <f>IFERROR(INDEX(Registro!$F$2:$F$100,MATCH(7,Registro!$T$2:$T$100,0)),"")</f>
        <v>Cristian David Celis Garcia</v>
      </c>
      <c r="D32" s="92" t="str">
        <f>IFERROR(INDEX(Registro!$B$2:$B$100,MATCH(7,Registro!$T$2:$T$100,0)),"")</f>
        <v>Posgrados</v>
      </c>
      <c r="E32" s="94">
        <f>IFERROR(INDEX(Registro!$P$2:$P$100,MATCH(7,Registro!$T$2:$T$100,0)),"")</f>
        <v>73</v>
      </c>
      <c r="F32" s="66">
        <v>1</v>
      </c>
      <c r="G32" s="68"/>
      <c r="H32" s="69"/>
      <c r="I32" s="89"/>
      <c r="J32" s="69"/>
      <c r="K32" s="99"/>
      <c r="L32" s="67"/>
    </row>
    <row r="33" spans="1:12" ht="13.35" customHeight="1">
      <c r="A33" s="91"/>
      <c r="B33" s="93"/>
      <c r="C33" s="92"/>
      <c r="D33" s="92"/>
      <c r="E33" s="94"/>
      <c r="F33" s="66">
        <v>2</v>
      </c>
      <c r="G33" s="68"/>
      <c r="H33" s="69"/>
      <c r="I33" s="89"/>
      <c r="J33" s="69"/>
      <c r="K33" s="100"/>
      <c r="L33" s="67"/>
    </row>
    <row r="34" spans="1:12" ht="13.35" customHeight="1">
      <c r="A34" s="91"/>
      <c r="B34" s="93"/>
      <c r="C34" s="92"/>
      <c r="D34" s="92"/>
      <c r="E34" s="94"/>
      <c r="F34" s="66">
        <v>3</v>
      </c>
      <c r="G34" s="68"/>
      <c r="H34" s="69"/>
      <c r="I34" s="89"/>
      <c r="J34" s="69"/>
      <c r="K34" s="100"/>
      <c r="L34" s="67"/>
    </row>
    <row r="35" spans="1:12" ht="13.35" customHeight="1">
      <c r="A35" s="91"/>
      <c r="B35" s="93"/>
      <c r="C35" s="92"/>
      <c r="D35" s="92"/>
      <c r="E35" s="94"/>
      <c r="F35" s="66">
        <v>4</v>
      </c>
      <c r="G35" s="68"/>
      <c r="H35" s="69"/>
      <c r="I35" s="89"/>
      <c r="J35" s="69"/>
      <c r="K35" s="100"/>
      <c r="L35" s="67"/>
    </row>
    <row r="36" spans="1:12" ht="13.35" customHeight="1">
      <c r="A36" s="91"/>
      <c r="B36" s="93"/>
      <c r="C36" s="92"/>
      <c r="D36" s="92"/>
      <c r="E36" s="94"/>
      <c r="F36" s="66">
        <v>5</v>
      </c>
      <c r="G36" s="68"/>
      <c r="H36" s="69"/>
      <c r="I36" s="89"/>
      <c r="J36" s="69"/>
      <c r="K36" s="101"/>
      <c r="L36" s="67"/>
    </row>
    <row r="37" spans="1:12" ht="13.35" customHeight="1">
      <c r="A37" s="95">
        <f>IFERROR(IF(INDEX(Registro!$E$2:$E$100,MATCH(8,Registro!$T$2:$T$100,0))="","", 8),"")</f>
        <v>8</v>
      </c>
      <c r="B37" s="96">
        <f>IFERROR(INDEX(Registro!$E$2:$E$100,MATCH(8,Registro!$T$2:$T$100,0)),"")</f>
        <v>1000547797</v>
      </c>
      <c r="C37" s="96" t="str">
        <f>IFERROR(INDEX(Registro!$F$2:$F$100,MATCH(8,Registro!$T$2:$T$100,0)),"")</f>
        <v>Kamy Lizeth Rios Gomez</v>
      </c>
      <c r="D37" s="96" t="str">
        <f>IFERROR(INDEX(Registro!$B$2:$B$100,MATCH(8,Registro!$T$2:$T$100,0)),"")</f>
        <v>Posgrados</v>
      </c>
      <c r="E37" s="98">
        <f>IFERROR(INDEX(Registro!$P$2:$P$100,MATCH(8,Registro!$T$2:$T$100,0)),"")</f>
        <v>90</v>
      </c>
      <c r="F37" s="70">
        <v>1</v>
      </c>
      <c r="G37" s="72"/>
      <c r="H37" s="73"/>
      <c r="I37" s="90"/>
      <c r="J37" s="73"/>
      <c r="K37" s="102"/>
      <c r="L37" s="71"/>
    </row>
    <row r="38" spans="1:12" ht="13.35" customHeight="1">
      <c r="A38" s="95"/>
      <c r="B38" s="97"/>
      <c r="C38" s="96"/>
      <c r="D38" s="96"/>
      <c r="E38" s="98"/>
      <c r="F38" s="70">
        <v>2</v>
      </c>
      <c r="G38" s="72"/>
      <c r="H38" s="73"/>
      <c r="I38" s="90"/>
      <c r="J38" s="73"/>
      <c r="K38" s="103"/>
      <c r="L38" s="71"/>
    </row>
    <row r="39" spans="1:12" ht="13.35" customHeight="1">
      <c r="A39" s="95"/>
      <c r="B39" s="97"/>
      <c r="C39" s="96"/>
      <c r="D39" s="96"/>
      <c r="E39" s="98"/>
      <c r="F39" s="70">
        <v>3</v>
      </c>
      <c r="G39" s="72"/>
      <c r="H39" s="73"/>
      <c r="I39" s="90"/>
      <c r="J39" s="73"/>
      <c r="K39" s="103"/>
      <c r="L39" s="71"/>
    </row>
    <row r="40" spans="1:12" ht="13.35" customHeight="1">
      <c r="A40" s="95"/>
      <c r="B40" s="97"/>
      <c r="C40" s="96"/>
      <c r="D40" s="96"/>
      <c r="E40" s="98"/>
      <c r="F40" s="70">
        <v>4</v>
      </c>
      <c r="G40" s="72"/>
      <c r="H40" s="73"/>
      <c r="I40" s="90"/>
      <c r="J40" s="73"/>
      <c r="K40" s="103"/>
      <c r="L40" s="71"/>
    </row>
    <row r="41" spans="1:12" ht="13.35" customHeight="1">
      <c r="A41" s="95"/>
      <c r="B41" s="97"/>
      <c r="C41" s="96"/>
      <c r="D41" s="96"/>
      <c r="E41" s="98"/>
      <c r="F41" s="70">
        <v>5</v>
      </c>
      <c r="G41" s="72"/>
      <c r="H41" s="73"/>
      <c r="I41" s="90"/>
      <c r="J41" s="73"/>
      <c r="K41" s="104"/>
      <c r="L41" s="71"/>
    </row>
    <row r="42" spans="1:12" ht="13.35" customHeight="1">
      <c r="A42" s="91">
        <f>IFERROR(IF(INDEX(Registro!$E$2:$E$100,MATCH(9,Registro!$T$2:$T$100,0))="","", 9),"")</f>
        <v>9</v>
      </c>
      <c r="B42" s="92">
        <f>IFERROR(INDEX(Registro!$E$2:$E$100,MATCH(9,Registro!$T$2:$T$100,0)),"")</f>
        <v>1023867138</v>
      </c>
      <c r="C42" s="92" t="str">
        <f>IFERROR(INDEX(Registro!$F$2:$F$100,MATCH(9,Registro!$T$2:$T$100,0)),"")</f>
        <v>Yisell Dayana Castro González</v>
      </c>
      <c r="D42" s="92" t="str">
        <f>IFERROR(INDEX(Registro!$B$2:$B$100,MATCH(9,Registro!$T$2:$T$100,0)),"")</f>
        <v>Posgrados</v>
      </c>
      <c r="E42" s="94">
        <f>IFERROR(INDEX(Registro!$P$2:$P$100,MATCH(9,Registro!$T$2:$T$100,0)),"")</f>
        <v>72</v>
      </c>
      <c r="F42" s="66">
        <v>1</v>
      </c>
      <c r="G42" s="68"/>
      <c r="H42" s="69"/>
      <c r="I42" s="89"/>
      <c r="J42" s="69"/>
      <c r="K42" s="99"/>
      <c r="L42" s="67"/>
    </row>
    <row r="43" spans="1:12" ht="13.35" customHeight="1">
      <c r="A43" s="91"/>
      <c r="B43" s="93"/>
      <c r="C43" s="92"/>
      <c r="D43" s="92"/>
      <c r="E43" s="94"/>
      <c r="F43" s="66">
        <v>2</v>
      </c>
      <c r="G43" s="68"/>
      <c r="H43" s="69"/>
      <c r="I43" s="89"/>
      <c r="J43" s="69"/>
      <c r="K43" s="100"/>
      <c r="L43" s="67"/>
    </row>
    <row r="44" spans="1:12" ht="13.35" customHeight="1">
      <c r="A44" s="91"/>
      <c r="B44" s="93"/>
      <c r="C44" s="92"/>
      <c r="D44" s="92"/>
      <c r="E44" s="94"/>
      <c r="F44" s="66">
        <v>3</v>
      </c>
      <c r="G44" s="68"/>
      <c r="H44" s="69"/>
      <c r="I44" s="89"/>
      <c r="J44" s="69"/>
      <c r="K44" s="100"/>
      <c r="L44" s="67"/>
    </row>
    <row r="45" spans="1:12" ht="13.35" customHeight="1">
      <c r="A45" s="91"/>
      <c r="B45" s="93"/>
      <c r="C45" s="92"/>
      <c r="D45" s="92"/>
      <c r="E45" s="94"/>
      <c r="F45" s="66">
        <v>4</v>
      </c>
      <c r="G45" s="68"/>
      <c r="H45" s="69"/>
      <c r="I45" s="89"/>
      <c r="J45" s="69"/>
      <c r="K45" s="100"/>
      <c r="L45" s="67"/>
    </row>
    <row r="46" spans="1:12" ht="13.35" customHeight="1">
      <c r="A46" s="91"/>
      <c r="B46" s="93"/>
      <c r="C46" s="92"/>
      <c r="D46" s="92"/>
      <c r="E46" s="94"/>
      <c r="F46" s="66">
        <v>5</v>
      </c>
      <c r="G46" s="68"/>
      <c r="H46" s="69"/>
      <c r="I46" s="89"/>
      <c r="J46" s="69"/>
      <c r="K46" s="101"/>
      <c r="L46" s="67"/>
    </row>
    <row r="47" spans="1:12" ht="13.35" customHeight="1">
      <c r="A47" s="95">
        <f>IFERROR(IF(INDEX(Registro!$E$2:$E$100,MATCH(10,Registro!$T$2:$T$100,0))="","", 10),"")</f>
        <v>10</v>
      </c>
      <c r="B47" s="96">
        <f>IFERROR(INDEX(Registro!$E$2:$E$100,MATCH(10,Registro!$T$2:$T$100,0)),"")</f>
        <v>1000810776</v>
      </c>
      <c r="C47" s="96" t="str">
        <f>IFERROR(INDEX(Registro!$F$2:$F$100,MATCH(10,Registro!$T$2:$T$100,0)),"")</f>
        <v>Nataly Andrea Maecha Lizarazo</v>
      </c>
      <c r="D47" s="96" t="str">
        <f>IFERROR(INDEX(Registro!$B$2:$B$100,MATCH(10,Registro!$T$2:$T$100,0)),"")</f>
        <v>Posgrados</v>
      </c>
      <c r="E47" s="98">
        <f>IFERROR(INDEX(Registro!$P$2:$P$100,MATCH(10,Registro!$T$2:$T$100,0)),"")</f>
        <v>74</v>
      </c>
      <c r="F47" s="70">
        <v>1</v>
      </c>
      <c r="G47" s="72"/>
      <c r="H47" s="73"/>
      <c r="I47" s="90"/>
      <c r="J47" s="73"/>
      <c r="K47" s="102"/>
      <c r="L47" s="71"/>
    </row>
    <row r="48" spans="1:12" ht="13.35" customHeight="1">
      <c r="A48" s="95"/>
      <c r="B48" s="97"/>
      <c r="C48" s="96"/>
      <c r="D48" s="96"/>
      <c r="E48" s="98"/>
      <c r="F48" s="70">
        <v>2</v>
      </c>
      <c r="G48" s="72"/>
      <c r="H48" s="73"/>
      <c r="I48" s="90"/>
      <c r="J48" s="73"/>
      <c r="K48" s="103"/>
      <c r="L48" s="71"/>
    </row>
    <row r="49" spans="1:12" ht="13.35" customHeight="1">
      <c r="A49" s="95"/>
      <c r="B49" s="97"/>
      <c r="C49" s="96"/>
      <c r="D49" s="96"/>
      <c r="E49" s="98"/>
      <c r="F49" s="70">
        <v>3</v>
      </c>
      <c r="G49" s="72"/>
      <c r="H49" s="73"/>
      <c r="I49" s="90"/>
      <c r="J49" s="73"/>
      <c r="K49" s="103"/>
      <c r="L49" s="71"/>
    </row>
    <row r="50" spans="1:12" ht="13.35" customHeight="1">
      <c r="A50" s="95"/>
      <c r="B50" s="97"/>
      <c r="C50" s="96"/>
      <c r="D50" s="96"/>
      <c r="E50" s="98"/>
      <c r="F50" s="70">
        <v>4</v>
      </c>
      <c r="G50" s="72"/>
      <c r="H50" s="73"/>
      <c r="I50" s="90"/>
      <c r="J50" s="73"/>
      <c r="K50" s="103"/>
      <c r="L50" s="71"/>
    </row>
    <row r="51" spans="1:12" ht="13.35" customHeight="1">
      <c r="A51" s="95"/>
      <c r="B51" s="97"/>
      <c r="C51" s="96"/>
      <c r="D51" s="96"/>
      <c r="E51" s="98"/>
      <c r="F51" s="70">
        <v>5</v>
      </c>
      <c r="G51" s="72"/>
      <c r="H51" s="73"/>
      <c r="I51" s="90"/>
      <c r="J51" s="73"/>
      <c r="K51" s="104"/>
      <c r="L51" s="71"/>
    </row>
    <row r="52" spans="1:12" ht="13.35" customHeight="1">
      <c r="A52" s="91">
        <f>IFERROR(IF(INDEX(Registro!$E$2:$E$100,MATCH(11,Registro!$T$2:$T$100,0))="","", 11),"")</f>
        <v>11</v>
      </c>
      <c r="B52" s="92">
        <f>IFERROR(INDEX(Registro!$E$2:$E$100,MATCH(11,Registro!$T$2:$T$100,0)),"")</f>
        <v>1001271946</v>
      </c>
      <c r="C52" s="92" t="str">
        <f>IFERROR(INDEX(Registro!$F$2:$F$100,MATCH(11,Registro!$T$2:$T$100,0)),"")</f>
        <v>Luisa Fernanda Rodríguez Sarmiento</v>
      </c>
      <c r="D52" s="92" t="str">
        <f>IFERROR(INDEX(Registro!$B$2:$B$100,MATCH(11,Registro!$T$2:$T$100,0)),"")</f>
        <v>Posgrados</v>
      </c>
      <c r="E52" s="94">
        <f>IFERROR(INDEX(Registro!$P$2:$P$100,MATCH(11,Registro!$T$2:$T$100,0)),"")</f>
        <v>74</v>
      </c>
      <c r="F52" s="66">
        <v>1</v>
      </c>
      <c r="G52" s="68"/>
      <c r="H52" s="69"/>
      <c r="I52" s="89"/>
      <c r="J52" s="69"/>
      <c r="K52" s="99"/>
      <c r="L52" s="67"/>
    </row>
    <row r="53" spans="1:12" ht="13.35" customHeight="1">
      <c r="A53" s="91"/>
      <c r="B53" s="93"/>
      <c r="C53" s="92"/>
      <c r="D53" s="92"/>
      <c r="E53" s="94"/>
      <c r="F53" s="66">
        <v>2</v>
      </c>
      <c r="G53" s="68"/>
      <c r="H53" s="69"/>
      <c r="I53" s="89"/>
      <c r="J53" s="69"/>
      <c r="K53" s="100"/>
      <c r="L53" s="67"/>
    </row>
    <row r="54" spans="1:12" ht="13.35" customHeight="1">
      <c r="A54" s="91"/>
      <c r="B54" s="93"/>
      <c r="C54" s="92"/>
      <c r="D54" s="92"/>
      <c r="E54" s="94"/>
      <c r="F54" s="66">
        <v>3</v>
      </c>
      <c r="G54" s="68"/>
      <c r="H54" s="69"/>
      <c r="I54" s="89"/>
      <c r="J54" s="69"/>
      <c r="K54" s="100"/>
      <c r="L54" s="67"/>
    </row>
    <row r="55" spans="1:12" ht="13.35" customHeight="1">
      <c r="A55" s="91"/>
      <c r="B55" s="93"/>
      <c r="C55" s="92"/>
      <c r="D55" s="92"/>
      <c r="E55" s="94"/>
      <c r="F55" s="66">
        <v>4</v>
      </c>
      <c r="G55" s="68"/>
      <c r="H55" s="69"/>
      <c r="I55" s="89"/>
      <c r="J55" s="69"/>
      <c r="K55" s="100"/>
      <c r="L55" s="67"/>
    </row>
    <row r="56" spans="1:12" ht="13.35" customHeight="1">
      <c r="A56" s="91"/>
      <c r="B56" s="93"/>
      <c r="C56" s="92"/>
      <c r="D56" s="92"/>
      <c r="E56" s="94"/>
      <c r="F56" s="66">
        <v>5</v>
      </c>
      <c r="G56" s="68"/>
      <c r="H56" s="69"/>
      <c r="I56" s="89"/>
      <c r="J56" s="69"/>
      <c r="K56" s="101"/>
      <c r="L56" s="67"/>
    </row>
    <row r="57" spans="1:12" ht="13.35" customHeight="1">
      <c r="A57" s="95">
        <f>IFERROR(IF(INDEX(Registro!$E$2:$E$100,MATCH(12,Registro!$T$2:$T$100,0))="","", 12),"")</f>
        <v>12</v>
      </c>
      <c r="B57" s="96">
        <f>IFERROR(INDEX(Registro!$E$2:$E$100,MATCH(12,Registro!$T$2:$T$100,0)),"")</f>
        <v>1117813165</v>
      </c>
      <c r="C57" s="96" t="str">
        <f>IFERROR(INDEX(Registro!$F$2:$F$100,MATCH(12,Registro!$T$2:$T$100,0)),"")</f>
        <v>Yedinson Stiven Ramirez Perdómo</v>
      </c>
      <c r="D57" s="96" t="str">
        <f>IFERROR(INDEX(Registro!$B$2:$B$100,MATCH(12,Registro!$T$2:$T$100,0)),"")</f>
        <v>Posgrados</v>
      </c>
      <c r="E57" s="98">
        <f>IFERROR(INDEX(Registro!$P$2:$P$100,MATCH(12,Registro!$T$2:$T$100,0)),"")</f>
        <v>94</v>
      </c>
      <c r="F57" s="70">
        <v>1</v>
      </c>
      <c r="G57" s="72"/>
      <c r="H57" s="73"/>
      <c r="I57" s="90"/>
      <c r="J57" s="73"/>
      <c r="K57" s="102"/>
      <c r="L57" s="71"/>
    </row>
    <row r="58" spans="1:12" ht="13.35" customHeight="1">
      <c r="A58" s="95"/>
      <c r="B58" s="97"/>
      <c r="C58" s="96"/>
      <c r="D58" s="96"/>
      <c r="E58" s="98"/>
      <c r="F58" s="70">
        <v>2</v>
      </c>
      <c r="G58" s="72"/>
      <c r="H58" s="73"/>
      <c r="I58" s="90"/>
      <c r="J58" s="73"/>
      <c r="K58" s="103"/>
      <c r="L58" s="71"/>
    </row>
    <row r="59" spans="1:12" ht="13.35" customHeight="1">
      <c r="A59" s="95"/>
      <c r="B59" s="97"/>
      <c r="C59" s="96"/>
      <c r="D59" s="96"/>
      <c r="E59" s="98"/>
      <c r="F59" s="70">
        <v>3</v>
      </c>
      <c r="G59" s="72"/>
      <c r="H59" s="73"/>
      <c r="I59" s="90"/>
      <c r="J59" s="73"/>
      <c r="K59" s="103"/>
      <c r="L59" s="71"/>
    </row>
    <row r="60" spans="1:12" ht="13.35" customHeight="1">
      <c r="A60" s="95"/>
      <c r="B60" s="97"/>
      <c r="C60" s="96"/>
      <c r="D60" s="96"/>
      <c r="E60" s="98"/>
      <c r="F60" s="70">
        <v>4</v>
      </c>
      <c r="G60" s="72"/>
      <c r="H60" s="73"/>
      <c r="I60" s="90"/>
      <c r="J60" s="73"/>
      <c r="K60" s="103"/>
      <c r="L60" s="71"/>
    </row>
    <row r="61" spans="1:12" ht="13.35" customHeight="1">
      <c r="A61" s="95"/>
      <c r="B61" s="97"/>
      <c r="C61" s="96"/>
      <c r="D61" s="96"/>
      <c r="E61" s="98"/>
      <c r="F61" s="70">
        <v>5</v>
      </c>
      <c r="G61" s="72"/>
      <c r="H61" s="73"/>
      <c r="I61" s="90"/>
      <c r="J61" s="73"/>
      <c r="K61" s="104"/>
      <c r="L61" s="71"/>
    </row>
    <row r="62" spans="1:12" ht="13.35" customHeight="1">
      <c r="A62" s="91">
        <f>IFERROR(IF(INDEX(Registro!$E$2:$E$100,MATCH(13,Registro!$T$2:$T$100,0))="","", 13),"")</f>
        <v>13</v>
      </c>
      <c r="B62" s="92">
        <f>IFERROR(INDEX(Registro!$E$2:$E$100,MATCH(13,Registro!$T$2:$T$100,0)),"")</f>
        <v>1070595836</v>
      </c>
      <c r="C62" s="92" t="str">
        <f>IFERROR(INDEX(Registro!$F$2:$F$100,MATCH(13,Registro!$T$2:$T$100,0)),"")</f>
        <v>Hebert Julián Casilimas Ricardo</v>
      </c>
      <c r="D62" s="92" t="str">
        <f>IFERROR(INDEX(Registro!$B$2:$B$100,MATCH(13,Registro!$T$2:$T$100,0)),"")</f>
        <v>Posgrados</v>
      </c>
      <c r="E62" s="94">
        <f>IFERROR(INDEX(Registro!$P$2:$P$100,MATCH(13,Registro!$T$2:$T$100,0)),"")</f>
        <v>91</v>
      </c>
      <c r="F62" s="66">
        <v>1</v>
      </c>
      <c r="G62" s="68"/>
      <c r="H62" s="69"/>
      <c r="I62" s="89"/>
      <c r="J62" s="69"/>
      <c r="K62" s="99"/>
      <c r="L62" s="67"/>
    </row>
    <row r="63" spans="1:12" ht="13.35" customHeight="1">
      <c r="A63" s="91"/>
      <c r="B63" s="93"/>
      <c r="C63" s="92"/>
      <c r="D63" s="92"/>
      <c r="E63" s="94"/>
      <c r="F63" s="66">
        <v>2</v>
      </c>
      <c r="G63" s="68"/>
      <c r="H63" s="69"/>
      <c r="I63" s="89"/>
      <c r="J63" s="69"/>
      <c r="K63" s="100"/>
      <c r="L63" s="67"/>
    </row>
    <row r="64" spans="1:12" ht="13.35" customHeight="1">
      <c r="A64" s="91"/>
      <c r="B64" s="93"/>
      <c r="C64" s="92"/>
      <c r="D64" s="92"/>
      <c r="E64" s="94"/>
      <c r="F64" s="66">
        <v>3</v>
      </c>
      <c r="G64" s="68"/>
      <c r="H64" s="69"/>
      <c r="I64" s="89"/>
      <c r="J64" s="69"/>
      <c r="K64" s="100"/>
      <c r="L64" s="67"/>
    </row>
    <row r="65" spans="1:12" ht="13.35" customHeight="1">
      <c r="A65" s="91"/>
      <c r="B65" s="93"/>
      <c r="C65" s="92"/>
      <c r="D65" s="92"/>
      <c r="E65" s="94"/>
      <c r="F65" s="66">
        <v>4</v>
      </c>
      <c r="G65" s="68"/>
      <c r="H65" s="69"/>
      <c r="I65" s="89"/>
      <c r="J65" s="69"/>
      <c r="K65" s="100"/>
      <c r="L65" s="67"/>
    </row>
    <row r="66" spans="1:12" ht="13.35" customHeight="1">
      <c r="A66" s="91"/>
      <c r="B66" s="93"/>
      <c r="C66" s="92"/>
      <c r="D66" s="92"/>
      <c r="E66" s="94"/>
      <c r="F66" s="66">
        <v>5</v>
      </c>
      <c r="G66" s="68"/>
      <c r="H66" s="69"/>
      <c r="I66" s="89"/>
      <c r="J66" s="69"/>
      <c r="K66" s="101"/>
      <c r="L66" s="67"/>
    </row>
    <row r="67" spans="1:12" ht="13.35" customHeight="1">
      <c r="A67" s="95">
        <f>IFERROR(IF(INDEX(Registro!$E$2:$E$100,MATCH(14,Registro!$T$2:$T$100,0))="","", 14),"")</f>
        <v>14</v>
      </c>
      <c r="B67" s="96">
        <f>IFERROR(INDEX(Registro!$E$2:$E$100,MATCH(14,Registro!$T$2:$T$100,0)),"")</f>
        <v>1012455544</v>
      </c>
      <c r="C67" s="96" t="str">
        <f>IFERROR(INDEX(Registro!$F$2:$F$100,MATCH(14,Registro!$T$2:$T$100,0)),"")</f>
        <v xml:space="preserve">Claudia Yadira Suta Torres </v>
      </c>
      <c r="D67" s="96" t="str">
        <f>IFERROR(INDEX(Registro!$B$2:$B$100,MATCH(14,Registro!$T$2:$T$100,0)),"")</f>
        <v>Pregrado Virtual</v>
      </c>
      <c r="E67" s="98">
        <f>IFERROR(INDEX(Registro!$P$2:$P$100,MATCH(14,Registro!$T$2:$T$100,0)),"")</f>
        <v>74</v>
      </c>
      <c r="F67" s="70">
        <v>1</v>
      </c>
      <c r="G67" s="72"/>
      <c r="H67" s="73"/>
      <c r="I67" s="90"/>
      <c r="J67" s="73"/>
      <c r="K67" s="105"/>
      <c r="L67" s="71"/>
    </row>
    <row r="68" spans="1:12" ht="13.35" customHeight="1">
      <c r="A68" s="95"/>
      <c r="B68" s="97"/>
      <c r="C68" s="96"/>
      <c r="D68" s="96"/>
      <c r="E68" s="98"/>
      <c r="F68" s="70">
        <v>2</v>
      </c>
      <c r="G68" s="72"/>
      <c r="H68" s="73"/>
      <c r="I68" s="90"/>
      <c r="J68" s="73"/>
      <c r="K68" s="106"/>
      <c r="L68" s="71"/>
    </row>
    <row r="69" spans="1:12" ht="13.35" customHeight="1">
      <c r="A69" s="95"/>
      <c r="B69" s="97"/>
      <c r="C69" s="96"/>
      <c r="D69" s="96"/>
      <c r="E69" s="98"/>
      <c r="F69" s="70">
        <v>3</v>
      </c>
      <c r="G69" s="72"/>
      <c r="H69" s="73"/>
      <c r="I69" s="90"/>
      <c r="J69" s="73"/>
      <c r="K69" s="106"/>
      <c r="L69" s="71"/>
    </row>
    <row r="70" spans="1:12" ht="13.35" customHeight="1">
      <c r="A70" s="95"/>
      <c r="B70" s="97"/>
      <c r="C70" s="96"/>
      <c r="D70" s="96"/>
      <c r="E70" s="98"/>
      <c r="F70" s="70">
        <v>4</v>
      </c>
      <c r="G70" s="72"/>
      <c r="H70" s="73"/>
      <c r="I70" s="90"/>
      <c r="J70" s="73"/>
      <c r="K70" s="106"/>
      <c r="L70" s="71"/>
    </row>
    <row r="71" spans="1:12" ht="13.35" customHeight="1">
      <c r="A71" s="95"/>
      <c r="B71" s="97"/>
      <c r="C71" s="96"/>
      <c r="D71" s="96"/>
      <c r="E71" s="98"/>
      <c r="F71" s="70">
        <v>5</v>
      </c>
      <c r="G71" s="72"/>
      <c r="H71" s="73"/>
      <c r="I71" s="90"/>
      <c r="J71" s="73"/>
      <c r="K71" s="107"/>
      <c r="L71" s="71"/>
    </row>
    <row r="72" spans="1:12" ht="13.35" customHeight="1">
      <c r="A72" s="91">
        <f>IFERROR(IF(INDEX(Registro!$E$2:$E$100,MATCH(15,Registro!$T$2:$T$100,0))="","", 15),"")</f>
        <v>15</v>
      </c>
      <c r="B72" s="92">
        <f>IFERROR(INDEX(Registro!$E$2:$E$100,MATCH(15,Registro!$T$2:$T$100,0)),"")</f>
        <v>1006118253</v>
      </c>
      <c r="C72" s="92" t="str">
        <f>IFERROR(INDEX(Registro!$F$2:$F$100,MATCH(15,Registro!$T$2:$T$100,0)),"")</f>
        <v>Alex Esteban Angarita Lozano</v>
      </c>
      <c r="D72" s="92" t="str">
        <f>IFERROR(INDEX(Registro!$B$2:$B$100,MATCH(15,Registro!$T$2:$T$100,0)),"")</f>
        <v>Pregrado Virtual</v>
      </c>
      <c r="E72" s="94">
        <f>IFERROR(INDEX(Registro!$P$2:$P$100,MATCH(15,Registro!$T$2:$T$100,0)),"")</f>
        <v>70</v>
      </c>
      <c r="F72" s="66">
        <v>1</v>
      </c>
      <c r="G72" s="68"/>
      <c r="H72" s="69"/>
      <c r="I72" s="89"/>
      <c r="J72" s="69"/>
      <c r="K72" s="99"/>
      <c r="L72" s="67"/>
    </row>
    <row r="73" spans="1:12" ht="13.35" customHeight="1">
      <c r="A73" s="91"/>
      <c r="B73" s="93"/>
      <c r="C73" s="92"/>
      <c r="D73" s="92"/>
      <c r="E73" s="94"/>
      <c r="F73" s="66">
        <v>2</v>
      </c>
      <c r="G73" s="68"/>
      <c r="H73" s="69"/>
      <c r="I73" s="89"/>
      <c r="J73" s="69"/>
      <c r="K73" s="100"/>
      <c r="L73" s="67"/>
    </row>
    <row r="74" spans="1:12" ht="13.35" customHeight="1">
      <c r="A74" s="91"/>
      <c r="B74" s="93"/>
      <c r="C74" s="92"/>
      <c r="D74" s="92"/>
      <c r="E74" s="94"/>
      <c r="F74" s="66">
        <v>3</v>
      </c>
      <c r="G74" s="68"/>
      <c r="H74" s="69"/>
      <c r="I74" s="89"/>
      <c r="J74" s="69"/>
      <c r="K74" s="100"/>
      <c r="L74" s="67"/>
    </row>
    <row r="75" spans="1:12" ht="13.35" customHeight="1">
      <c r="A75" s="91"/>
      <c r="B75" s="93"/>
      <c r="C75" s="92"/>
      <c r="D75" s="92"/>
      <c r="E75" s="94"/>
      <c r="F75" s="66">
        <v>4</v>
      </c>
      <c r="G75" s="68"/>
      <c r="H75" s="69"/>
      <c r="I75" s="89"/>
      <c r="J75" s="69"/>
      <c r="K75" s="100"/>
      <c r="L75" s="67"/>
    </row>
    <row r="76" spans="1:12" ht="13.35" customHeight="1">
      <c r="A76" s="91"/>
      <c r="B76" s="93"/>
      <c r="C76" s="92"/>
      <c r="D76" s="92"/>
      <c r="E76" s="94"/>
      <c r="F76" s="66">
        <v>5</v>
      </c>
      <c r="G76" s="68"/>
      <c r="H76" s="69"/>
      <c r="I76" s="89"/>
      <c r="J76" s="69"/>
      <c r="K76" s="101"/>
      <c r="L76" s="67"/>
    </row>
    <row r="77" spans="1:12" ht="13.35" customHeight="1">
      <c r="A77" s="95">
        <f>IFERROR(IF(INDEX(Registro!$E$2:$E$100,MATCH(16,Registro!$T$2:$T$100,0))="","", 16),"")</f>
        <v>16</v>
      </c>
      <c r="B77" s="96">
        <f>IFERROR(INDEX(Registro!$E$2:$E$100,MATCH(16,Registro!$T$2:$T$100,0)),"")</f>
        <v>1007343398</v>
      </c>
      <c r="C77" s="96" t="str">
        <f>IFERROR(INDEX(Registro!$F$2:$F$100,MATCH(16,Registro!$T$2:$T$100,0)),"")</f>
        <v>Duvan Alejandro Díaz Landinez</v>
      </c>
      <c r="D77" s="96" t="str">
        <f>IFERROR(INDEX(Registro!$B$2:$B$100,MATCH(16,Registro!$T$2:$T$100,0)),"")</f>
        <v>Pregrado Virtual</v>
      </c>
      <c r="E77" s="98">
        <f>IFERROR(INDEX(Registro!$P$2:$P$100,MATCH(16,Registro!$T$2:$T$100,0)),"")</f>
        <v>74</v>
      </c>
      <c r="F77" s="70">
        <v>1</v>
      </c>
      <c r="G77" s="72"/>
      <c r="H77" s="73"/>
      <c r="I77" s="90"/>
      <c r="J77" s="73"/>
      <c r="K77" s="102"/>
      <c r="L77" s="71"/>
    </row>
    <row r="78" spans="1:12" ht="13.35" customHeight="1">
      <c r="A78" s="95"/>
      <c r="B78" s="97"/>
      <c r="C78" s="96"/>
      <c r="D78" s="96"/>
      <c r="E78" s="98"/>
      <c r="F78" s="70">
        <v>2</v>
      </c>
      <c r="G78" s="72"/>
      <c r="H78" s="73"/>
      <c r="I78" s="90"/>
      <c r="J78" s="73"/>
      <c r="K78" s="103"/>
      <c r="L78" s="71"/>
    </row>
    <row r="79" spans="1:12" ht="13.35" customHeight="1">
      <c r="A79" s="95"/>
      <c r="B79" s="97"/>
      <c r="C79" s="96"/>
      <c r="D79" s="96"/>
      <c r="E79" s="98"/>
      <c r="F79" s="70">
        <v>3</v>
      </c>
      <c r="G79" s="72"/>
      <c r="H79" s="73"/>
      <c r="I79" s="90"/>
      <c r="J79" s="73"/>
      <c r="K79" s="103"/>
      <c r="L79" s="71"/>
    </row>
    <row r="80" spans="1:12" ht="13.35" customHeight="1">
      <c r="A80" s="95"/>
      <c r="B80" s="97"/>
      <c r="C80" s="96"/>
      <c r="D80" s="96"/>
      <c r="E80" s="98"/>
      <c r="F80" s="70">
        <v>4</v>
      </c>
      <c r="G80" s="72"/>
      <c r="H80" s="73"/>
      <c r="I80" s="90"/>
      <c r="J80" s="73"/>
      <c r="K80" s="103"/>
      <c r="L80" s="71"/>
    </row>
    <row r="81" spans="1:12" ht="13.35" customHeight="1">
      <c r="A81" s="95"/>
      <c r="B81" s="97"/>
      <c r="C81" s="96"/>
      <c r="D81" s="96"/>
      <c r="E81" s="98"/>
      <c r="F81" s="70">
        <v>5</v>
      </c>
      <c r="G81" s="72"/>
      <c r="H81" s="73"/>
      <c r="I81" s="90"/>
      <c r="J81" s="73"/>
      <c r="K81" s="104"/>
      <c r="L81" s="71"/>
    </row>
    <row r="82" spans="1:12" ht="13.35" customHeight="1">
      <c r="A82" s="91">
        <f>IFERROR(IF(INDEX(Registro!$E$2:$E$100,MATCH(17,Registro!$T$2:$T$100,0))="","", 17),"")</f>
        <v>17</v>
      </c>
      <c r="B82" s="92" t="str">
        <f>IFERROR(INDEX(Registro!$E$2:$E$100,MATCH(17,Registro!$T$2:$T$100,0)),"")</f>
        <v>1016001445</v>
      </c>
      <c r="C82" s="92" t="str">
        <f>IFERROR(INDEX(Registro!$F$2:$F$100,MATCH(17,Registro!$T$2:$T$100,0)),"")</f>
        <v>Norvey Ibarra Marquez</v>
      </c>
      <c r="D82" s="92" t="str">
        <f>IFERROR(INDEX(Registro!$B$2:$B$100,MATCH(17,Registro!$T$2:$T$100,0)),"")</f>
        <v>Pregrado Virtual</v>
      </c>
      <c r="E82" s="94">
        <f>IFERROR(INDEX(Registro!$P$2:$P$100,MATCH(17,Registro!$T$2:$T$100,0)),"")</f>
        <v>73</v>
      </c>
      <c r="F82" s="66">
        <v>1</v>
      </c>
      <c r="G82" s="68"/>
      <c r="H82" s="69"/>
      <c r="I82" s="89"/>
      <c r="J82" s="69"/>
      <c r="K82" s="99"/>
      <c r="L82" s="67"/>
    </row>
    <row r="83" spans="1:12" ht="13.35" customHeight="1">
      <c r="A83" s="91"/>
      <c r="B83" s="93"/>
      <c r="C83" s="92"/>
      <c r="D83" s="92"/>
      <c r="E83" s="94"/>
      <c r="F83" s="66">
        <v>2</v>
      </c>
      <c r="G83" s="68"/>
      <c r="H83" s="69"/>
      <c r="I83" s="89"/>
      <c r="J83" s="69"/>
      <c r="K83" s="100"/>
      <c r="L83" s="67"/>
    </row>
    <row r="84" spans="1:12" ht="13.35" customHeight="1">
      <c r="A84" s="91"/>
      <c r="B84" s="93"/>
      <c r="C84" s="92"/>
      <c r="D84" s="92"/>
      <c r="E84" s="94"/>
      <c r="F84" s="66">
        <v>3</v>
      </c>
      <c r="G84" s="68"/>
      <c r="H84" s="69"/>
      <c r="I84" s="89"/>
      <c r="J84" s="69"/>
      <c r="K84" s="100"/>
      <c r="L84" s="67"/>
    </row>
    <row r="85" spans="1:12" ht="13.35" customHeight="1">
      <c r="A85" s="91"/>
      <c r="B85" s="93"/>
      <c r="C85" s="92"/>
      <c r="D85" s="92"/>
      <c r="E85" s="94"/>
      <c r="F85" s="66">
        <v>4</v>
      </c>
      <c r="G85" s="68"/>
      <c r="H85" s="69"/>
      <c r="I85" s="89"/>
      <c r="J85" s="69"/>
      <c r="K85" s="100"/>
      <c r="L85" s="67"/>
    </row>
    <row r="86" spans="1:12" ht="13.35" customHeight="1">
      <c r="A86" s="91"/>
      <c r="B86" s="93"/>
      <c r="C86" s="92"/>
      <c r="D86" s="92"/>
      <c r="E86" s="94"/>
      <c r="F86" s="66">
        <v>5</v>
      </c>
      <c r="G86" s="68"/>
      <c r="H86" s="69"/>
      <c r="I86" s="89"/>
      <c r="J86" s="69"/>
      <c r="K86" s="101"/>
      <c r="L86" s="67"/>
    </row>
    <row r="87" spans="1:12" ht="13.35" customHeight="1">
      <c r="A87" s="95">
        <f>IFERROR(IF(INDEX(Registro!$E$2:$E$100,MATCH(18,Registro!$T$2:$T$100,0))="","", 18),"")</f>
        <v>18</v>
      </c>
      <c r="B87" s="96" t="str">
        <f>IFERROR(INDEX(Registro!$E$2:$E$100,MATCH(18,Registro!$T$2:$T$100,0)),"")</f>
        <v>1111332054</v>
      </c>
      <c r="C87" s="96" t="str">
        <f>IFERROR(INDEX(Registro!$F$2:$F$100,MATCH(18,Registro!$T$2:$T$100,0)),"")</f>
        <v>Eimi Lisettc Páez Olaya</v>
      </c>
      <c r="D87" s="96" t="str">
        <f>IFERROR(INDEX(Registro!$B$2:$B$100,MATCH(18,Registro!$T$2:$T$100,0)),"")</f>
        <v>Pregrado Virtual</v>
      </c>
      <c r="E87" s="98">
        <f>IFERROR(INDEX(Registro!$P$2:$P$100,MATCH(18,Registro!$T$2:$T$100,0)),"")</f>
        <v>75</v>
      </c>
      <c r="F87" s="70">
        <v>1</v>
      </c>
      <c r="G87" s="72"/>
      <c r="H87" s="73"/>
      <c r="I87" s="90"/>
      <c r="J87" s="73"/>
      <c r="K87" s="102"/>
      <c r="L87" s="71"/>
    </row>
    <row r="88" spans="1:12" ht="13.35" customHeight="1">
      <c r="A88" s="95"/>
      <c r="B88" s="97"/>
      <c r="C88" s="96"/>
      <c r="D88" s="96"/>
      <c r="E88" s="98"/>
      <c r="F88" s="70">
        <v>2</v>
      </c>
      <c r="G88" s="72"/>
      <c r="H88" s="73"/>
      <c r="I88" s="90"/>
      <c r="J88" s="73"/>
      <c r="K88" s="103"/>
      <c r="L88" s="71"/>
    </row>
    <row r="89" spans="1:12" ht="13.35" customHeight="1">
      <c r="A89" s="95"/>
      <c r="B89" s="97"/>
      <c r="C89" s="96"/>
      <c r="D89" s="96"/>
      <c r="E89" s="98"/>
      <c r="F89" s="70">
        <v>3</v>
      </c>
      <c r="G89" s="72"/>
      <c r="H89" s="73"/>
      <c r="I89" s="90"/>
      <c r="J89" s="73"/>
      <c r="K89" s="103"/>
      <c r="L89" s="71"/>
    </row>
    <row r="90" spans="1:12" ht="13.35" customHeight="1">
      <c r="A90" s="95"/>
      <c r="B90" s="97"/>
      <c r="C90" s="96"/>
      <c r="D90" s="96"/>
      <c r="E90" s="98"/>
      <c r="F90" s="70">
        <v>4</v>
      </c>
      <c r="G90" s="72"/>
      <c r="H90" s="73"/>
      <c r="I90" s="90"/>
      <c r="J90" s="73"/>
      <c r="K90" s="103"/>
      <c r="L90" s="71"/>
    </row>
    <row r="91" spans="1:12" ht="13.35" customHeight="1">
      <c r="A91" s="95"/>
      <c r="B91" s="97"/>
      <c r="C91" s="96"/>
      <c r="D91" s="96"/>
      <c r="E91" s="98"/>
      <c r="F91" s="70">
        <v>5</v>
      </c>
      <c r="G91" s="72"/>
      <c r="H91" s="73"/>
      <c r="I91" s="90"/>
      <c r="J91" s="73"/>
      <c r="K91" s="104"/>
      <c r="L91" s="71"/>
    </row>
    <row r="92" spans="1:12" ht="13.35" customHeight="1">
      <c r="A92" s="91">
        <f>IFERROR(IF(INDEX(Registro!$E$2:$E$100,MATCH(19,Registro!$T$2:$T$100,0))="","", 19),"")</f>
        <v>19</v>
      </c>
      <c r="B92" s="92" t="str">
        <f>IFERROR(INDEX(Registro!$E$2:$E$100,MATCH(19,Registro!$T$2:$T$100,0)),"")</f>
        <v>1012383996</v>
      </c>
      <c r="C92" s="92" t="str">
        <f>IFERROR(INDEX(Registro!$F$2:$F$100,MATCH(19,Registro!$T$2:$T$100,0)),"")</f>
        <v>Haidivy Lorena Orosco Viracacha</v>
      </c>
      <c r="D92" s="92" t="str">
        <f>IFERROR(INDEX(Registro!$B$2:$B$100,MATCH(19,Registro!$T$2:$T$100,0)),"")</f>
        <v>Pregrado Virtual</v>
      </c>
      <c r="E92" s="94">
        <f>IFERROR(INDEX(Registro!$P$2:$P$100,MATCH(19,Registro!$T$2:$T$100,0)),"")</f>
        <v>73</v>
      </c>
      <c r="F92" s="66">
        <v>1</v>
      </c>
      <c r="G92" s="68"/>
      <c r="H92" s="69"/>
      <c r="I92" s="89"/>
      <c r="J92" s="69"/>
      <c r="K92" s="99"/>
      <c r="L92" s="67"/>
    </row>
    <row r="93" spans="1:12" ht="13.35" customHeight="1">
      <c r="A93" s="91"/>
      <c r="B93" s="93"/>
      <c r="C93" s="92"/>
      <c r="D93" s="92"/>
      <c r="E93" s="94"/>
      <c r="F93" s="66">
        <v>2</v>
      </c>
      <c r="G93" s="68"/>
      <c r="H93" s="69"/>
      <c r="I93" s="89"/>
      <c r="J93" s="69"/>
      <c r="K93" s="100"/>
      <c r="L93" s="67"/>
    </row>
    <row r="94" spans="1:12" ht="13.35" customHeight="1">
      <c r="A94" s="91"/>
      <c r="B94" s="93"/>
      <c r="C94" s="92"/>
      <c r="D94" s="92"/>
      <c r="E94" s="94"/>
      <c r="F94" s="66">
        <v>3</v>
      </c>
      <c r="G94" s="68"/>
      <c r="H94" s="69"/>
      <c r="I94" s="89"/>
      <c r="J94" s="69"/>
      <c r="K94" s="100"/>
      <c r="L94" s="67"/>
    </row>
    <row r="95" spans="1:12" ht="13.35" customHeight="1">
      <c r="A95" s="91"/>
      <c r="B95" s="93"/>
      <c r="C95" s="92"/>
      <c r="D95" s="92"/>
      <c r="E95" s="94"/>
      <c r="F95" s="66">
        <v>4</v>
      </c>
      <c r="G95" s="68"/>
      <c r="H95" s="69"/>
      <c r="I95" s="89"/>
      <c r="J95" s="69"/>
      <c r="K95" s="100"/>
      <c r="L95" s="67"/>
    </row>
    <row r="96" spans="1:12" ht="13.35" customHeight="1">
      <c r="A96" s="91"/>
      <c r="B96" s="93"/>
      <c r="C96" s="92"/>
      <c r="D96" s="92"/>
      <c r="E96" s="94"/>
      <c r="F96" s="66">
        <v>5</v>
      </c>
      <c r="G96" s="68"/>
      <c r="H96" s="69"/>
      <c r="I96" s="89"/>
      <c r="J96" s="69"/>
      <c r="K96" s="101"/>
      <c r="L96" s="67"/>
    </row>
    <row r="97" spans="1:12" ht="13.35" customHeight="1">
      <c r="A97" s="95">
        <f>IFERROR(IF(INDEX(Registro!$E$2:$E$100,MATCH(20,Registro!$T$2:$T$100,0))="","", 20),"")</f>
        <v>20</v>
      </c>
      <c r="B97" s="96" t="str">
        <f>IFERROR(INDEX(Registro!$E$2:$E$100,MATCH(20,Registro!$T$2:$T$100,0)),"")</f>
        <v>1012390029</v>
      </c>
      <c r="C97" s="96" t="str">
        <f>IFERROR(INDEX(Registro!$F$2:$F$100,MATCH(20,Registro!$T$2:$T$100,0)),"")</f>
        <v>Luisa Maria Hormaza Hernández</v>
      </c>
      <c r="D97" s="96" t="str">
        <f>IFERROR(INDEX(Registro!$B$2:$B$100,MATCH(20,Registro!$T$2:$T$100,0)),"")</f>
        <v>Pregrado Virtual</v>
      </c>
      <c r="E97" s="98">
        <f>IFERROR(INDEX(Registro!$P$2:$P$100,MATCH(20,Registro!$T$2:$T$100,0)),"")</f>
        <v>73</v>
      </c>
      <c r="F97" s="70">
        <v>1</v>
      </c>
      <c r="G97" s="72"/>
      <c r="H97" s="73"/>
      <c r="I97" s="90"/>
      <c r="J97" s="73"/>
      <c r="K97" s="102"/>
      <c r="L97" s="71"/>
    </row>
    <row r="98" spans="1:12" ht="13.35" customHeight="1">
      <c r="A98" s="95"/>
      <c r="B98" s="97"/>
      <c r="C98" s="96"/>
      <c r="D98" s="96"/>
      <c r="E98" s="98"/>
      <c r="F98" s="70">
        <v>2</v>
      </c>
      <c r="G98" s="72"/>
      <c r="H98" s="73"/>
      <c r="I98" s="90"/>
      <c r="J98" s="73"/>
      <c r="K98" s="103"/>
      <c r="L98" s="71"/>
    </row>
    <row r="99" spans="1:12" ht="13.35" customHeight="1">
      <c r="A99" s="95"/>
      <c r="B99" s="97"/>
      <c r="C99" s="96"/>
      <c r="D99" s="96"/>
      <c r="E99" s="98"/>
      <c r="F99" s="70">
        <v>3</v>
      </c>
      <c r="G99" s="72"/>
      <c r="H99" s="73"/>
      <c r="I99" s="90"/>
      <c r="J99" s="73"/>
      <c r="K99" s="103"/>
      <c r="L99" s="71"/>
    </row>
    <row r="100" spans="1:12" ht="13.35" customHeight="1">
      <c r="A100" s="95"/>
      <c r="B100" s="97"/>
      <c r="C100" s="96"/>
      <c r="D100" s="96"/>
      <c r="E100" s="98"/>
      <c r="F100" s="70">
        <v>4</v>
      </c>
      <c r="G100" s="72"/>
      <c r="H100" s="73"/>
      <c r="I100" s="90"/>
      <c r="J100" s="73"/>
      <c r="K100" s="103"/>
      <c r="L100" s="71"/>
    </row>
    <row r="101" spans="1:12" ht="13.35" customHeight="1">
      <c r="A101" s="95"/>
      <c r="B101" s="97"/>
      <c r="C101" s="96"/>
      <c r="D101" s="96"/>
      <c r="E101" s="98"/>
      <c r="F101" s="70">
        <v>5</v>
      </c>
      <c r="G101" s="72"/>
      <c r="H101" s="73"/>
      <c r="I101" s="90"/>
      <c r="J101" s="73"/>
      <c r="K101" s="104"/>
      <c r="L101" s="71"/>
    </row>
    <row r="102" spans="1:12" ht="13.35" customHeight="1">
      <c r="A102" s="91">
        <f>IFERROR(IF(INDEX(Registro!$E$2:$E$100,MATCH(21,Registro!$T$2:$T$100,0))="","", 21),"")</f>
        <v>21</v>
      </c>
      <c r="B102" s="92" t="str">
        <f>IFERROR(INDEX(Registro!$E$2:$E$100,MATCH(21,Registro!$T$2:$T$100,0)),"")</f>
        <v>1012411807</v>
      </c>
      <c r="C102" s="92" t="str">
        <f>IFERROR(INDEX(Registro!$F$2:$F$100,MATCH(21,Registro!$T$2:$T$100,0)),"")</f>
        <v>Juan Camilo Álvarez Muñoz</v>
      </c>
      <c r="D102" s="92" t="str">
        <f>IFERROR(INDEX(Registro!$B$2:$B$100,MATCH(21,Registro!$T$2:$T$100,0)),"")</f>
        <v>Pregrado Virtual</v>
      </c>
      <c r="E102" s="94">
        <f>IFERROR(INDEX(Registro!$P$2:$P$100,MATCH(21,Registro!$T$2:$T$100,0)),"")</f>
        <v>73</v>
      </c>
      <c r="F102" s="66">
        <v>1</v>
      </c>
      <c r="G102" s="68"/>
      <c r="H102" s="69"/>
      <c r="I102" s="89"/>
      <c r="J102" s="69"/>
      <c r="K102" s="99"/>
      <c r="L102" s="67"/>
    </row>
    <row r="103" spans="1:12" ht="13.35" customHeight="1">
      <c r="A103" s="91"/>
      <c r="B103" s="93"/>
      <c r="C103" s="92"/>
      <c r="D103" s="92"/>
      <c r="E103" s="94"/>
      <c r="F103" s="66">
        <v>2</v>
      </c>
      <c r="G103" s="68"/>
      <c r="H103" s="69"/>
      <c r="I103" s="89"/>
      <c r="J103" s="69"/>
      <c r="K103" s="100"/>
      <c r="L103" s="67"/>
    </row>
    <row r="104" spans="1:12" ht="13.35" customHeight="1">
      <c r="A104" s="91"/>
      <c r="B104" s="93"/>
      <c r="C104" s="92"/>
      <c r="D104" s="92"/>
      <c r="E104" s="94"/>
      <c r="F104" s="66">
        <v>3</v>
      </c>
      <c r="G104" s="68"/>
      <c r="H104" s="69"/>
      <c r="I104" s="89"/>
      <c r="J104" s="69"/>
      <c r="K104" s="100"/>
      <c r="L104" s="67"/>
    </row>
    <row r="105" spans="1:12" ht="13.35" customHeight="1">
      <c r="A105" s="91"/>
      <c r="B105" s="93"/>
      <c r="C105" s="92"/>
      <c r="D105" s="92"/>
      <c r="E105" s="94"/>
      <c r="F105" s="66">
        <v>4</v>
      </c>
      <c r="G105" s="68"/>
      <c r="H105" s="69"/>
      <c r="I105" s="89"/>
      <c r="J105" s="69"/>
      <c r="K105" s="100"/>
      <c r="L105" s="67"/>
    </row>
    <row r="106" spans="1:12" ht="13.35" customHeight="1">
      <c r="A106" s="91"/>
      <c r="B106" s="93"/>
      <c r="C106" s="92"/>
      <c r="D106" s="92"/>
      <c r="E106" s="94"/>
      <c r="F106" s="66">
        <v>5</v>
      </c>
      <c r="G106" s="68"/>
      <c r="H106" s="69"/>
      <c r="I106" s="89"/>
      <c r="J106" s="69"/>
      <c r="K106" s="101"/>
      <c r="L106" s="67"/>
    </row>
    <row r="107" spans="1:12" ht="13.35" customHeight="1">
      <c r="A107" s="95">
        <f>IFERROR(IF(INDEX(Registro!$E$2:$E$100,MATCH(22,Registro!$T$2:$T$100,0))="","", 22),"")</f>
        <v>22</v>
      </c>
      <c r="B107" s="96" t="str">
        <f>IFERROR(INDEX(Registro!$E$2:$E$100,MATCH(22,Registro!$T$2:$T$100,0)),"")</f>
        <v>1018453638</v>
      </c>
      <c r="C107" s="96" t="str">
        <f>IFERROR(INDEX(Registro!$F$2:$F$100,MATCH(22,Registro!$T$2:$T$100,0)),"")</f>
        <v>Andes Leonardo Martínez Bejarano</v>
      </c>
      <c r="D107" s="96" t="str">
        <f>IFERROR(INDEX(Registro!$B$2:$B$100,MATCH(22,Registro!$T$2:$T$100,0)),"")</f>
        <v>Pregrado Virtual</v>
      </c>
      <c r="E107" s="98">
        <f>IFERROR(INDEX(Registro!$P$2:$P$100,MATCH(22,Registro!$T$2:$T$100,0)),"")</f>
        <v>71</v>
      </c>
      <c r="F107" s="70">
        <v>1</v>
      </c>
      <c r="G107" s="72"/>
      <c r="H107" s="73"/>
      <c r="I107" s="90"/>
      <c r="J107" s="73"/>
      <c r="K107" s="102"/>
      <c r="L107" s="71"/>
    </row>
    <row r="108" spans="1:12" ht="13.35" customHeight="1">
      <c r="A108" s="95"/>
      <c r="B108" s="97"/>
      <c r="C108" s="96"/>
      <c r="D108" s="96"/>
      <c r="E108" s="98"/>
      <c r="F108" s="70">
        <v>2</v>
      </c>
      <c r="G108" s="72"/>
      <c r="H108" s="73"/>
      <c r="I108" s="90"/>
      <c r="J108" s="73"/>
      <c r="K108" s="103"/>
      <c r="L108" s="71"/>
    </row>
    <row r="109" spans="1:12" ht="13.35" customHeight="1">
      <c r="A109" s="95"/>
      <c r="B109" s="97"/>
      <c r="C109" s="96"/>
      <c r="D109" s="96"/>
      <c r="E109" s="98"/>
      <c r="F109" s="70">
        <v>3</v>
      </c>
      <c r="G109" s="72"/>
      <c r="H109" s="73"/>
      <c r="I109" s="90"/>
      <c r="J109" s="73"/>
      <c r="K109" s="103"/>
      <c r="L109" s="71"/>
    </row>
    <row r="110" spans="1:12" ht="13.35" customHeight="1">
      <c r="A110" s="95"/>
      <c r="B110" s="97"/>
      <c r="C110" s="96"/>
      <c r="D110" s="96"/>
      <c r="E110" s="98"/>
      <c r="F110" s="70">
        <v>4</v>
      </c>
      <c r="G110" s="72"/>
      <c r="H110" s="73"/>
      <c r="I110" s="90"/>
      <c r="J110" s="73"/>
      <c r="K110" s="103"/>
      <c r="L110" s="71"/>
    </row>
    <row r="111" spans="1:12" ht="13.35" customHeight="1">
      <c r="A111" s="95"/>
      <c r="B111" s="97"/>
      <c r="C111" s="96"/>
      <c r="D111" s="96"/>
      <c r="E111" s="98"/>
      <c r="F111" s="70">
        <v>5</v>
      </c>
      <c r="G111" s="72"/>
      <c r="H111" s="73"/>
      <c r="I111" s="90"/>
      <c r="J111" s="73"/>
      <c r="K111" s="104"/>
      <c r="L111" s="71"/>
    </row>
    <row r="112" spans="1:12" ht="13.35" customHeight="1">
      <c r="A112" s="91">
        <f>IFERROR(IF(INDEX(Registro!$E$2:$E$100,MATCH(23,Registro!$T$2:$T$100,0))="","", 23),"")</f>
        <v>23</v>
      </c>
      <c r="B112" s="92" t="str">
        <f>IFERROR(INDEX(Registro!$E$2:$E$100,MATCH(23,Registro!$T$2:$T$100,0)),"")</f>
        <v>1000805475</v>
      </c>
      <c r="C112" s="92" t="str">
        <f>IFERROR(INDEX(Registro!$F$2:$F$100,MATCH(23,Registro!$T$2:$T$100,0)),"")</f>
        <v>Wendy Carolina Cortes Rincón</v>
      </c>
      <c r="D112" s="92" t="str">
        <f>IFERROR(INDEX(Registro!$B$2:$B$100,MATCH(23,Registro!$T$2:$T$100,0)),"")</f>
        <v>Pregrado Virtual</v>
      </c>
      <c r="E112" s="94">
        <f>IFERROR(INDEX(Registro!$P$2:$P$100,MATCH(23,Registro!$T$2:$T$100,0)),"")</f>
        <v>73</v>
      </c>
      <c r="F112" s="66">
        <v>1</v>
      </c>
      <c r="G112" s="68"/>
      <c r="H112" s="69"/>
      <c r="I112" s="89"/>
      <c r="J112" s="69"/>
      <c r="K112" s="99"/>
      <c r="L112" s="67"/>
    </row>
    <row r="113" spans="1:12" ht="13.35" customHeight="1">
      <c r="A113" s="91"/>
      <c r="B113" s="93"/>
      <c r="C113" s="92"/>
      <c r="D113" s="92"/>
      <c r="E113" s="94"/>
      <c r="F113" s="66">
        <v>2</v>
      </c>
      <c r="G113" s="68"/>
      <c r="H113" s="69"/>
      <c r="I113" s="89"/>
      <c r="J113" s="69"/>
      <c r="K113" s="100"/>
      <c r="L113" s="67"/>
    </row>
    <row r="114" spans="1:12" ht="13.35" customHeight="1">
      <c r="A114" s="91"/>
      <c r="B114" s="93"/>
      <c r="C114" s="92"/>
      <c r="D114" s="92"/>
      <c r="E114" s="94"/>
      <c r="F114" s="66">
        <v>3</v>
      </c>
      <c r="G114" s="68"/>
      <c r="H114" s="69"/>
      <c r="I114" s="89"/>
      <c r="J114" s="69"/>
      <c r="K114" s="100"/>
      <c r="L114" s="67"/>
    </row>
    <row r="115" spans="1:12" ht="13.35" customHeight="1">
      <c r="A115" s="91"/>
      <c r="B115" s="93"/>
      <c r="C115" s="92"/>
      <c r="D115" s="92"/>
      <c r="E115" s="94"/>
      <c r="F115" s="66">
        <v>4</v>
      </c>
      <c r="G115" s="68"/>
      <c r="H115" s="69"/>
      <c r="I115" s="89"/>
      <c r="J115" s="69"/>
      <c r="K115" s="100"/>
      <c r="L115" s="67"/>
    </row>
    <row r="116" spans="1:12" ht="13.35" customHeight="1">
      <c r="A116" s="91"/>
      <c r="B116" s="93"/>
      <c r="C116" s="92"/>
      <c r="D116" s="92"/>
      <c r="E116" s="94"/>
      <c r="F116" s="66">
        <v>5</v>
      </c>
      <c r="G116" s="68"/>
      <c r="H116" s="69"/>
      <c r="I116" s="89"/>
      <c r="J116" s="69"/>
      <c r="K116" s="101"/>
      <c r="L116" s="67"/>
    </row>
    <row r="117" spans="1:12" ht="13.35" customHeight="1">
      <c r="A117" s="95">
        <f>IFERROR(IF(INDEX(Registro!$E$2:$E$100,MATCH(24,Registro!$T$2:$T$100,0))="","", 24),"")</f>
        <v>24</v>
      </c>
      <c r="B117" s="96" t="str">
        <f>IFERROR(INDEX(Registro!$E$2:$E$100,MATCH(24,Registro!$T$2:$T$100,0)),"")</f>
        <v>3238949922</v>
      </c>
      <c r="C117" s="96" t="str">
        <f>IFERROR(INDEX(Registro!$F$2:$F$100,MATCH(24,Registro!$T$2:$T$100,0)),"")</f>
        <v>Cristian Johan Nuñez López</v>
      </c>
      <c r="D117" s="96" t="str">
        <f>IFERROR(INDEX(Registro!$B$2:$B$100,MATCH(24,Registro!$T$2:$T$100,0)),"")</f>
        <v>Pregrado Virtual</v>
      </c>
      <c r="E117" s="98">
        <f>IFERROR(INDEX(Registro!$P$2:$P$100,MATCH(24,Registro!$T$2:$T$100,0)),"")</f>
        <v>73</v>
      </c>
      <c r="F117" s="70">
        <v>1</v>
      </c>
      <c r="G117" s="72"/>
      <c r="H117" s="73"/>
      <c r="I117" s="90"/>
      <c r="J117" s="73"/>
      <c r="K117" s="102"/>
      <c r="L117" s="71"/>
    </row>
    <row r="118" spans="1:12" ht="13.35" customHeight="1">
      <c r="A118" s="95"/>
      <c r="B118" s="97"/>
      <c r="C118" s="96"/>
      <c r="D118" s="96"/>
      <c r="E118" s="98"/>
      <c r="F118" s="70">
        <v>2</v>
      </c>
      <c r="G118" s="72"/>
      <c r="H118" s="73"/>
      <c r="I118" s="90"/>
      <c r="J118" s="73"/>
      <c r="K118" s="103"/>
      <c r="L118" s="71"/>
    </row>
    <row r="119" spans="1:12" ht="13.35" customHeight="1">
      <c r="A119" s="95"/>
      <c r="B119" s="97"/>
      <c r="C119" s="96"/>
      <c r="D119" s="96"/>
      <c r="E119" s="98"/>
      <c r="F119" s="70">
        <v>3</v>
      </c>
      <c r="G119" s="72"/>
      <c r="H119" s="73"/>
      <c r="I119" s="90"/>
      <c r="J119" s="73"/>
      <c r="K119" s="103"/>
      <c r="L119" s="71"/>
    </row>
    <row r="120" spans="1:12" ht="13.35" customHeight="1">
      <c r="A120" s="95"/>
      <c r="B120" s="97"/>
      <c r="C120" s="96"/>
      <c r="D120" s="96"/>
      <c r="E120" s="98"/>
      <c r="F120" s="70">
        <v>4</v>
      </c>
      <c r="G120" s="72"/>
      <c r="H120" s="73"/>
      <c r="I120" s="90"/>
      <c r="J120" s="73"/>
      <c r="K120" s="103"/>
      <c r="L120" s="71"/>
    </row>
    <row r="121" spans="1:12" ht="13.35" customHeight="1">
      <c r="A121" s="95"/>
      <c r="B121" s="97"/>
      <c r="C121" s="96"/>
      <c r="D121" s="96"/>
      <c r="E121" s="98"/>
      <c r="F121" s="70">
        <v>5</v>
      </c>
      <c r="G121" s="72"/>
      <c r="H121" s="73"/>
      <c r="I121" s="90"/>
      <c r="J121" s="73"/>
      <c r="K121" s="104"/>
      <c r="L121" s="71"/>
    </row>
    <row r="122" spans="1:12" ht="13.35" customHeight="1">
      <c r="A122" s="91">
        <f>IFERROR(IF(INDEX(Registro!$E$2:$E$100,MATCH(25,Registro!$T$2:$T$100,0))="","", 25),"")</f>
        <v>25</v>
      </c>
      <c r="B122" s="92" t="str">
        <f>IFERROR(INDEX(Registro!$E$2:$E$100,MATCH(25,Registro!$T$2:$T$100,0)),"")</f>
        <v>1018465015</v>
      </c>
      <c r="C122" s="92" t="str">
        <f>IFERROR(INDEX(Registro!$F$2:$F$100,MATCH(25,Registro!$T$2:$T$100,0)),"")</f>
        <v>Geraldine Arango Robayo</v>
      </c>
      <c r="D122" s="92" t="str">
        <f>IFERROR(INDEX(Registro!$B$2:$B$100,MATCH(25,Registro!$T$2:$T$100,0)),"")</f>
        <v>Pregrado Virtual</v>
      </c>
      <c r="E122" s="94">
        <f>IFERROR(INDEX(Registro!$P$2:$P$100,MATCH(25,Registro!$T$2:$T$100,0)),"")</f>
        <v>71</v>
      </c>
      <c r="F122" s="66">
        <v>1</v>
      </c>
      <c r="G122" s="68"/>
      <c r="H122" s="69"/>
      <c r="I122" s="89"/>
      <c r="J122" s="69"/>
      <c r="K122" s="99"/>
      <c r="L122" s="67"/>
    </row>
    <row r="123" spans="1:12" ht="13.35" customHeight="1">
      <c r="A123" s="91"/>
      <c r="B123" s="93"/>
      <c r="C123" s="92"/>
      <c r="D123" s="92"/>
      <c r="E123" s="94"/>
      <c r="F123" s="66">
        <v>2</v>
      </c>
      <c r="G123" s="68"/>
      <c r="H123" s="69"/>
      <c r="I123" s="89"/>
      <c r="J123" s="69"/>
      <c r="K123" s="100"/>
      <c r="L123" s="67"/>
    </row>
    <row r="124" spans="1:12" ht="13.35" customHeight="1">
      <c r="A124" s="91"/>
      <c r="B124" s="93"/>
      <c r="C124" s="92"/>
      <c r="D124" s="92"/>
      <c r="E124" s="94"/>
      <c r="F124" s="66">
        <v>3</v>
      </c>
      <c r="G124" s="68"/>
      <c r="H124" s="69"/>
      <c r="I124" s="89"/>
      <c r="J124" s="69"/>
      <c r="K124" s="100"/>
      <c r="L124" s="67"/>
    </row>
    <row r="125" spans="1:12" ht="13.35" customHeight="1">
      <c r="A125" s="91"/>
      <c r="B125" s="93"/>
      <c r="C125" s="92"/>
      <c r="D125" s="92"/>
      <c r="E125" s="94"/>
      <c r="F125" s="66">
        <v>4</v>
      </c>
      <c r="G125" s="68"/>
      <c r="H125" s="69"/>
      <c r="I125" s="89"/>
      <c r="J125" s="69"/>
      <c r="K125" s="100"/>
      <c r="L125" s="67"/>
    </row>
    <row r="126" spans="1:12" ht="13.35" customHeight="1">
      <c r="A126" s="91"/>
      <c r="B126" s="93"/>
      <c r="C126" s="92"/>
      <c r="D126" s="92"/>
      <c r="E126" s="94"/>
      <c r="F126" s="66">
        <v>5</v>
      </c>
      <c r="G126" s="68"/>
      <c r="H126" s="69"/>
      <c r="I126" s="89"/>
      <c r="J126" s="69"/>
      <c r="K126" s="101"/>
      <c r="L126" s="67"/>
    </row>
    <row r="127" spans="1:12" ht="13.35" customHeight="1">
      <c r="A127" s="95">
        <f>IFERROR(IF(INDEX(Registro!$E$2:$E$100,MATCH(26,Registro!$T$2:$T$100,0))="","", 26),"")</f>
        <v>26</v>
      </c>
      <c r="B127" s="96" t="str">
        <f>IFERROR(INDEX(Registro!$E$2:$E$100,MATCH(26,Registro!$T$2:$T$100,0)),"")</f>
        <v>1000122421</v>
      </c>
      <c r="C127" s="96" t="str">
        <f>IFERROR(INDEX(Registro!$F$2:$F$100,MATCH(26,Registro!$T$2:$T$100,0)),"")</f>
        <v>Andrea Espitia Betancourt</v>
      </c>
      <c r="D127" s="96" t="str">
        <f>IFERROR(INDEX(Registro!$B$2:$B$100,MATCH(26,Registro!$T$2:$T$100,0)),"")</f>
        <v>Pregrado Virtual</v>
      </c>
      <c r="E127" s="98">
        <f>IFERROR(INDEX(Registro!$P$2:$P$100,MATCH(26,Registro!$T$2:$T$100,0)),"")</f>
        <v>71</v>
      </c>
      <c r="F127" s="70">
        <v>1</v>
      </c>
      <c r="G127" s="72"/>
      <c r="H127" s="73"/>
      <c r="I127" s="90"/>
      <c r="J127" s="73"/>
      <c r="K127" s="102"/>
      <c r="L127" s="71"/>
    </row>
    <row r="128" spans="1:12" ht="13.35" customHeight="1">
      <c r="A128" s="95"/>
      <c r="B128" s="97"/>
      <c r="C128" s="96"/>
      <c r="D128" s="96"/>
      <c r="E128" s="98"/>
      <c r="F128" s="70">
        <v>2</v>
      </c>
      <c r="G128" s="72"/>
      <c r="H128" s="73"/>
      <c r="I128" s="90"/>
      <c r="J128" s="73"/>
      <c r="K128" s="103"/>
      <c r="L128" s="71"/>
    </row>
    <row r="129" spans="1:12" ht="13.35" customHeight="1">
      <c r="A129" s="95"/>
      <c r="B129" s="97"/>
      <c r="C129" s="96"/>
      <c r="D129" s="96"/>
      <c r="E129" s="98"/>
      <c r="F129" s="70">
        <v>3</v>
      </c>
      <c r="G129" s="72"/>
      <c r="H129" s="73"/>
      <c r="I129" s="90"/>
      <c r="J129" s="73"/>
      <c r="K129" s="103"/>
      <c r="L129" s="71"/>
    </row>
    <row r="130" spans="1:12" ht="13.35" customHeight="1">
      <c r="A130" s="95"/>
      <c r="B130" s="97"/>
      <c r="C130" s="96"/>
      <c r="D130" s="96"/>
      <c r="E130" s="98"/>
      <c r="F130" s="70">
        <v>4</v>
      </c>
      <c r="G130" s="72"/>
      <c r="H130" s="73"/>
      <c r="I130" s="90"/>
      <c r="J130" s="73"/>
      <c r="K130" s="103"/>
      <c r="L130" s="71"/>
    </row>
    <row r="131" spans="1:12" ht="13.35" customHeight="1">
      <c r="A131" s="95"/>
      <c r="B131" s="97"/>
      <c r="C131" s="96"/>
      <c r="D131" s="96"/>
      <c r="E131" s="98"/>
      <c r="F131" s="70">
        <v>5</v>
      </c>
      <c r="G131" s="72"/>
      <c r="H131" s="73"/>
      <c r="I131" s="90"/>
      <c r="J131" s="73"/>
      <c r="K131" s="104"/>
      <c r="L131" s="71"/>
    </row>
    <row r="132" spans="1:12" ht="13.35" customHeight="1">
      <c r="A132" s="91" t="str">
        <f>IFERROR(IF(INDEX(Registro!$E$2:$E$100,MATCH(27,Registro!$T$2:$T$100,0))="","", 27),"")</f>
        <v/>
      </c>
      <c r="B132" s="92" t="str">
        <f>IFERROR(INDEX(Registro!$E$2:$E$100,MATCH(27,Registro!$T$2:$T$100,0)),"")</f>
        <v/>
      </c>
      <c r="C132" s="92" t="str">
        <f>IFERROR(INDEX(Registro!$F$2:$F$100,MATCH(27,Registro!$T$2:$T$100,0)),"")</f>
        <v/>
      </c>
      <c r="D132" s="92" t="str">
        <f>IFERROR(INDEX(Registro!$B$2:$B$100,MATCH(27,Registro!$T$2:$T$100,0)),"")</f>
        <v/>
      </c>
      <c r="E132" s="94" t="str">
        <f>IFERROR(INDEX(Registro!$P$2:$P$100,MATCH(27,Registro!$T$2:$T$100,0)),"")</f>
        <v/>
      </c>
      <c r="F132" s="66">
        <v>1</v>
      </c>
      <c r="G132" s="68"/>
      <c r="H132" s="69"/>
      <c r="I132" s="89"/>
      <c r="J132" s="69"/>
      <c r="K132" s="99"/>
      <c r="L132" s="67"/>
    </row>
    <row r="133" spans="1:12" ht="13.35" customHeight="1">
      <c r="A133" s="91"/>
      <c r="B133" s="93"/>
      <c r="C133" s="92"/>
      <c r="D133" s="92"/>
      <c r="E133" s="94"/>
      <c r="F133" s="66">
        <v>2</v>
      </c>
      <c r="G133" s="68"/>
      <c r="H133" s="69"/>
      <c r="I133" s="89"/>
      <c r="J133" s="69"/>
      <c r="K133" s="100"/>
      <c r="L133" s="67"/>
    </row>
    <row r="134" spans="1:12" ht="13.35" customHeight="1">
      <c r="A134" s="91"/>
      <c r="B134" s="93"/>
      <c r="C134" s="92"/>
      <c r="D134" s="92"/>
      <c r="E134" s="94"/>
      <c r="F134" s="66">
        <v>3</v>
      </c>
      <c r="G134" s="68"/>
      <c r="H134" s="69"/>
      <c r="I134" s="89"/>
      <c r="J134" s="69"/>
      <c r="K134" s="100"/>
      <c r="L134" s="67"/>
    </row>
    <row r="135" spans="1:12" ht="13.35" customHeight="1">
      <c r="A135" s="91"/>
      <c r="B135" s="93"/>
      <c r="C135" s="92"/>
      <c r="D135" s="92"/>
      <c r="E135" s="94"/>
      <c r="F135" s="66">
        <v>4</v>
      </c>
      <c r="G135" s="68"/>
      <c r="H135" s="69"/>
      <c r="I135" s="89"/>
      <c r="J135" s="69"/>
      <c r="K135" s="100"/>
      <c r="L135" s="67"/>
    </row>
    <row r="136" spans="1:12" ht="13.35" customHeight="1">
      <c r="A136" s="91"/>
      <c r="B136" s="93"/>
      <c r="C136" s="92"/>
      <c r="D136" s="92"/>
      <c r="E136" s="94"/>
      <c r="F136" s="66">
        <v>5</v>
      </c>
      <c r="G136" s="68"/>
      <c r="H136" s="69"/>
      <c r="I136" s="89"/>
      <c r="J136" s="69"/>
      <c r="K136" s="101"/>
      <c r="L136" s="67"/>
    </row>
    <row r="137" spans="1:12" ht="13.35" customHeight="1">
      <c r="A137" s="95" t="str">
        <f>IFERROR(IF(INDEX(Registro!$E$2:$E$100,MATCH(28,Registro!$T$2:$T$100,0))="","", 28),"")</f>
        <v/>
      </c>
      <c r="B137" s="96" t="str">
        <f>IFERROR(INDEX(Registro!$E$2:$E$100,MATCH(28,Registro!$T$2:$T$100,0)),"")</f>
        <v/>
      </c>
      <c r="C137" s="96" t="str">
        <f>IFERROR(INDEX(Registro!$F$2:$F$100,MATCH(28,Registro!$T$2:$T$100,0)),"")</f>
        <v/>
      </c>
      <c r="D137" s="96" t="str">
        <f>IFERROR(INDEX(Registro!$B$2:$B$100,MATCH(28,Registro!$T$2:$T$100,0)),"")</f>
        <v/>
      </c>
      <c r="E137" s="98" t="str">
        <f>IFERROR(INDEX(Registro!$P$2:$P$100,MATCH(28,Registro!$T$2:$T$100,0)),"")</f>
        <v/>
      </c>
      <c r="F137" s="70">
        <v>1</v>
      </c>
      <c r="G137" s="72"/>
      <c r="H137" s="73"/>
      <c r="I137" s="90"/>
      <c r="J137" s="73"/>
      <c r="K137" s="102"/>
      <c r="L137" s="71"/>
    </row>
    <row r="138" spans="1:12" ht="13.35" customHeight="1">
      <c r="A138" s="95"/>
      <c r="B138" s="97"/>
      <c r="C138" s="96"/>
      <c r="D138" s="96"/>
      <c r="E138" s="98"/>
      <c r="F138" s="70">
        <v>2</v>
      </c>
      <c r="G138" s="72"/>
      <c r="H138" s="73"/>
      <c r="I138" s="90"/>
      <c r="J138" s="73"/>
      <c r="K138" s="103"/>
      <c r="L138" s="71"/>
    </row>
    <row r="139" spans="1:12" ht="13.35" customHeight="1">
      <c r="A139" s="95"/>
      <c r="B139" s="97"/>
      <c r="C139" s="96"/>
      <c r="D139" s="96"/>
      <c r="E139" s="98"/>
      <c r="F139" s="70">
        <v>3</v>
      </c>
      <c r="G139" s="72"/>
      <c r="H139" s="73"/>
      <c r="I139" s="90"/>
      <c r="J139" s="73"/>
      <c r="K139" s="103"/>
      <c r="L139" s="71"/>
    </row>
    <row r="140" spans="1:12" ht="13.35" customHeight="1">
      <c r="A140" s="95"/>
      <c r="B140" s="97"/>
      <c r="C140" s="96"/>
      <c r="D140" s="96"/>
      <c r="E140" s="98"/>
      <c r="F140" s="70">
        <v>4</v>
      </c>
      <c r="G140" s="72"/>
      <c r="H140" s="73"/>
      <c r="I140" s="90"/>
      <c r="J140" s="73"/>
      <c r="K140" s="103"/>
      <c r="L140" s="71"/>
    </row>
    <row r="141" spans="1:12" ht="13.35" customHeight="1">
      <c r="A141" s="95"/>
      <c r="B141" s="97"/>
      <c r="C141" s="96"/>
      <c r="D141" s="96"/>
      <c r="E141" s="98"/>
      <c r="F141" s="70">
        <v>5</v>
      </c>
      <c r="G141" s="72"/>
      <c r="H141" s="73"/>
      <c r="I141" s="90"/>
      <c r="J141" s="73"/>
      <c r="K141" s="104"/>
      <c r="L141" s="71"/>
    </row>
    <row r="142" spans="1:12" ht="13.35" customHeight="1">
      <c r="A142" s="91" t="str">
        <f>IFERROR(IF(INDEX(Registro!$E$2:$E$100,MATCH(29,Registro!$T$2:$T$100,0))="","", 29),"")</f>
        <v/>
      </c>
      <c r="B142" s="92" t="str">
        <f>IFERROR(INDEX(Registro!$E$2:$E$100,MATCH(29,Registro!$T$2:$T$100,0)),"")</f>
        <v/>
      </c>
      <c r="C142" s="92" t="str">
        <f>IFERROR(INDEX(Registro!$F$2:$F$100,MATCH(29,Registro!$T$2:$T$100,0)),"")</f>
        <v/>
      </c>
      <c r="D142" s="92" t="str">
        <f>IFERROR(INDEX(Registro!$B$2:$B$100,MATCH(29,Registro!$T$2:$T$100,0)),"")</f>
        <v/>
      </c>
      <c r="E142" s="94" t="str">
        <f>IFERROR(INDEX(Registro!$P$2:$P$100,MATCH(29,Registro!$T$2:$T$100,0)),"")</f>
        <v/>
      </c>
      <c r="F142" s="66">
        <v>1</v>
      </c>
      <c r="G142" s="68"/>
      <c r="H142" s="69"/>
      <c r="I142" s="89"/>
      <c r="J142" s="69"/>
      <c r="K142" s="99"/>
      <c r="L142" s="67"/>
    </row>
    <row r="143" spans="1:12" ht="13.35" customHeight="1">
      <c r="A143" s="91"/>
      <c r="B143" s="93"/>
      <c r="C143" s="92"/>
      <c r="D143" s="92"/>
      <c r="E143" s="94"/>
      <c r="F143" s="66">
        <v>2</v>
      </c>
      <c r="G143" s="68"/>
      <c r="H143" s="69"/>
      <c r="I143" s="89"/>
      <c r="J143" s="69"/>
      <c r="K143" s="100"/>
      <c r="L143" s="67"/>
    </row>
    <row r="144" spans="1:12" ht="13.35" customHeight="1">
      <c r="A144" s="91"/>
      <c r="B144" s="93"/>
      <c r="C144" s="92"/>
      <c r="D144" s="92"/>
      <c r="E144" s="94"/>
      <c r="F144" s="66">
        <v>3</v>
      </c>
      <c r="G144" s="68"/>
      <c r="H144" s="69"/>
      <c r="I144" s="89"/>
      <c r="J144" s="69"/>
      <c r="K144" s="100"/>
      <c r="L144" s="67"/>
    </row>
    <row r="145" spans="1:12" ht="13.35" customHeight="1">
      <c r="A145" s="91"/>
      <c r="B145" s="93"/>
      <c r="C145" s="92"/>
      <c r="D145" s="92"/>
      <c r="E145" s="94"/>
      <c r="F145" s="66">
        <v>4</v>
      </c>
      <c r="G145" s="68"/>
      <c r="H145" s="69"/>
      <c r="I145" s="89"/>
      <c r="J145" s="69"/>
      <c r="K145" s="100"/>
      <c r="L145" s="67"/>
    </row>
    <row r="146" spans="1:12" ht="13.35" customHeight="1">
      <c r="A146" s="91"/>
      <c r="B146" s="93"/>
      <c r="C146" s="92"/>
      <c r="D146" s="92"/>
      <c r="E146" s="94"/>
      <c r="F146" s="66">
        <v>5</v>
      </c>
      <c r="G146" s="68"/>
      <c r="H146" s="69"/>
      <c r="I146" s="89"/>
      <c r="J146" s="69"/>
      <c r="K146" s="101"/>
      <c r="L146" s="67"/>
    </row>
    <row r="147" spans="1:12" ht="13.35" customHeight="1">
      <c r="A147" s="95" t="str">
        <f>IFERROR(IF(INDEX(Registro!$E$2:$E$100,MATCH(30,Registro!$T$2:$T$100,0))="","", 30),"")</f>
        <v/>
      </c>
      <c r="B147" s="96" t="str">
        <f>IFERROR(INDEX(Registro!$E$2:$E$100,MATCH(30,Registro!$T$2:$T$100,0)),"")</f>
        <v/>
      </c>
      <c r="C147" s="96" t="str">
        <f>IFERROR(INDEX(Registro!$F$2:$F$100,MATCH(30,Registro!$T$2:$T$100,0)),"")</f>
        <v/>
      </c>
      <c r="D147" s="96" t="str">
        <f>IFERROR(INDEX(Registro!$B$2:$B$100,MATCH(30,Registro!$T$2:$T$100,0)),"")</f>
        <v/>
      </c>
      <c r="E147" s="98" t="str">
        <f>IFERROR(INDEX(Registro!$P$2:$P$100,MATCH(30,Registro!$T$2:$T$100,0)),"")</f>
        <v/>
      </c>
      <c r="F147" s="70">
        <v>1</v>
      </c>
      <c r="G147" s="72"/>
      <c r="H147" s="73"/>
      <c r="I147" s="90"/>
      <c r="J147" s="73"/>
      <c r="K147" s="102"/>
      <c r="L147" s="71"/>
    </row>
    <row r="148" spans="1:12" ht="13.35" customHeight="1">
      <c r="A148" s="95"/>
      <c r="B148" s="97"/>
      <c r="C148" s="96"/>
      <c r="D148" s="96"/>
      <c r="E148" s="98"/>
      <c r="F148" s="70">
        <v>2</v>
      </c>
      <c r="G148" s="72"/>
      <c r="H148" s="73"/>
      <c r="I148" s="90"/>
      <c r="J148" s="73"/>
      <c r="K148" s="103"/>
      <c r="L148" s="71"/>
    </row>
    <row r="149" spans="1:12" ht="13.35" customHeight="1">
      <c r="A149" s="95"/>
      <c r="B149" s="97"/>
      <c r="C149" s="96"/>
      <c r="D149" s="96"/>
      <c r="E149" s="98"/>
      <c r="F149" s="70">
        <v>3</v>
      </c>
      <c r="G149" s="72"/>
      <c r="H149" s="73"/>
      <c r="I149" s="90"/>
      <c r="J149" s="73"/>
      <c r="K149" s="103"/>
      <c r="L149" s="71"/>
    </row>
    <row r="150" spans="1:12" ht="13.35" customHeight="1">
      <c r="A150" s="95"/>
      <c r="B150" s="97"/>
      <c r="C150" s="96"/>
      <c r="D150" s="96"/>
      <c r="E150" s="98"/>
      <c r="F150" s="70">
        <v>4</v>
      </c>
      <c r="G150" s="72"/>
      <c r="H150" s="73"/>
      <c r="I150" s="90"/>
      <c r="J150" s="73"/>
      <c r="K150" s="103"/>
      <c r="L150" s="71"/>
    </row>
    <row r="151" spans="1:12" ht="13.35" customHeight="1">
      <c r="A151" s="95"/>
      <c r="B151" s="97"/>
      <c r="C151" s="96"/>
      <c r="D151" s="96"/>
      <c r="E151" s="98"/>
      <c r="F151" s="70">
        <v>5</v>
      </c>
      <c r="G151" s="72"/>
      <c r="H151" s="73"/>
      <c r="I151" s="90"/>
      <c r="J151" s="73"/>
      <c r="K151" s="104"/>
      <c r="L151" s="71"/>
    </row>
    <row r="152" spans="1:12">
      <c r="E152" s="84"/>
    </row>
    <row r="153" spans="1:12" ht="15.75">
      <c r="A153" s="76"/>
      <c r="B153" s="76"/>
      <c r="C153" s="76"/>
      <c r="D153" s="76"/>
      <c r="E153" s="85"/>
      <c r="F153" s="76"/>
      <c r="G153" s="76"/>
      <c r="H153" s="76"/>
      <c r="I153" s="76"/>
      <c r="J153" s="76"/>
      <c r="K153" s="76"/>
    </row>
    <row r="154" spans="1:12" ht="20.100000000000001" customHeight="1">
      <c r="A154" s="77"/>
      <c r="B154" s="77"/>
      <c r="C154" s="77"/>
      <c r="D154" s="77"/>
      <c r="E154" s="78"/>
      <c r="F154" s="77"/>
      <c r="G154" s="77"/>
      <c r="H154" s="77"/>
      <c r="I154" s="77"/>
      <c r="J154" s="77"/>
      <c r="K154" s="77"/>
    </row>
    <row r="155" spans="1:12" ht="13.35" customHeight="1">
      <c r="A155" s="79"/>
      <c r="B155" s="80"/>
      <c r="C155" s="81"/>
      <c r="D155" s="81"/>
      <c r="E155" s="86"/>
      <c r="F155" s="79"/>
      <c r="G155" s="79"/>
      <c r="H155" s="82"/>
      <c r="I155" s="79"/>
      <c r="J155" s="83"/>
      <c r="K155" s="83"/>
    </row>
    <row r="156" spans="1:12" ht="13.35" customHeight="1">
      <c r="A156" s="79"/>
      <c r="B156" s="80"/>
      <c r="C156" s="81"/>
      <c r="D156" s="81"/>
      <c r="E156" s="86"/>
      <c r="F156" s="79"/>
      <c r="G156" s="79"/>
      <c r="H156" s="82"/>
      <c r="I156" s="79"/>
      <c r="J156" s="83"/>
      <c r="K156" s="83"/>
    </row>
    <row r="157" spans="1:12" ht="13.35" customHeight="1">
      <c r="A157" s="79"/>
      <c r="B157" s="80"/>
      <c r="C157" s="81"/>
      <c r="D157" s="81"/>
      <c r="E157" s="86"/>
      <c r="F157" s="79"/>
      <c r="G157" s="79"/>
      <c r="H157" s="82"/>
      <c r="I157" s="79"/>
      <c r="J157" s="83"/>
      <c r="K157" s="83"/>
    </row>
    <row r="158" spans="1:12" ht="13.35" customHeight="1">
      <c r="A158" s="79"/>
      <c r="B158" s="80"/>
      <c r="C158" s="81"/>
      <c r="D158" s="81"/>
      <c r="E158" s="86"/>
      <c r="F158" s="79"/>
      <c r="G158" s="79"/>
      <c r="H158" s="82"/>
      <c r="I158" s="79"/>
      <c r="J158" s="83"/>
      <c r="K158" s="83"/>
    </row>
    <row r="159" spans="1:12" ht="13.35" customHeight="1">
      <c r="A159" s="79"/>
      <c r="B159" s="80"/>
      <c r="C159" s="81"/>
      <c r="D159" s="81"/>
      <c r="E159" s="86"/>
      <c r="F159" s="79"/>
      <c r="G159" s="79"/>
      <c r="H159" s="82"/>
      <c r="I159" s="79"/>
      <c r="J159" s="83"/>
      <c r="K159" s="83"/>
    </row>
    <row r="160" spans="1:12" ht="13.35" customHeight="1">
      <c r="A160" s="79"/>
      <c r="B160" s="80"/>
      <c r="C160" s="81"/>
      <c r="D160" s="81"/>
      <c r="E160" s="86"/>
      <c r="F160" s="79"/>
      <c r="G160" s="79"/>
      <c r="H160" s="82"/>
      <c r="I160" s="79"/>
      <c r="J160" s="83"/>
      <c r="K160" s="83"/>
    </row>
    <row r="161" spans="1:11" ht="13.35" customHeight="1">
      <c r="A161" s="79"/>
      <c r="B161" s="80"/>
      <c r="C161" s="81"/>
      <c r="D161" s="81"/>
      <c r="E161" s="86"/>
      <c r="F161" s="79"/>
      <c r="G161" s="79"/>
      <c r="H161" s="82"/>
      <c r="I161" s="79"/>
      <c r="J161" s="83"/>
      <c r="K161" s="83"/>
    </row>
    <row r="162" spans="1:11" ht="13.35" customHeight="1">
      <c r="A162" s="79"/>
      <c r="B162" s="80"/>
      <c r="C162" s="81"/>
      <c r="D162" s="81"/>
      <c r="E162" s="86"/>
      <c r="F162" s="79"/>
      <c r="G162" s="79"/>
      <c r="H162" s="82"/>
      <c r="I162" s="79"/>
      <c r="J162" s="83"/>
      <c r="K162" s="83"/>
    </row>
    <row r="163" spans="1:11" ht="13.35" customHeight="1">
      <c r="A163" s="79"/>
      <c r="B163" s="80"/>
      <c r="C163" s="81"/>
      <c r="D163" s="81"/>
      <c r="E163" s="86"/>
      <c r="F163" s="79"/>
      <c r="G163" s="79"/>
      <c r="H163" s="82"/>
      <c r="I163" s="79"/>
      <c r="J163" s="83"/>
      <c r="K163" s="83"/>
    </row>
    <row r="164" spans="1:11" ht="13.35" customHeight="1">
      <c r="A164" s="79"/>
      <c r="B164" s="80"/>
      <c r="C164" s="81"/>
      <c r="D164" s="81"/>
      <c r="E164" s="86"/>
      <c r="F164" s="79"/>
      <c r="G164" s="79"/>
      <c r="H164" s="82"/>
      <c r="I164" s="79"/>
      <c r="J164" s="83"/>
      <c r="K164" s="83"/>
    </row>
    <row r="165" spans="1:11" ht="13.35" customHeight="1">
      <c r="A165" s="79"/>
      <c r="B165" s="80"/>
      <c r="C165" s="81"/>
      <c r="D165" s="81"/>
      <c r="E165" s="86"/>
      <c r="F165" s="79"/>
      <c r="G165" s="79"/>
      <c r="H165" s="82"/>
      <c r="I165" s="79"/>
      <c r="J165" s="83"/>
      <c r="K165" s="83"/>
    </row>
    <row r="166" spans="1:11" ht="13.35" customHeight="1">
      <c r="A166" s="79"/>
      <c r="B166" s="80"/>
      <c r="C166" s="81"/>
      <c r="D166" s="81"/>
      <c r="E166" s="86"/>
      <c r="F166" s="79"/>
      <c r="G166" s="79"/>
      <c r="H166" s="82"/>
      <c r="I166" s="79"/>
      <c r="J166" s="83"/>
      <c r="K166" s="83"/>
    </row>
    <row r="167" spans="1:11" ht="13.35" customHeight="1">
      <c r="A167" s="79"/>
      <c r="B167" s="80"/>
      <c r="C167" s="81"/>
      <c r="D167" s="81"/>
      <c r="E167" s="86"/>
      <c r="F167" s="79"/>
      <c r="G167" s="79"/>
      <c r="H167" s="82"/>
      <c r="I167" s="79"/>
      <c r="J167" s="83"/>
      <c r="K167" s="83"/>
    </row>
    <row r="168" spans="1:11" ht="13.35" customHeight="1">
      <c r="A168" s="79"/>
      <c r="B168" s="80"/>
      <c r="C168" s="81"/>
      <c r="D168" s="81"/>
      <c r="E168" s="86"/>
      <c r="F168" s="79"/>
      <c r="G168" s="79"/>
      <c r="H168" s="82"/>
      <c r="I168" s="79"/>
      <c r="J168" s="83"/>
      <c r="K168" s="83"/>
    </row>
    <row r="169" spans="1:11" ht="13.35" customHeight="1">
      <c r="A169" s="79"/>
      <c r="B169" s="80"/>
      <c r="C169" s="81"/>
      <c r="D169" s="81"/>
      <c r="E169" s="86"/>
      <c r="F169" s="79"/>
      <c r="G169" s="79"/>
      <c r="H169" s="82"/>
      <c r="I169" s="79"/>
      <c r="J169" s="83"/>
      <c r="K169" s="83"/>
    </row>
    <row r="170" spans="1:11" ht="13.35" customHeight="1">
      <c r="A170" s="79"/>
      <c r="B170" s="80"/>
      <c r="C170" s="81"/>
      <c r="D170" s="81"/>
      <c r="E170" s="86"/>
      <c r="F170" s="79"/>
      <c r="G170" s="79"/>
      <c r="H170" s="82"/>
      <c r="I170" s="79"/>
      <c r="J170" s="83"/>
      <c r="K170" s="83"/>
    </row>
    <row r="171" spans="1:11" ht="13.35" customHeight="1">
      <c r="A171" s="79"/>
      <c r="B171" s="80"/>
      <c r="C171" s="81"/>
      <c r="D171" s="81"/>
      <c r="E171" s="86"/>
      <c r="F171" s="79"/>
      <c r="G171" s="79"/>
      <c r="H171" s="82"/>
      <c r="I171" s="79"/>
      <c r="J171" s="83"/>
      <c r="K171" s="83"/>
    </row>
    <row r="172" spans="1:11" ht="13.35" customHeight="1">
      <c r="A172" s="79"/>
      <c r="B172" s="80"/>
      <c r="C172" s="81"/>
      <c r="D172" s="81"/>
      <c r="E172" s="86"/>
      <c r="F172" s="79"/>
      <c r="G172" s="79"/>
      <c r="H172" s="82"/>
      <c r="I172" s="79"/>
      <c r="J172" s="83"/>
      <c r="K172" s="83"/>
    </row>
    <row r="173" spans="1:11" ht="13.35" customHeight="1">
      <c r="A173" s="79"/>
      <c r="B173" s="80"/>
      <c r="C173" s="81"/>
      <c r="D173" s="81"/>
      <c r="E173" s="86"/>
      <c r="F173" s="79"/>
      <c r="G173" s="79"/>
      <c r="H173" s="82"/>
      <c r="I173" s="79"/>
      <c r="J173" s="83"/>
      <c r="K173" s="83"/>
    </row>
    <row r="174" spans="1:11" ht="13.35" customHeight="1">
      <c r="A174" s="79"/>
      <c r="B174" s="80"/>
      <c r="C174" s="81"/>
      <c r="D174" s="81"/>
      <c r="E174" s="86"/>
      <c r="F174" s="79"/>
      <c r="G174" s="79"/>
      <c r="H174" s="82"/>
      <c r="I174" s="79"/>
      <c r="J174" s="83"/>
      <c r="K174" s="83"/>
    </row>
    <row r="175" spans="1:11" ht="13.35" customHeight="1">
      <c r="A175" s="79"/>
      <c r="B175" s="80"/>
      <c r="C175" s="81"/>
      <c r="D175" s="81"/>
      <c r="E175" s="86"/>
      <c r="F175" s="79"/>
      <c r="G175" s="79"/>
      <c r="H175" s="82"/>
      <c r="I175" s="79"/>
      <c r="J175" s="83"/>
      <c r="K175" s="83"/>
    </row>
    <row r="176" spans="1:11" ht="13.35" customHeight="1">
      <c r="A176" s="79"/>
      <c r="B176" s="80"/>
      <c r="C176" s="81"/>
      <c r="D176" s="81"/>
      <c r="E176" s="86"/>
      <c r="F176" s="79"/>
      <c r="G176" s="79"/>
      <c r="H176" s="82"/>
      <c r="I176" s="79"/>
      <c r="J176" s="83"/>
      <c r="K176" s="83"/>
    </row>
    <row r="177" spans="1:11" ht="13.35" customHeight="1">
      <c r="A177" s="79"/>
      <c r="B177" s="80"/>
      <c r="C177" s="81"/>
      <c r="D177" s="81"/>
      <c r="E177" s="86"/>
      <c r="F177" s="79"/>
      <c r="G177" s="79"/>
      <c r="H177" s="82"/>
      <c r="I177" s="79"/>
      <c r="J177" s="83"/>
      <c r="K177" s="83"/>
    </row>
    <row r="178" spans="1:11" ht="13.35" customHeight="1">
      <c r="A178" s="79"/>
      <c r="B178" s="80"/>
      <c r="C178" s="81"/>
      <c r="D178" s="81"/>
      <c r="E178" s="86"/>
      <c r="F178" s="79"/>
      <c r="G178" s="79"/>
      <c r="H178" s="82"/>
      <c r="I178" s="79"/>
      <c r="J178" s="83"/>
      <c r="K178" s="83"/>
    </row>
    <row r="179" spans="1:11" ht="13.35" customHeight="1">
      <c r="A179" s="79"/>
      <c r="B179" s="80"/>
      <c r="C179" s="81"/>
      <c r="D179" s="81"/>
      <c r="E179" s="86"/>
      <c r="F179" s="79"/>
      <c r="G179" s="79"/>
      <c r="H179" s="82"/>
      <c r="I179" s="79"/>
      <c r="J179" s="83"/>
      <c r="K179" s="83"/>
    </row>
    <row r="180" spans="1:11" ht="13.35" customHeight="1">
      <c r="A180" s="79"/>
      <c r="B180" s="80"/>
      <c r="C180" s="81"/>
      <c r="D180" s="81"/>
      <c r="E180" s="86"/>
      <c r="F180" s="79"/>
      <c r="G180" s="79"/>
      <c r="H180" s="82"/>
      <c r="I180" s="79"/>
      <c r="J180" s="83"/>
      <c r="K180" s="83"/>
    </row>
    <row r="181" spans="1:11" ht="13.35" customHeight="1">
      <c r="A181" s="79"/>
      <c r="B181" s="80"/>
      <c r="C181" s="81"/>
      <c r="D181" s="81"/>
      <c r="E181" s="86"/>
      <c r="F181" s="79"/>
      <c r="G181" s="79"/>
      <c r="H181" s="82"/>
      <c r="I181" s="79"/>
      <c r="J181" s="83"/>
      <c r="K181" s="83"/>
    </row>
    <row r="182" spans="1:11" ht="13.35" customHeight="1">
      <c r="A182" s="79"/>
      <c r="B182" s="80"/>
      <c r="C182" s="81"/>
      <c r="D182" s="81"/>
      <c r="E182" s="86"/>
      <c r="F182" s="79"/>
      <c r="G182" s="79"/>
      <c r="H182" s="82"/>
      <c r="I182" s="79"/>
      <c r="J182" s="83"/>
      <c r="K182" s="83"/>
    </row>
    <row r="183" spans="1:11" ht="13.35" customHeight="1">
      <c r="A183" s="79"/>
      <c r="B183" s="80"/>
      <c r="C183" s="81"/>
      <c r="D183" s="81"/>
      <c r="E183" s="86"/>
      <c r="F183" s="79"/>
      <c r="G183" s="79"/>
      <c r="H183" s="82"/>
      <c r="I183" s="79"/>
      <c r="J183" s="83"/>
      <c r="K183" s="83"/>
    </row>
    <row r="184" spans="1:11" ht="13.35" customHeight="1">
      <c r="A184" s="79"/>
      <c r="B184" s="80"/>
      <c r="C184" s="81"/>
      <c r="D184" s="81"/>
      <c r="E184" s="86"/>
      <c r="F184" s="79"/>
      <c r="G184" s="79"/>
      <c r="H184" s="82"/>
      <c r="I184" s="79"/>
      <c r="J184" s="83"/>
      <c r="K184" s="83"/>
    </row>
  </sheetData>
  <mergeCells count="180">
    <mergeCell ref="K137:K141"/>
    <mergeCell ref="K142:K146"/>
    <mergeCell ref="K147:K151"/>
    <mergeCell ref="K92:K96"/>
    <mergeCell ref="K97:K101"/>
    <mergeCell ref="K102:K106"/>
    <mergeCell ref="K107:K111"/>
    <mergeCell ref="K112:K116"/>
    <mergeCell ref="K117:K121"/>
    <mergeCell ref="K122:K126"/>
    <mergeCell ref="K127:K131"/>
    <mergeCell ref="K132:K136"/>
    <mergeCell ref="K47:K51"/>
    <mergeCell ref="K52:K56"/>
    <mergeCell ref="K57:K61"/>
    <mergeCell ref="K62:K66"/>
    <mergeCell ref="K67:K71"/>
    <mergeCell ref="K72:K76"/>
    <mergeCell ref="K77:K81"/>
    <mergeCell ref="K82:K86"/>
    <mergeCell ref="K87:K91"/>
    <mergeCell ref="K2:K6"/>
    <mergeCell ref="K7:K11"/>
    <mergeCell ref="K12:K16"/>
    <mergeCell ref="K17:K21"/>
    <mergeCell ref="K22:K26"/>
    <mergeCell ref="K27:K31"/>
    <mergeCell ref="K32:K36"/>
    <mergeCell ref="K37:K41"/>
    <mergeCell ref="K42:K46"/>
    <mergeCell ref="A2:A6"/>
    <mergeCell ref="B2:B6"/>
    <mergeCell ref="C2:C6"/>
    <mergeCell ref="D2:D6"/>
    <mergeCell ref="E2:E6"/>
    <mergeCell ref="A7:A11"/>
    <mergeCell ref="B7:B11"/>
    <mergeCell ref="C7:C11"/>
    <mergeCell ref="D7:D11"/>
    <mergeCell ref="E7:E11"/>
    <mergeCell ref="A12:A16"/>
    <mergeCell ref="B12:B16"/>
    <mergeCell ref="C12:C16"/>
    <mergeCell ref="D12:D16"/>
    <mergeCell ref="E12:E16"/>
    <mergeCell ref="A17:A21"/>
    <mergeCell ref="B17:B21"/>
    <mergeCell ref="C17:C21"/>
    <mergeCell ref="D17:D21"/>
    <mergeCell ref="E17:E21"/>
    <mergeCell ref="A22:A26"/>
    <mergeCell ref="B22:B26"/>
    <mergeCell ref="C22:C26"/>
    <mergeCell ref="D22:D26"/>
    <mergeCell ref="E22:E26"/>
    <mergeCell ref="A27:A31"/>
    <mergeCell ref="B27:B31"/>
    <mergeCell ref="C27:C31"/>
    <mergeCell ref="D27:D31"/>
    <mergeCell ref="E27:E31"/>
    <mergeCell ref="A32:A36"/>
    <mergeCell ref="B32:B36"/>
    <mergeCell ref="C32:C36"/>
    <mergeCell ref="D32:D36"/>
    <mergeCell ref="E32:E36"/>
    <mergeCell ref="A37:A41"/>
    <mergeCell ref="B37:B41"/>
    <mergeCell ref="C37:C41"/>
    <mergeCell ref="D37:D41"/>
    <mergeCell ref="E37:E41"/>
    <mergeCell ref="A42:A46"/>
    <mergeCell ref="B42:B46"/>
    <mergeCell ref="C42:C46"/>
    <mergeCell ref="D42:D46"/>
    <mergeCell ref="E42:E46"/>
    <mergeCell ref="A47:A51"/>
    <mergeCell ref="B47:B51"/>
    <mergeCell ref="C47:C51"/>
    <mergeCell ref="D47:D51"/>
    <mergeCell ref="E47:E51"/>
    <mergeCell ref="A52:A56"/>
    <mergeCell ref="B52:B56"/>
    <mergeCell ref="C52:C56"/>
    <mergeCell ref="D52:D56"/>
    <mergeCell ref="E52:E56"/>
    <mergeCell ref="A57:A61"/>
    <mergeCell ref="B57:B61"/>
    <mergeCell ref="C57:C61"/>
    <mergeCell ref="D57:D61"/>
    <mergeCell ref="E57:E61"/>
    <mergeCell ref="A62:A66"/>
    <mergeCell ref="B62:B66"/>
    <mergeCell ref="C62:C66"/>
    <mergeCell ref="D62:D66"/>
    <mergeCell ref="E62:E66"/>
    <mergeCell ref="A67:A71"/>
    <mergeCell ref="B67:B71"/>
    <mergeCell ref="C67:C71"/>
    <mergeCell ref="D67:D71"/>
    <mergeCell ref="E67:E71"/>
    <mergeCell ref="A72:A76"/>
    <mergeCell ref="B72:B76"/>
    <mergeCell ref="C72:C76"/>
    <mergeCell ref="D72:D76"/>
    <mergeCell ref="E72:E76"/>
    <mergeCell ref="A77:A81"/>
    <mergeCell ref="B77:B81"/>
    <mergeCell ref="C77:C81"/>
    <mergeCell ref="D77:D81"/>
    <mergeCell ref="E77:E81"/>
    <mergeCell ref="A82:A86"/>
    <mergeCell ref="B82:B86"/>
    <mergeCell ref="C82:C86"/>
    <mergeCell ref="D82:D86"/>
    <mergeCell ref="E82:E86"/>
    <mergeCell ref="A87:A91"/>
    <mergeCell ref="B87:B91"/>
    <mergeCell ref="C87:C91"/>
    <mergeCell ref="D87:D91"/>
    <mergeCell ref="E87:E91"/>
    <mergeCell ref="A92:A96"/>
    <mergeCell ref="B92:B96"/>
    <mergeCell ref="C92:C96"/>
    <mergeCell ref="D92:D96"/>
    <mergeCell ref="E92:E96"/>
    <mergeCell ref="A97:A101"/>
    <mergeCell ref="B97:B101"/>
    <mergeCell ref="C97:C101"/>
    <mergeCell ref="D97:D101"/>
    <mergeCell ref="E97:E101"/>
    <mergeCell ref="A102:A106"/>
    <mergeCell ref="B102:B106"/>
    <mergeCell ref="C102:C106"/>
    <mergeCell ref="D102:D106"/>
    <mergeCell ref="E102:E106"/>
    <mergeCell ref="A107:A111"/>
    <mergeCell ref="B107:B111"/>
    <mergeCell ref="C107:C111"/>
    <mergeCell ref="D107:D111"/>
    <mergeCell ref="E107:E111"/>
    <mergeCell ref="A112:A116"/>
    <mergeCell ref="B112:B116"/>
    <mergeCell ref="C112:C116"/>
    <mergeCell ref="D112:D116"/>
    <mergeCell ref="E112:E116"/>
    <mergeCell ref="A117:A121"/>
    <mergeCell ref="B117:B121"/>
    <mergeCell ref="C117:C121"/>
    <mergeCell ref="D117:D121"/>
    <mergeCell ref="E117:E121"/>
    <mergeCell ref="A122:A126"/>
    <mergeCell ref="B122:B126"/>
    <mergeCell ref="C122:C126"/>
    <mergeCell ref="D122:D126"/>
    <mergeCell ref="E122:E126"/>
    <mergeCell ref="A127:A131"/>
    <mergeCell ref="B127:B131"/>
    <mergeCell ref="C127:C131"/>
    <mergeCell ref="D127:D131"/>
    <mergeCell ref="E127:E131"/>
    <mergeCell ref="A132:A136"/>
    <mergeCell ref="B132:B136"/>
    <mergeCell ref="C132:C136"/>
    <mergeCell ref="D132:D136"/>
    <mergeCell ref="E132:E136"/>
    <mergeCell ref="A147:A151"/>
    <mergeCell ref="B147:B151"/>
    <mergeCell ref="C147:C151"/>
    <mergeCell ref="D147:D151"/>
    <mergeCell ref="E147:E151"/>
    <mergeCell ref="A137:A141"/>
    <mergeCell ref="B137:B141"/>
    <mergeCell ref="C137:C141"/>
    <mergeCell ref="D137:D141"/>
    <mergeCell ref="E137:E141"/>
    <mergeCell ref="A142:A146"/>
    <mergeCell ref="B142:B146"/>
    <mergeCell ref="C142:C146"/>
    <mergeCell ref="D142:D146"/>
    <mergeCell ref="E142:E146"/>
  </mergeCells>
  <conditionalFormatting sqref="I2:I151">
    <cfRule type="dataBar" priority="3">
      <dataBar>
        <cfvo type="num" val="0"/>
        <cfvo type="num" val="100"/>
        <color rgb="FF638EC6"/>
      </dataBar>
      <extLst>
        <ext xmlns:x14="http://schemas.microsoft.com/office/spreadsheetml/2009/9/main" uri="{B025F937-C7B1-47D3-B67F-A62EFF666E3E}">
          <x14:id>{ED381E1B-1D92-4A51-875A-B62DE607CD81}</x14:id>
        </ext>
      </extLst>
    </cfRule>
  </conditionalFormatting>
  <conditionalFormatting sqref="I155:I184">
    <cfRule type="expression" dxfId="1" priority="1">
      <formula>I155="Sí"</formula>
    </cfRule>
    <cfRule type="expression" dxfId="0" priority="2">
      <formula>I155="No"</formula>
    </cfRule>
  </conditionalFormatting>
  <dataValidations count="6">
    <dataValidation type="whole" operator="greaterThanOrEqual" allowBlank="1" showErrorMessage="1" errorTitle="Valor inválido" error="Ingresa un número igual o mayor a 0." sqref="H2:H151" xr:uid="{53A76B28-90FB-489F-8434-FF22C72E3996}">
      <formula1>0</formula1>
    </dataValidation>
    <dataValidation type="date" operator="greaterThanOrEqual" allowBlank="1" showErrorMessage="1" errorTitle="Fecha inválida" error="Ingresa una fecha válida (DD/MM/AAAA)." sqref="G2:G151" xr:uid="{91BC26E3-EEE8-449B-863E-945CFEC2CF49}">
      <formula1>DATE(2020,1,1)</formula1>
    </dataValidation>
    <dataValidation type="list" allowBlank="1" sqref="I155:I184 K2 K7 K12 K17 K22 K27 K32 K37 K42 K47 K52 K57 K62 K67 K72 K77 K82 K87 K92 K97 K102 K107 K112 K117 K122 K127 K132 K137 K142 K147" xr:uid="{4AE3507A-C182-4E5D-ADBD-341010D3A3DE}">
      <formula1>"Sí,No"</formula1>
    </dataValidation>
    <dataValidation type="list" allowBlank="1" sqref="F2:F151" xr:uid="{7D9B4586-77AF-4A2D-BE33-305B91F90513}">
      <formula1>"1,2,3,4,5"</formula1>
    </dataValidation>
    <dataValidation type="whole" allowBlank="1" showErrorMessage="1" errorTitle="Valor fuera de rango" error="La actitud se califica de 1 a 5." sqref="J2:K2 J4:J151 K7 K12 K17 K22 K27 K32 K37 K42 K47 K52 K57 K62 K67 K72 K77 K82 K87 K92 K97 K102 K107 K112 K117 K122 K127 K132 K137 K142 K147" xr:uid="{6BD76E45-46DD-419C-A5D0-52A84DA3D8AC}">
      <formula1>1</formula1>
      <formula2>5</formula2>
    </dataValidation>
    <dataValidation type="decimal" allowBlank="1" showInputMessage="1" showErrorMessage="1" errorTitle="Porcentaje no válido" error="Ingresa un valor entre 0 y 100. Ejemplo: escribe 10 para mostrar 10%." promptTitle="Porcentaje de adherencia" prompt="Escribe un número entre 0 y 100; no necesitas escribir el símbolo %." sqref="I2:I151" xr:uid="{46E91271-F9DA-43BE-A1A1-679DC4C99D13}">
      <formula1>0</formula1>
      <formula2>100</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D381E1B-1D92-4A51-875A-B62DE607CD81}">
            <x14:dataBar minLength="0" maxLength="100" negativeBarColorSameAsPositive="1" axisPosition="none">
              <x14:cfvo type="num">
                <xm:f>0</xm:f>
              </x14:cfvo>
              <x14:cfvo type="num">
                <xm:f>100</xm:f>
              </x14:cfvo>
            </x14:dataBar>
          </x14:cfRule>
          <xm:sqref>I2:I151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EF43-BC30-4228-B040-022E37EBEEEA}">
  <dimension ref="A1:N53"/>
  <sheetViews>
    <sheetView workbookViewId="0">
      <selection activeCell="J16" sqref="J16"/>
    </sheetView>
  </sheetViews>
  <sheetFormatPr baseColWidth="10" defaultRowHeight="15"/>
  <cols>
    <col min="1" max="1" width="17.5703125" bestFit="1" customWidth="1"/>
    <col min="2" max="2" width="22.42578125" bestFit="1" customWidth="1"/>
    <col min="3" max="3" width="11.28515625" bestFit="1" customWidth="1"/>
    <col min="4" max="5" width="12.5703125" bestFit="1" customWidth="1"/>
    <col min="7" max="7" width="17.5703125" bestFit="1" customWidth="1"/>
    <col min="8" max="8" width="14.42578125" bestFit="1" customWidth="1"/>
    <col min="11" max="11" width="29.85546875" bestFit="1" customWidth="1"/>
    <col min="12" max="12" width="22.42578125" bestFit="1" customWidth="1"/>
    <col min="13" max="13" width="11.28515625" bestFit="1" customWidth="1"/>
    <col min="14" max="15" width="12.5703125" bestFit="1" customWidth="1"/>
  </cols>
  <sheetData>
    <row r="1" spans="1:14" ht="21">
      <c r="A1" s="62" t="s">
        <v>163</v>
      </c>
    </row>
    <row r="2" spans="1:14" ht="15.75">
      <c r="A2" s="63" t="s">
        <v>164</v>
      </c>
    </row>
    <row r="4" spans="1:14">
      <c r="A4" s="61" t="s">
        <v>165</v>
      </c>
      <c r="G4" s="61" t="s">
        <v>166</v>
      </c>
      <c r="K4" s="61" t="s">
        <v>167</v>
      </c>
    </row>
    <row r="5" spans="1:14">
      <c r="A5" s="58" t="s">
        <v>161</v>
      </c>
      <c r="B5" s="58" t="s">
        <v>160</v>
      </c>
      <c r="G5" s="58" t="s">
        <v>158</v>
      </c>
      <c r="H5" t="s">
        <v>162</v>
      </c>
      <c r="K5" s="58" t="s">
        <v>168</v>
      </c>
      <c r="L5" s="58" t="s">
        <v>160</v>
      </c>
    </row>
    <row r="6" spans="1:14">
      <c r="A6" s="58" t="s">
        <v>158</v>
      </c>
      <c r="B6" t="s">
        <v>142</v>
      </c>
      <c r="C6" t="s">
        <v>145</v>
      </c>
      <c r="D6" t="s">
        <v>159</v>
      </c>
      <c r="G6" s="59" t="s">
        <v>19</v>
      </c>
      <c r="H6" s="43">
        <v>70.791666666666671</v>
      </c>
      <c r="K6" s="58" t="s">
        <v>158</v>
      </c>
      <c r="L6" t="s">
        <v>142</v>
      </c>
      <c r="M6" t="s">
        <v>145</v>
      </c>
      <c r="N6" t="s">
        <v>159</v>
      </c>
    </row>
    <row r="7" spans="1:14">
      <c r="A7" s="59" t="s">
        <v>19</v>
      </c>
      <c r="B7">
        <v>13</v>
      </c>
      <c r="C7">
        <v>11</v>
      </c>
      <c r="D7">
        <v>24</v>
      </c>
      <c r="G7" s="59" t="s">
        <v>75</v>
      </c>
      <c r="H7" s="43">
        <v>3.7</v>
      </c>
      <c r="K7" s="59" t="s">
        <v>20</v>
      </c>
      <c r="L7">
        <v>13</v>
      </c>
      <c r="M7">
        <v>21</v>
      </c>
      <c r="N7">
        <v>34</v>
      </c>
    </row>
    <row r="8" spans="1:14">
      <c r="A8" s="59" t="s">
        <v>75</v>
      </c>
      <c r="C8">
        <v>10</v>
      </c>
      <c r="D8">
        <v>10</v>
      </c>
      <c r="G8" s="59" t="s">
        <v>159</v>
      </c>
      <c r="H8" s="43">
        <v>51.058823529411768</v>
      </c>
      <c r="K8" s="59" t="s">
        <v>159</v>
      </c>
      <c r="L8">
        <v>13</v>
      </c>
      <c r="M8">
        <v>21</v>
      </c>
      <c r="N8">
        <v>34</v>
      </c>
    </row>
    <row r="9" spans="1:14">
      <c r="A9" s="59" t="s">
        <v>159</v>
      </c>
      <c r="B9">
        <v>13</v>
      </c>
      <c r="C9">
        <v>21</v>
      </c>
      <c r="D9">
        <v>34</v>
      </c>
    </row>
    <row r="18" spans="1:8" ht="15.75">
      <c r="A18" s="63" t="s">
        <v>169</v>
      </c>
    </row>
    <row r="20" spans="1:8">
      <c r="A20" s="61" t="s">
        <v>170</v>
      </c>
      <c r="G20" s="61" t="s">
        <v>172</v>
      </c>
    </row>
    <row r="21" spans="1:8">
      <c r="A21" s="58" t="s">
        <v>171</v>
      </c>
      <c r="B21" s="58" t="s">
        <v>160</v>
      </c>
      <c r="G21" s="58" t="s">
        <v>158</v>
      </c>
      <c r="H21" t="s">
        <v>173</v>
      </c>
    </row>
    <row r="22" spans="1:8">
      <c r="A22" s="58" t="s">
        <v>158</v>
      </c>
      <c r="B22" t="s">
        <v>142</v>
      </c>
      <c r="C22" t="s">
        <v>159</v>
      </c>
      <c r="G22" s="59" t="s">
        <v>19</v>
      </c>
      <c r="H22" s="60">
        <v>78</v>
      </c>
    </row>
    <row r="23" spans="1:8">
      <c r="A23" s="59" t="s">
        <v>19</v>
      </c>
      <c r="B23">
        <v>13</v>
      </c>
      <c r="C23">
        <v>13</v>
      </c>
      <c r="G23" s="59" t="s">
        <v>159</v>
      </c>
      <c r="H23" s="60">
        <v>78</v>
      </c>
    </row>
    <row r="24" spans="1:8">
      <c r="A24" s="59" t="s">
        <v>159</v>
      </c>
      <c r="B24">
        <v>13</v>
      </c>
      <c r="C24">
        <v>13</v>
      </c>
    </row>
    <row r="28" spans="1:8" ht="17.25">
      <c r="A28" s="108" t="s">
        <v>97</v>
      </c>
      <c r="B28" s="108"/>
      <c r="C28" s="108"/>
      <c r="D28" s="108"/>
    </row>
    <row r="30" spans="1:8">
      <c r="A30" s="32" t="s">
        <v>98</v>
      </c>
      <c r="B30" s="33">
        <f>COUNT(Registro!A2:A96)</f>
        <v>46</v>
      </c>
    </row>
    <row r="31" spans="1:8">
      <c r="A31" s="32" t="s">
        <v>99</v>
      </c>
      <c r="B31" s="33">
        <f>COUNTIF(Registro!Q2:Q96,"Aprueba")</f>
        <v>26</v>
      </c>
    </row>
    <row r="32" spans="1:8">
      <c r="A32" s="32" t="s">
        <v>100</v>
      </c>
      <c r="B32" s="33">
        <f>COUNTIF(Registro!Q2:Q96,"No aprueba")</f>
        <v>19</v>
      </c>
    </row>
    <row r="33" spans="1:4">
      <c r="A33" s="32" t="s">
        <v>101</v>
      </c>
      <c r="B33" s="34">
        <f>IFERROR(B31/B30,0)</f>
        <v>0.56521739130434778</v>
      </c>
    </row>
    <row r="34" spans="1:4">
      <c r="A34" s="32" t="s">
        <v>102</v>
      </c>
      <c r="B34" s="35">
        <f>IFERROR(AVERAGE(Registro!P2:P96),"")</f>
        <v>67.355555555555554</v>
      </c>
    </row>
    <row r="35" spans="1:4">
      <c r="A35" s="32" t="s">
        <v>103</v>
      </c>
      <c r="B35" s="33">
        <f>COUNTIF(Registro!$Q$2:$Q$500,"Desiste")</f>
        <v>1</v>
      </c>
    </row>
    <row r="36" spans="1:4">
      <c r="A36" s="32" t="s">
        <v>104</v>
      </c>
      <c r="B36" s="33">
        <f>COUNTIFS(Registro!$F$2:$F$500,"&lt;&gt;",Registro!$Q$2:$Q$500,"")</f>
        <v>0</v>
      </c>
    </row>
    <row r="39" spans="1:4">
      <c r="A39" s="36" t="s">
        <v>105</v>
      </c>
    </row>
    <row r="40" spans="1:4">
      <c r="A40" s="37" t="s">
        <v>106</v>
      </c>
      <c r="B40" s="37" t="s">
        <v>107</v>
      </c>
      <c r="C40" s="37" t="s">
        <v>108</v>
      </c>
      <c r="D40" s="37" t="s">
        <v>109</v>
      </c>
    </row>
    <row r="41" spans="1:4">
      <c r="A41" s="38" t="s">
        <v>75</v>
      </c>
      <c r="B41" s="38">
        <f>COUNTIF(Registro!$B$2:$B$500,A41)</f>
        <v>22</v>
      </c>
      <c r="C41" s="38">
        <f>COUNTIFS(Registro!$B$2:$B$500,A41,Registro!$Q$2:$Q$500,"Aprueba")</f>
        <v>13</v>
      </c>
      <c r="D41" s="39">
        <f>IFERROR(C41/B41,0)</f>
        <v>0.59090909090909094</v>
      </c>
    </row>
    <row r="42" spans="1:4">
      <c r="A42" s="38" t="s">
        <v>110</v>
      </c>
      <c r="B42" s="38">
        <f>COUNTIF(Registro!$B$2:$B$500,A42)</f>
        <v>0</v>
      </c>
      <c r="C42" s="38">
        <f>COUNTIFS(Registro!$B$2:$B$500,A42,Registro!$Q$2:$Q$500,"Aprueba")</f>
        <v>0</v>
      </c>
      <c r="D42" s="39">
        <f>IFERROR(C42/B42,0)</f>
        <v>0</v>
      </c>
    </row>
    <row r="43" spans="1:4">
      <c r="A43" s="38" t="s">
        <v>19</v>
      </c>
      <c r="B43" s="38">
        <f>COUNTIF(Registro!$B$2:$B$500,A43)</f>
        <v>24</v>
      </c>
      <c r="C43" s="38">
        <f>COUNTIFS(Registro!$B$2:$B$500,A43,Registro!$Q$2:$Q$500,"Aprueba")</f>
        <v>13</v>
      </c>
      <c r="D43" s="39">
        <f>IFERROR(C43/B43,0)</f>
        <v>0.54166666666666663</v>
      </c>
    </row>
    <row r="44" spans="1:4">
      <c r="A44" s="38"/>
      <c r="B44" s="38">
        <f>COUNTIF(Registro!$B$2:$B$500,A44)</f>
        <v>0</v>
      </c>
      <c r="C44" s="38">
        <f>COUNTIFS(Registro!$B$2:$B$500,A44,Registro!$Q$2:$Q$500,"Aprueba")</f>
        <v>0</v>
      </c>
      <c r="D44" s="39">
        <f>IFERROR(C44/B44,0)</f>
        <v>0</v>
      </c>
    </row>
    <row r="45" spans="1:4">
      <c r="A45" s="38"/>
      <c r="B45" s="38">
        <f>COUNTIF(Registro!$B$2:$B$500,A45)</f>
        <v>0</v>
      </c>
      <c r="C45" s="38">
        <f>COUNTIFS(Registro!$B$2:$B$500,A45,Registro!$Q$2:$Q$500,"Aprueba")</f>
        <v>0</v>
      </c>
      <c r="D45" s="39">
        <f>IFERROR(C45/B45,0)</f>
        <v>0</v>
      </c>
    </row>
    <row r="48" spans="1:4">
      <c r="A48" s="36" t="s">
        <v>111</v>
      </c>
    </row>
    <row r="49" spans="1:4">
      <c r="A49" s="37" t="s">
        <v>112</v>
      </c>
      <c r="B49" s="37" t="s">
        <v>107</v>
      </c>
      <c r="C49" s="37" t="s">
        <v>108</v>
      </c>
      <c r="D49" s="37" t="s">
        <v>113</v>
      </c>
    </row>
    <row r="50" spans="1:4">
      <c r="A50" s="38" t="s">
        <v>78</v>
      </c>
      <c r="B50" s="38">
        <f>COUNTIF(Registro!$I$2:$I$500,A50)</f>
        <v>10</v>
      </c>
      <c r="C50" s="38">
        <f>COUNTIFS(Registro!$I$2:$I$500,A50,Registro!$Q$2:$Q$500,"Aprueba")</f>
        <v>3</v>
      </c>
      <c r="D50" s="40">
        <f>IFERROR(AVERAGEIF(Registro!$I$2:$I$500,A50,Registro!$P$2:$P$500),0)</f>
        <v>55</v>
      </c>
    </row>
    <row r="51" spans="1:4">
      <c r="A51" s="38" t="s">
        <v>114</v>
      </c>
      <c r="B51" s="38">
        <f>COUNTIF(Registro!$I$2:$I$500,A51)</f>
        <v>12</v>
      </c>
      <c r="C51" s="38">
        <f>COUNTIFS(Registro!$I$2:$I$500,A51,Registro!$Q$2:$Q$500,"Aprueba")</f>
        <v>10</v>
      </c>
      <c r="D51" s="40">
        <f>IFERROR(AVERAGEIF(Registro!$I$2:$I$500,A51,Registro!$P$2:$P$500),0)</f>
        <v>69.666666666666671</v>
      </c>
    </row>
    <row r="52" spans="1:4">
      <c r="A52" s="38" t="s">
        <v>115</v>
      </c>
      <c r="B52" s="38">
        <f>COUNTIF(Registro!$I$2:$I$500,A52)</f>
        <v>0</v>
      </c>
      <c r="C52" s="38">
        <f>COUNTIFS(Registro!$I$2:$I$500,A52,Registro!$Q$2:$Q$500,"Aprueba")</f>
        <v>0</v>
      </c>
      <c r="D52" s="40">
        <f>IFERROR(AVERAGEIF(Registro!$I$2:$I$500,A52,Registro!$P$2:$P$500),0)</f>
        <v>0</v>
      </c>
    </row>
    <row r="53" spans="1:4">
      <c r="A53" t="s">
        <v>116</v>
      </c>
      <c r="B53" s="38">
        <f>COUNTIF(Registro!$I$2:$I$500,A53)</f>
        <v>0</v>
      </c>
      <c r="C53" s="38">
        <f>COUNTIFS(Registro!$I$2:$I$500,A53,Registro!$Q$2:$Q$500,"Aprueba")</f>
        <v>0</v>
      </c>
      <c r="D53" s="43">
        <f>IFERROR(AVERAGEIF(Registro!$I$2:$I$500,A53,Registro!$P$2:$P$500),0)</f>
        <v>0</v>
      </c>
    </row>
  </sheetData>
  <mergeCells count="1">
    <mergeCell ref="A28:D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zoomScaleNormal="100" workbookViewId="0">
      <selection activeCell="K11" sqref="K11"/>
    </sheetView>
  </sheetViews>
  <sheetFormatPr baseColWidth="10" defaultColWidth="8.7109375" defaultRowHeight="15"/>
  <cols>
    <col min="1" max="1" width="26" customWidth="1"/>
    <col min="2" max="2" width="15" customWidth="1"/>
    <col min="3" max="3" width="13" customWidth="1"/>
    <col min="4" max="4" width="15" customWidth="1"/>
    <col min="5" max="6" width="13" customWidth="1"/>
  </cols>
  <sheetData>
    <row r="1" spans="1:6" ht="15.75" customHeight="1">
      <c r="A1" s="41" t="s">
        <v>122</v>
      </c>
    </row>
    <row r="3" spans="1:6" ht="15" customHeight="1">
      <c r="A3" s="42" t="s">
        <v>123</v>
      </c>
      <c r="B3" t="e">
        <f>SUMPRODUCT(--(#REF!&lt;&gt;""))</f>
        <v>#REF!</v>
      </c>
    </row>
    <row r="4" spans="1:6" ht="15" customHeight="1">
      <c r="A4" s="42" t="s">
        <v>124</v>
      </c>
      <c r="B4" s="43" t="str">
        <f>IFERROR(AVERAGE(#REF!),"")</f>
        <v/>
      </c>
    </row>
    <row r="5" spans="1:6" ht="15" customHeight="1">
      <c r="A5" s="42" t="s">
        <v>125</v>
      </c>
      <c r="B5" t="str">
        <f>IFERROR(MAX(#REF!),"")</f>
        <v/>
      </c>
    </row>
    <row r="6" spans="1:6" ht="15" customHeight="1">
      <c r="A6" s="42" t="s">
        <v>126</v>
      </c>
      <c r="B6" t="str">
        <f>IFERROR(MIN(#REF!),"")</f>
        <v/>
      </c>
    </row>
    <row r="9" spans="1:6" ht="15" customHeight="1">
      <c r="A9" s="42" t="s">
        <v>127</v>
      </c>
    </row>
    <row r="10" spans="1:6" ht="15" customHeight="1">
      <c r="A10" s="44" t="s">
        <v>106</v>
      </c>
      <c r="B10" s="44" t="s">
        <v>108</v>
      </c>
      <c r="C10" s="44" t="s">
        <v>128</v>
      </c>
      <c r="D10" s="44" t="s">
        <v>113</v>
      </c>
      <c r="E10" s="44" t="s">
        <v>129</v>
      </c>
      <c r="F10" s="44" t="s">
        <v>130</v>
      </c>
    </row>
    <row r="11" spans="1:6" ht="15" customHeight="1">
      <c r="A11" s="45" t="s">
        <v>75</v>
      </c>
      <c r="B11" t="e">
        <f>COUNTIF(#REF!,A11)</f>
        <v>#REF!</v>
      </c>
      <c r="C11" s="46" t="str">
        <f>IFERROR(B11/$B$3,"")</f>
        <v/>
      </c>
      <c r="D11" s="43" t="str">
        <f>IFERROR(AVERAGEIF(#REF!,A11,#REF!),"")</f>
        <v/>
      </c>
      <c r="E11" t="str">
        <f>IFERROR(_xlfn.MINIFS(#REF!,#REF!,A11),"")</f>
        <v/>
      </c>
      <c r="F11" t="str">
        <f>IFERROR(_xlfn.MAXIFS(#REF!,#REF!,A11),"")</f>
        <v/>
      </c>
    </row>
    <row r="12" spans="1:6" ht="15" customHeight="1">
      <c r="A12" s="45" t="s">
        <v>110</v>
      </c>
      <c r="B12" t="e">
        <f>COUNTIF(#REF!,A12)</f>
        <v>#REF!</v>
      </c>
      <c r="C12" s="46" t="str">
        <f>IFERROR(B12/$B$3,"")</f>
        <v/>
      </c>
      <c r="D12" s="43" t="str">
        <f>IFERROR(AVERAGEIF(#REF!,A12,#REF!),"")</f>
        <v/>
      </c>
      <c r="E12" t="str">
        <f>IFERROR(_xlfn.MINIFS(#REF!,#REF!,A12),"")</f>
        <v/>
      </c>
      <c r="F12" t="str">
        <f>IFERROR(_xlfn.MAXIFS(#REF!,#REF!,A12),"")</f>
        <v/>
      </c>
    </row>
    <row r="13" spans="1:6" ht="15" customHeight="1">
      <c r="A13" s="45" t="s">
        <v>19</v>
      </c>
      <c r="B13" t="e">
        <f>COUNTIF(#REF!,A13)</f>
        <v>#REF!</v>
      </c>
      <c r="C13" s="46" t="str">
        <f>IFERROR(B13/$B$3,"")</f>
        <v/>
      </c>
      <c r="D13" s="43" t="str">
        <f>IFERROR(AVERAGEIF(#REF!,A13,#REF!),"")</f>
        <v/>
      </c>
      <c r="E13" t="str">
        <f>IFERROR(_xlfn.MINIFS(#REF!,#REF!,A13),"")</f>
        <v/>
      </c>
      <c r="F13" t="str">
        <f>IFERROR(_xlfn.MAXIFS(#REF!,#REF!,A13),"")</f>
        <v/>
      </c>
    </row>
    <row r="14" spans="1:6" ht="15" customHeight="1">
      <c r="A14" s="45" t="s">
        <v>131</v>
      </c>
      <c r="B14" t="e">
        <f>COUNTIF(#REF!,A14)</f>
        <v>#REF!</v>
      </c>
      <c r="C14" s="46" t="str">
        <f>IFERROR(B14/$B$3,"")</f>
        <v/>
      </c>
      <c r="D14" s="43" t="str">
        <f>IFERROR(AVERAGEIF(#REF!,A14,#REF!),"")</f>
        <v/>
      </c>
      <c r="E14" t="str">
        <f>IFERROR(_xlfn.MINIFS(#REF!,#REF!,A14),"")</f>
        <v/>
      </c>
      <c r="F14" t="str">
        <f>IFERROR(_xlfn.MAXIFS(#REF!,#REF!,A14),"")</f>
        <v/>
      </c>
    </row>
    <row r="15" spans="1:6" ht="15" customHeight="1">
      <c r="A15" s="44" t="s">
        <v>132</v>
      </c>
      <c r="B15" s="47" t="e">
        <f>SUM(B11:B14)</f>
        <v>#REF!</v>
      </c>
      <c r="C15" s="48" t="str">
        <f>IFERROR(B15/$B$3,"")</f>
        <v/>
      </c>
      <c r="D15" s="49" t="str">
        <f>IFERROR(AVERAGE(#REF!),"")</f>
        <v/>
      </c>
      <c r="E15" s="47" t="str">
        <f>IFERROR(MIN(#REF!),"")</f>
        <v/>
      </c>
      <c r="F15" s="47" t="str">
        <f>IFERROR(MAX(#REF!),"")</f>
        <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BFBF"/>
  </sheetPr>
  <dimension ref="A1:K1000"/>
  <sheetViews>
    <sheetView zoomScaleNormal="100" workbookViewId="0">
      <selection activeCell="C7" sqref="C7"/>
    </sheetView>
  </sheetViews>
  <sheetFormatPr baseColWidth="10" defaultColWidth="14.42578125" defaultRowHeight="15"/>
  <cols>
    <col min="1" max="1" width="26" customWidth="1"/>
    <col min="2" max="2" width="25.5703125" customWidth="1"/>
    <col min="3" max="3" width="39" customWidth="1"/>
    <col min="4" max="4" width="16.42578125" customWidth="1"/>
    <col min="5" max="5" width="25.85546875" customWidth="1"/>
    <col min="6" max="6" width="19.140625" customWidth="1"/>
    <col min="7" max="7" width="16.85546875" customWidth="1"/>
    <col min="8" max="8" width="10.28515625" customWidth="1"/>
    <col min="9" max="9" width="8.5703125" customWidth="1"/>
    <col min="10" max="10" width="32" customWidth="1"/>
    <col min="11" max="11" width="6.42578125" customWidth="1"/>
    <col min="12" max="26" width="8.5703125" customWidth="1"/>
  </cols>
  <sheetData>
    <row r="1" spans="1:11" ht="15" customHeight="1">
      <c r="A1" s="32" t="s">
        <v>133</v>
      </c>
      <c r="B1" s="50">
        <v>70</v>
      </c>
      <c r="C1" s="51" t="s">
        <v>134</v>
      </c>
    </row>
    <row r="2" spans="1:11" ht="14.25" customHeight="1">
      <c r="A2" t="s">
        <v>135</v>
      </c>
      <c r="B2">
        <v>5</v>
      </c>
      <c r="C2" t="s">
        <v>136</v>
      </c>
    </row>
    <row r="3" spans="1:11" ht="15" customHeight="1">
      <c r="D3" s="52" t="s">
        <v>1</v>
      </c>
      <c r="E3" s="52" t="s">
        <v>3</v>
      </c>
      <c r="F3" s="52" t="s">
        <v>8</v>
      </c>
      <c r="G3" s="52" t="s">
        <v>137</v>
      </c>
      <c r="H3" s="52" t="s">
        <v>16</v>
      </c>
      <c r="J3" s="52" t="s">
        <v>138</v>
      </c>
      <c r="K3" s="52" t="s">
        <v>139</v>
      </c>
    </row>
    <row r="4" spans="1:11" ht="15" customHeight="1">
      <c r="D4" s="38" t="s">
        <v>75</v>
      </c>
      <c r="E4" s="38" t="s">
        <v>140</v>
      </c>
      <c r="F4" s="38" t="s">
        <v>78</v>
      </c>
      <c r="G4" s="38" t="s">
        <v>141</v>
      </c>
      <c r="H4" s="38" t="s">
        <v>142</v>
      </c>
      <c r="J4" t="s">
        <v>62</v>
      </c>
      <c r="K4">
        <v>5</v>
      </c>
    </row>
    <row r="5" spans="1:11" ht="15" customHeight="1">
      <c r="D5" s="38" t="s">
        <v>110</v>
      </c>
      <c r="E5" s="38" t="s">
        <v>143</v>
      </c>
      <c r="F5" s="38" t="s">
        <v>114</v>
      </c>
      <c r="G5" s="38" t="s">
        <v>144</v>
      </c>
      <c r="H5" s="38" t="s">
        <v>145</v>
      </c>
      <c r="J5" t="s">
        <v>146</v>
      </c>
      <c r="K5">
        <v>10</v>
      </c>
    </row>
    <row r="6" spans="1:11" ht="15" customHeight="1">
      <c r="D6" s="38" t="s">
        <v>19</v>
      </c>
      <c r="E6" s="38" t="s">
        <v>20</v>
      </c>
      <c r="F6" s="38" t="s">
        <v>115</v>
      </c>
      <c r="G6" s="38" t="s">
        <v>147</v>
      </c>
      <c r="J6" t="s">
        <v>148</v>
      </c>
      <c r="K6">
        <v>10</v>
      </c>
    </row>
    <row r="7" spans="1:11" ht="15" customHeight="1">
      <c r="D7" s="38" t="s">
        <v>131</v>
      </c>
      <c r="E7" s="38"/>
      <c r="F7" t="s">
        <v>23</v>
      </c>
      <c r="G7" s="38"/>
      <c r="J7" t="s">
        <v>149</v>
      </c>
      <c r="K7">
        <v>20</v>
      </c>
    </row>
    <row r="8" spans="1:11" ht="15" customHeight="1">
      <c r="D8" s="38"/>
      <c r="E8" s="38"/>
      <c r="J8" t="s">
        <v>150</v>
      </c>
      <c r="K8">
        <v>50</v>
      </c>
    </row>
    <row r="9" spans="1:11" ht="14.25" customHeight="1">
      <c r="J9" t="s">
        <v>151</v>
      </c>
      <c r="K9">
        <v>5</v>
      </c>
    </row>
    <row r="10" spans="1:11" ht="14.25" customHeight="1"/>
    <row r="11" spans="1:11" ht="14.25" customHeight="1">
      <c r="G11" s="53"/>
    </row>
    <row r="12" spans="1:11" ht="27.75" customHeight="1">
      <c r="D12" s="53" t="s">
        <v>152</v>
      </c>
      <c r="E12" s="53"/>
      <c r="F12" s="53"/>
      <c r="G12" s="54"/>
    </row>
    <row r="13" spans="1:11" ht="14.25" customHeight="1">
      <c r="D13" s="55"/>
      <c r="E13" s="55"/>
      <c r="F13" s="56"/>
      <c r="G13" s="54"/>
    </row>
    <row r="14" spans="1:11" ht="14.25" customHeight="1">
      <c r="D14" s="55" t="s">
        <v>153</v>
      </c>
      <c r="E14" s="55"/>
      <c r="F14" s="56"/>
      <c r="G14" s="54"/>
    </row>
    <row r="15" spans="1:11" ht="14.25" customHeight="1">
      <c r="D15" s="55" t="s">
        <v>154</v>
      </c>
      <c r="E15" s="55"/>
      <c r="F15" s="56"/>
      <c r="G15" s="54"/>
    </row>
    <row r="16" spans="1:11" ht="14.25" customHeight="1">
      <c r="D16" s="55" t="s">
        <v>155</v>
      </c>
      <c r="E16" s="55"/>
      <c r="F16" s="56"/>
      <c r="G16" s="54"/>
    </row>
    <row r="17" spans="4:7" ht="14.25" customHeight="1">
      <c r="D17" s="55" t="s">
        <v>156</v>
      </c>
      <c r="E17" s="55"/>
      <c r="F17" s="56"/>
      <c r="G17" s="54"/>
    </row>
    <row r="18" spans="4:7" ht="28.5" customHeight="1">
      <c r="D18" s="55" t="s">
        <v>157</v>
      </c>
      <c r="E18" s="55"/>
      <c r="F18" s="56"/>
      <c r="G18" s="54"/>
    </row>
    <row r="19" spans="4:7" ht="14.25" customHeight="1">
      <c r="D19" s="54"/>
      <c r="E19" s="55"/>
      <c r="F19" s="57"/>
    </row>
    <row r="20" spans="4:7" ht="14.25" customHeight="1"/>
    <row r="21" spans="4:7" ht="14.25" customHeight="1"/>
    <row r="22" spans="4:7" ht="14.25" customHeight="1"/>
    <row r="23" spans="4:7" ht="14.25" customHeight="1"/>
    <row r="24" spans="4:7" ht="14.25" customHeight="1"/>
    <row r="25" spans="4:7" ht="14.25" customHeight="1"/>
    <row r="26" spans="4:7" ht="14.25" customHeight="1"/>
    <row r="27" spans="4:7" ht="14.25" customHeight="1"/>
    <row r="28" spans="4:7" ht="14.25" customHeight="1"/>
    <row r="29" spans="4:7" ht="14.25" customHeight="1"/>
    <row r="30" spans="4:7" ht="14.25" customHeight="1"/>
    <row r="31" spans="4:7" ht="14.25" customHeight="1"/>
    <row r="32" spans="4: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Registro</vt:lpstr>
      <vt:lpstr>OJT</vt:lpstr>
      <vt:lpstr>Resumen</vt:lpstr>
      <vt:lpstr>Resumen OJT</vt:lpstr>
      <vt:lpstr>Parametros</vt:lpstr>
      <vt:lpstr>Lista_Aprueba</vt:lpstr>
      <vt:lpstr>Lista_Campana</vt:lpstr>
      <vt:lpstr>Lista_Cargo</vt:lpstr>
      <vt:lpstr>Lista_Estado</vt:lpstr>
      <vt:lpstr>Lista_Formador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YEISON HERNAN OLAYA TRIVIÑO</cp:lastModifiedBy>
  <cp:revision>3</cp:revision>
  <dcterms:created xsi:type="dcterms:W3CDTF">2026-07-03T17:03:29Z</dcterms:created>
  <dcterms:modified xsi:type="dcterms:W3CDTF">2026-07-29T21:50:40Z</dcterms:modified>
  <dc:language>en-US</dc:language>
</cp:coreProperties>
</file>