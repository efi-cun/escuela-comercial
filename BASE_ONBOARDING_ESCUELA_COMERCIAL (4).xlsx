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uneduco-my.sharepoint.com/personal/yeison_oyolat_cun_edu_co/Documents/Documentos/Margaret/"/>
    </mc:Choice>
  </mc:AlternateContent>
  <xr:revisionPtr revIDLastSave="428" documentId="8_{9A6E4651-CE0E-4C4F-9362-9772CBD3C2E3}" xr6:coauthVersionLast="47" xr6:coauthVersionMax="47" xr10:uidLastSave="{4FC82531-91B2-47D6-B5FD-559C60BDF60D}"/>
  <bookViews>
    <workbookView xWindow="-120" yWindow="-120" windowWidth="29040" windowHeight="15720" tabRatio="500" activeTab="3" xr2:uid="{00000000-000D-0000-FFFF-FFFF00000000}"/>
  </bookViews>
  <sheets>
    <sheet name="Registro" sheetId="1" r:id="rId1"/>
    <sheet name="Resumen" sheetId="2" r:id="rId2"/>
    <sheet name="Resumen OJT" sheetId="5" state="hidden" r:id="rId3"/>
    <sheet name="OJT" sheetId="15" r:id="rId4"/>
    <sheet name="Estadisticas" sheetId="13" r:id="rId5"/>
    <sheet name="Parametros" sheetId="6" state="hidden" r:id="rId6"/>
  </sheets>
  <definedNames>
    <definedName name="Lista_Aprueba">Parametros!$H$4:$H$30</definedName>
    <definedName name="Lista_Campana">Parametros!$D$4:$D$30</definedName>
    <definedName name="Lista_Cargo">Parametros!$E$4:$E$30</definedName>
    <definedName name="Lista_Estado">Parametros!$G$4:$G$29</definedName>
    <definedName name="Lista_Formador">Parametros!$F$4:$F$30</definedName>
  </definedNames>
  <calcPr calcId="191029"/>
  <pivotCaches>
    <pivotCache cacheId="0" r:id="rId7"/>
    <pivotCache cacheId="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47" i="15" l="1"/>
  <c r="E142" i="15"/>
  <c r="E137" i="15"/>
  <c r="E132" i="15"/>
  <c r="E127" i="15"/>
  <c r="E122" i="15"/>
  <c r="E117" i="15"/>
  <c r="E112" i="15"/>
  <c r="E107" i="15"/>
  <c r="E102" i="15"/>
  <c r="E97" i="15"/>
  <c r="E92" i="15"/>
  <c r="E87" i="15"/>
  <c r="E82" i="15"/>
  <c r="E77" i="15"/>
  <c r="E72" i="15"/>
  <c r="E67" i="15"/>
  <c r="E62" i="15"/>
  <c r="E57" i="15"/>
  <c r="E52" i="15"/>
  <c r="E47" i="15"/>
  <c r="E42" i="15"/>
  <c r="E37" i="15"/>
  <c r="E32" i="15"/>
  <c r="E27" i="15"/>
  <c r="E22" i="15"/>
  <c r="E17" i="15"/>
  <c r="E12" i="15"/>
  <c r="E7" i="15"/>
  <c r="E2" i="15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T36" i="1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C26" i="2"/>
  <c r="B26" i="2"/>
  <c r="D25" i="2"/>
  <c r="C25" i="2"/>
  <c r="B25" i="2"/>
  <c r="D24" i="2"/>
  <c r="C24" i="2"/>
  <c r="B24" i="2"/>
  <c r="B23" i="2"/>
  <c r="C18" i="2"/>
  <c r="D18" i="2" s="1"/>
  <c r="B18" i="2"/>
  <c r="C17" i="2"/>
  <c r="D17" i="2" s="1"/>
  <c r="B17" i="2"/>
  <c r="B16" i="2"/>
  <c r="C15" i="2"/>
  <c r="D15" i="2" s="1"/>
  <c r="B15" i="2"/>
  <c r="B14" i="2"/>
  <c r="B9" i="2"/>
  <c r="B8" i="2"/>
  <c r="T500" i="1"/>
  <c r="T499" i="1"/>
  <c r="T498" i="1"/>
  <c r="T497" i="1"/>
  <c r="T496" i="1"/>
  <c r="T495" i="1"/>
  <c r="T494" i="1"/>
  <c r="T493" i="1"/>
  <c r="T492" i="1"/>
  <c r="T491" i="1"/>
  <c r="T490" i="1"/>
  <c r="T489" i="1"/>
  <c r="T488" i="1"/>
  <c r="T487" i="1"/>
  <c r="T486" i="1"/>
  <c r="T485" i="1"/>
  <c r="T484" i="1"/>
  <c r="T483" i="1"/>
  <c r="T482" i="1"/>
  <c r="T481" i="1"/>
  <c r="T480" i="1"/>
  <c r="T479" i="1"/>
  <c r="T478" i="1"/>
  <c r="T477" i="1"/>
  <c r="T476" i="1"/>
  <c r="T475" i="1"/>
  <c r="T474" i="1"/>
  <c r="T473" i="1"/>
  <c r="T472" i="1"/>
  <c r="T471" i="1"/>
  <c r="T470" i="1"/>
  <c r="T469" i="1"/>
  <c r="T468" i="1"/>
  <c r="T467" i="1"/>
  <c r="T466" i="1"/>
  <c r="T465" i="1"/>
  <c r="T464" i="1"/>
  <c r="T463" i="1"/>
  <c r="T462" i="1"/>
  <c r="T461" i="1"/>
  <c r="T460" i="1"/>
  <c r="T459" i="1"/>
  <c r="T458" i="1"/>
  <c r="T457" i="1"/>
  <c r="T456" i="1"/>
  <c r="T455" i="1"/>
  <c r="T454" i="1"/>
  <c r="T453" i="1"/>
  <c r="T452" i="1"/>
  <c r="T451" i="1"/>
  <c r="T450" i="1"/>
  <c r="T449" i="1"/>
  <c r="T448" i="1"/>
  <c r="T447" i="1"/>
  <c r="T446" i="1"/>
  <c r="T445" i="1"/>
  <c r="T444" i="1"/>
  <c r="T443" i="1"/>
  <c r="T442" i="1"/>
  <c r="T441" i="1"/>
  <c r="T440" i="1"/>
  <c r="T439" i="1"/>
  <c r="T438" i="1"/>
  <c r="T437" i="1"/>
  <c r="T436" i="1"/>
  <c r="T435" i="1"/>
  <c r="T434" i="1"/>
  <c r="T433" i="1"/>
  <c r="T432" i="1"/>
  <c r="T431" i="1"/>
  <c r="T430" i="1"/>
  <c r="T429" i="1"/>
  <c r="T428" i="1"/>
  <c r="T427" i="1"/>
  <c r="T426" i="1"/>
  <c r="T425" i="1"/>
  <c r="T424" i="1"/>
  <c r="T423" i="1"/>
  <c r="T422" i="1"/>
  <c r="T421" i="1"/>
  <c r="T420" i="1"/>
  <c r="T419" i="1"/>
  <c r="T418" i="1"/>
  <c r="T417" i="1"/>
  <c r="T416" i="1"/>
  <c r="T415" i="1"/>
  <c r="T414" i="1"/>
  <c r="T413" i="1"/>
  <c r="T412" i="1"/>
  <c r="T411" i="1"/>
  <c r="T410" i="1"/>
  <c r="T409" i="1"/>
  <c r="T408" i="1"/>
  <c r="T407" i="1"/>
  <c r="T406" i="1"/>
  <c r="T405" i="1"/>
  <c r="T404" i="1"/>
  <c r="T403" i="1"/>
  <c r="T402" i="1"/>
  <c r="T401" i="1"/>
  <c r="T400" i="1"/>
  <c r="T399" i="1"/>
  <c r="T398" i="1"/>
  <c r="T397" i="1"/>
  <c r="T396" i="1"/>
  <c r="T395" i="1"/>
  <c r="T394" i="1"/>
  <c r="T393" i="1"/>
  <c r="T392" i="1"/>
  <c r="T391" i="1"/>
  <c r="T390" i="1"/>
  <c r="T389" i="1"/>
  <c r="T388" i="1"/>
  <c r="T387" i="1"/>
  <c r="T386" i="1"/>
  <c r="T385" i="1"/>
  <c r="T384" i="1"/>
  <c r="T383" i="1"/>
  <c r="T382" i="1"/>
  <c r="T381" i="1"/>
  <c r="T380" i="1"/>
  <c r="T379" i="1"/>
  <c r="T378" i="1"/>
  <c r="T377" i="1"/>
  <c r="T376" i="1"/>
  <c r="T375" i="1"/>
  <c r="T374" i="1"/>
  <c r="T373" i="1"/>
  <c r="T372" i="1"/>
  <c r="T371" i="1"/>
  <c r="T370" i="1"/>
  <c r="T369" i="1"/>
  <c r="T368" i="1"/>
  <c r="T367" i="1"/>
  <c r="T366" i="1"/>
  <c r="T365" i="1"/>
  <c r="T364" i="1"/>
  <c r="T363" i="1"/>
  <c r="T362" i="1"/>
  <c r="T361" i="1"/>
  <c r="T360" i="1"/>
  <c r="T359" i="1"/>
  <c r="T358" i="1"/>
  <c r="T357" i="1"/>
  <c r="T356" i="1"/>
  <c r="T355" i="1"/>
  <c r="T354" i="1"/>
  <c r="T353" i="1"/>
  <c r="T352" i="1"/>
  <c r="T351" i="1"/>
  <c r="T350" i="1"/>
  <c r="T349" i="1"/>
  <c r="T348" i="1"/>
  <c r="T347" i="1"/>
  <c r="T346" i="1"/>
  <c r="T345" i="1"/>
  <c r="T344" i="1"/>
  <c r="T343" i="1"/>
  <c r="T342" i="1"/>
  <c r="T341" i="1"/>
  <c r="T340" i="1"/>
  <c r="T339" i="1"/>
  <c r="T338" i="1"/>
  <c r="T337" i="1"/>
  <c r="T336" i="1"/>
  <c r="T335" i="1"/>
  <c r="T334" i="1"/>
  <c r="T333" i="1"/>
  <c r="T332" i="1"/>
  <c r="T331" i="1"/>
  <c r="T330" i="1"/>
  <c r="T329" i="1"/>
  <c r="T328" i="1"/>
  <c r="T327" i="1"/>
  <c r="T326" i="1"/>
  <c r="T325" i="1"/>
  <c r="T324" i="1"/>
  <c r="T323" i="1"/>
  <c r="T322" i="1"/>
  <c r="T321" i="1"/>
  <c r="T320" i="1"/>
  <c r="T319" i="1"/>
  <c r="T318" i="1"/>
  <c r="T317" i="1"/>
  <c r="T316" i="1"/>
  <c r="T315" i="1"/>
  <c r="T314" i="1"/>
  <c r="T313" i="1"/>
  <c r="T312" i="1"/>
  <c r="T311" i="1"/>
  <c r="T310" i="1"/>
  <c r="T309" i="1"/>
  <c r="T308" i="1"/>
  <c r="T307" i="1"/>
  <c r="T306" i="1"/>
  <c r="T305" i="1"/>
  <c r="T304" i="1"/>
  <c r="T303" i="1"/>
  <c r="T302" i="1"/>
  <c r="T301" i="1"/>
  <c r="T300" i="1"/>
  <c r="T299" i="1"/>
  <c r="T298" i="1"/>
  <c r="T297" i="1"/>
  <c r="T296" i="1"/>
  <c r="T295" i="1"/>
  <c r="T294" i="1"/>
  <c r="T293" i="1"/>
  <c r="T292" i="1"/>
  <c r="T291" i="1"/>
  <c r="T290" i="1"/>
  <c r="T289" i="1"/>
  <c r="T288" i="1"/>
  <c r="T287" i="1"/>
  <c r="T286" i="1"/>
  <c r="T285" i="1"/>
  <c r="T284" i="1"/>
  <c r="T283" i="1"/>
  <c r="T282" i="1"/>
  <c r="T281" i="1"/>
  <c r="T280" i="1"/>
  <c r="T279" i="1"/>
  <c r="T278" i="1"/>
  <c r="T277" i="1"/>
  <c r="T276" i="1"/>
  <c r="T275" i="1"/>
  <c r="T274" i="1"/>
  <c r="T273" i="1"/>
  <c r="T272" i="1"/>
  <c r="T271" i="1"/>
  <c r="T270" i="1"/>
  <c r="T269" i="1"/>
  <c r="T268" i="1"/>
  <c r="T267" i="1"/>
  <c r="T266" i="1"/>
  <c r="T265" i="1"/>
  <c r="T264" i="1"/>
  <c r="T263" i="1"/>
  <c r="T262" i="1"/>
  <c r="T261" i="1"/>
  <c r="T260" i="1"/>
  <c r="T259" i="1"/>
  <c r="T258" i="1"/>
  <c r="T257" i="1"/>
  <c r="T256" i="1"/>
  <c r="T255" i="1"/>
  <c r="T254" i="1"/>
  <c r="T253" i="1"/>
  <c r="T252" i="1"/>
  <c r="T251" i="1"/>
  <c r="T250" i="1"/>
  <c r="T249" i="1"/>
  <c r="T248" i="1"/>
  <c r="T247" i="1"/>
  <c r="T246" i="1"/>
  <c r="T245" i="1"/>
  <c r="T244" i="1"/>
  <c r="T243" i="1"/>
  <c r="T242" i="1"/>
  <c r="T241" i="1"/>
  <c r="T240" i="1"/>
  <c r="T239" i="1"/>
  <c r="T238" i="1"/>
  <c r="T237" i="1"/>
  <c r="T236" i="1"/>
  <c r="T235" i="1"/>
  <c r="T234" i="1"/>
  <c r="T233" i="1"/>
  <c r="T232" i="1"/>
  <c r="T231" i="1"/>
  <c r="T230" i="1"/>
  <c r="T229" i="1"/>
  <c r="T228" i="1"/>
  <c r="T227" i="1"/>
  <c r="T226" i="1"/>
  <c r="T225" i="1"/>
  <c r="T224" i="1"/>
  <c r="T223" i="1"/>
  <c r="T222" i="1"/>
  <c r="T221" i="1"/>
  <c r="T220" i="1"/>
  <c r="T219" i="1"/>
  <c r="T218" i="1"/>
  <c r="T217" i="1"/>
  <c r="T216" i="1"/>
  <c r="T215" i="1"/>
  <c r="T214" i="1"/>
  <c r="T213" i="1"/>
  <c r="T212" i="1"/>
  <c r="T211" i="1"/>
  <c r="T210" i="1"/>
  <c r="T209" i="1"/>
  <c r="T208" i="1"/>
  <c r="T207" i="1"/>
  <c r="T206" i="1"/>
  <c r="T205" i="1"/>
  <c r="T204" i="1"/>
  <c r="T203" i="1"/>
  <c r="T202" i="1"/>
  <c r="T201" i="1"/>
  <c r="T200" i="1"/>
  <c r="T199" i="1"/>
  <c r="T198" i="1"/>
  <c r="T197" i="1"/>
  <c r="T196" i="1"/>
  <c r="T195" i="1"/>
  <c r="T194" i="1"/>
  <c r="T193" i="1"/>
  <c r="T192" i="1"/>
  <c r="T191" i="1"/>
  <c r="T190" i="1"/>
  <c r="T189" i="1"/>
  <c r="T188" i="1"/>
  <c r="T187" i="1"/>
  <c r="T186" i="1"/>
  <c r="T185" i="1"/>
  <c r="T184" i="1"/>
  <c r="T183" i="1"/>
  <c r="T182" i="1"/>
  <c r="T181" i="1"/>
  <c r="T180" i="1"/>
  <c r="T179" i="1"/>
  <c r="T178" i="1"/>
  <c r="T177" i="1"/>
  <c r="T176" i="1"/>
  <c r="T175" i="1"/>
  <c r="T174" i="1"/>
  <c r="T173" i="1"/>
  <c r="T172" i="1"/>
  <c r="T171" i="1"/>
  <c r="T170" i="1"/>
  <c r="T169" i="1"/>
  <c r="T168" i="1"/>
  <c r="T167" i="1"/>
  <c r="T166" i="1"/>
  <c r="T165" i="1"/>
  <c r="T164" i="1"/>
  <c r="T163" i="1"/>
  <c r="T162" i="1"/>
  <c r="T161" i="1"/>
  <c r="T160" i="1"/>
  <c r="T159" i="1"/>
  <c r="T158" i="1"/>
  <c r="T157" i="1"/>
  <c r="T156" i="1"/>
  <c r="T155" i="1"/>
  <c r="T154" i="1"/>
  <c r="T153" i="1"/>
  <c r="T152" i="1"/>
  <c r="T151" i="1"/>
  <c r="T150" i="1"/>
  <c r="T149" i="1"/>
  <c r="T148" i="1"/>
  <c r="T147" i="1"/>
  <c r="T146" i="1"/>
  <c r="T145" i="1"/>
  <c r="T144" i="1"/>
  <c r="T143" i="1"/>
  <c r="T142" i="1"/>
  <c r="T141" i="1"/>
  <c r="T140" i="1"/>
  <c r="T139" i="1"/>
  <c r="T138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3" i="1"/>
  <c r="T122" i="1"/>
  <c r="T121" i="1"/>
  <c r="T120" i="1"/>
  <c r="T119" i="1"/>
  <c r="T118" i="1"/>
  <c r="T117" i="1"/>
  <c r="T116" i="1"/>
  <c r="T115" i="1"/>
  <c r="T114" i="1"/>
  <c r="T113" i="1"/>
  <c r="T112" i="1"/>
  <c r="T111" i="1"/>
  <c r="T110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P96" i="1"/>
  <c r="A96" i="1"/>
  <c r="T95" i="1"/>
  <c r="P95" i="1"/>
  <c r="A95" i="1"/>
  <c r="T94" i="1"/>
  <c r="P94" i="1"/>
  <c r="A94" i="1"/>
  <c r="T93" i="1"/>
  <c r="P93" i="1"/>
  <c r="A93" i="1"/>
  <c r="T92" i="1"/>
  <c r="P92" i="1"/>
  <c r="A92" i="1"/>
  <c r="T91" i="1"/>
  <c r="P91" i="1"/>
  <c r="A91" i="1"/>
  <c r="T90" i="1"/>
  <c r="P90" i="1"/>
  <c r="A90" i="1"/>
  <c r="T89" i="1"/>
  <c r="P89" i="1"/>
  <c r="A89" i="1"/>
  <c r="T88" i="1"/>
  <c r="P88" i="1"/>
  <c r="A88" i="1"/>
  <c r="T87" i="1"/>
  <c r="P87" i="1"/>
  <c r="A87" i="1"/>
  <c r="T86" i="1"/>
  <c r="P86" i="1"/>
  <c r="A86" i="1"/>
  <c r="T85" i="1"/>
  <c r="P85" i="1"/>
  <c r="A85" i="1"/>
  <c r="T84" i="1"/>
  <c r="P84" i="1"/>
  <c r="A84" i="1"/>
  <c r="T83" i="1"/>
  <c r="P83" i="1"/>
  <c r="A83" i="1"/>
  <c r="T82" i="1"/>
  <c r="P82" i="1"/>
  <c r="A82" i="1"/>
  <c r="T81" i="1"/>
  <c r="P81" i="1"/>
  <c r="A81" i="1"/>
  <c r="T80" i="1"/>
  <c r="P80" i="1"/>
  <c r="A80" i="1"/>
  <c r="T79" i="1"/>
  <c r="P79" i="1"/>
  <c r="A79" i="1"/>
  <c r="T78" i="1"/>
  <c r="P78" i="1"/>
  <c r="A78" i="1"/>
  <c r="T77" i="1"/>
  <c r="P77" i="1"/>
  <c r="A77" i="1"/>
  <c r="T76" i="1"/>
  <c r="P76" i="1"/>
  <c r="A76" i="1"/>
  <c r="T75" i="1"/>
  <c r="P75" i="1"/>
  <c r="A75" i="1"/>
  <c r="T74" i="1"/>
  <c r="P74" i="1"/>
  <c r="A74" i="1"/>
  <c r="T73" i="1"/>
  <c r="P73" i="1"/>
  <c r="A73" i="1"/>
  <c r="T72" i="1"/>
  <c r="P72" i="1"/>
  <c r="A72" i="1"/>
  <c r="T71" i="1"/>
  <c r="P71" i="1"/>
  <c r="A71" i="1"/>
  <c r="T70" i="1"/>
  <c r="P70" i="1"/>
  <c r="A70" i="1"/>
  <c r="T69" i="1"/>
  <c r="P69" i="1"/>
  <c r="A69" i="1"/>
  <c r="T68" i="1"/>
  <c r="P68" i="1"/>
  <c r="A68" i="1"/>
  <c r="T67" i="1"/>
  <c r="P67" i="1"/>
  <c r="A67" i="1"/>
  <c r="T66" i="1"/>
  <c r="P66" i="1"/>
  <c r="A66" i="1"/>
  <c r="T65" i="1"/>
  <c r="P65" i="1"/>
  <c r="A65" i="1"/>
  <c r="T64" i="1"/>
  <c r="P64" i="1"/>
  <c r="A64" i="1"/>
  <c r="T63" i="1"/>
  <c r="P63" i="1"/>
  <c r="A63" i="1"/>
  <c r="T62" i="1"/>
  <c r="P62" i="1"/>
  <c r="A62" i="1"/>
  <c r="T61" i="1"/>
  <c r="P61" i="1"/>
  <c r="A61" i="1"/>
  <c r="T60" i="1"/>
  <c r="P60" i="1"/>
  <c r="A60" i="1"/>
  <c r="T59" i="1"/>
  <c r="P59" i="1"/>
  <c r="A59" i="1"/>
  <c r="T58" i="1"/>
  <c r="P58" i="1"/>
  <c r="A58" i="1"/>
  <c r="T57" i="1"/>
  <c r="P57" i="1"/>
  <c r="A57" i="1"/>
  <c r="T56" i="1"/>
  <c r="P56" i="1"/>
  <c r="A56" i="1"/>
  <c r="T55" i="1"/>
  <c r="P55" i="1"/>
  <c r="A55" i="1"/>
  <c r="T54" i="1"/>
  <c r="P54" i="1"/>
  <c r="A54" i="1"/>
  <c r="T53" i="1"/>
  <c r="P53" i="1"/>
  <c r="A53" i="1"/>
  <c r="T52" i="1"/>
  <c r="P52" i="1"/>
  <c r="A52" i="1"/>
  <c r="T51" i="1"/>
  <c r="P51" i="1"/>
  <c r="A51" i="1"/>
  <c r="T50" i="1"/>
  <c r="P50" i="1"/>
  <c r="A50" i="1"/>
  <c r="T49" i="1"/>
  <c r="P49" i="1"/>
  <c r="A49" i="1"/>
  <c r="T48" i="1"/>
  <c r="P48" i="1"/>
  <c r="A48" i="1"/>
  <c r="T47" i="1"/>
  <c r="P47" i="1"/>
  <c r="A47" i="1"/>
  <c r="T46" i="1"/>
  <c r="P46" i="1"/>
  <c r="A46" i="1"/>
  <c r="T45" i="1"/>
  <c r="P45" i="1"/>
  <c r="A45" i="1"/>
  <c r="T44" i="1"/>
  <c r="P44" i="1"/>
  <c r="A44" i="1"/>
  <c r="T43" i="1"/>
  <c r="P43" i="1"/>
  <c r="A43" i="1"/>
  <c r="T42" i="1"/>
  <c r="P42" i="1"/>
  <c r="A42" i="1"/>
  <c r="T41" i="1"/>
  <c r="P41" i="1"/>
  <c r="A41" i="1"/>
  <c r="T40" i="1"/>
  <c r="P40" i="1"/>
  <c r="A40" i="1"/>
  <c r="T39" i="1"/>
  <c r="P39" i="1"/>
  <c r="A39" i="1"/>
  <c r="T38" i="1"/>
  <c r="P38" i="1"/>
  <c r="A38" i="1"/>
  <c r="T37" i="1"/>
  <c r="P37" i="1"/>
  <c r="A37" i="1"/>
  <c r="A36" i="1"/>
  <c r="B3" i="2" s="1"/>
  <c r="P35" i="1"/>
  <c r="A35" i="1"/>
  <c r="P34" i="1"/>
  <c r="T34" i="1" s="1"/>
  <c r="A34" i="1"/>
  <c r="P33" i="1"/>
  <c r="T33" i="1" s="1"/>
  <c r="A33" i="1"/>
  <c r="P32" i="1"/>
  <c r="A32" i="1"/>
  <c r="P31" i="1"/>
  <c r="T31" i="1" s="1"/>
  <c r="A31" i="1"/>
  <c r="P30" i="1"/>
  <c r="T30" i="1" s="1"/>
  <c r="A30" i="1"/>
  <c r="P29" i="1"/>
  <c r="T29" i="1" s="1"/>
  <c r="A29" i="1"/>
  <c r="P28" i="1"/>
  <c r="A28" i="1"/>
  <c r="P27" i="1"/>
  <c r="Q27" i="1" s="1"/>
  <c r="A27" i="1"/>
  <c r="A26" i="1"/>
  <c r="P25" i="1"/>
  <c r="A25" i="1"/>
  <c r="P24" i="1"/>
  <c r="A24" i="1"/>
  <c r="P23" i="1"/>
  <c r="A23" i="1"/>
  <c r="P22" i="1"/>
  <c r="A22" i="1"/>
  <c r="P21" i="1"/>
  <c r="A21" i="1"/>
  <c r="P20" i="1"/>
  <c r="A20" i="1"/>
  <c r="P19" i="1"/>
  <c r="A19" i="1"/>
  <c r="P18" i="1"/>
  <c r="A18" i="1"/>
  <c r="P17" i="1"/>
  <c r="A17" i="1"/>
  <c r="P16" i="1"/>
  <c r="A16" i="1"/>
  <c r="P15" i="1"/>
  <c r="A15" i="1"/>
  <c r="P14" i="1"/>
  <c r="A14" i="1"/>
  <c r="P13" i="1"/>
  <c r="A13" i="1"/>
  <c r="P12" i="1"/>
  <c r="A12" i="1"/>
  <c r="P11" i="1"/>
  <c r="A11" i="1"/>
  <c r="P10" i="1"/>
  <c r="A10" i="1"/>
  <c r="P9" i="1"/>
  <c r="A9" i="1"/>
  <c r="P8" i="1"/>
  <c r="A8" i="1"/>
  <c r="P7" i="1"/>
  <c r="A7" i="1"/>
  <c r="P6" i="1"/>
  <c r="A6" i="1"/>
  <c r="P5" i="1"/>
  <c r="A5" i="1"/>
  <c r="P4" i="1"/>
  <c r="A4" i="1"/>
  <c r="P3" i="1"/>
  <c r="A3" i="1"/>
  <c r="P2" i="1"/>
  <c r="A2" i="1"/>
  <c r="D23" i="2" l="1"/>
  <c r="B7" i="2"/>
  <c r="T13" i="1"/>
  <c r="T7" i="1"/>
  <c r="T14" i="1"/>
  <c r="T10" i="1"/>
  <c r="T8" i="1"/>
  <c r="T5" i="1"/>
  <c r="T3" i="1"/>
  <c r="T35" i="1"/>
  <c r="T28" i="1"/>
  <c r="T27" i="1"/>
  <c r="T25" i="1"/>
  <c r="T24" i="1"/>
  <c r="T22" i="1"/>
  <c r="T15" i="1"/>
  <c r="T9" i="1"/>
  <c r="T26" i="1"/>
  <c r="C23" i="2"/>
  <c r="C14" i="2"/>
  <c r="D14" i="2" s="1"/>
  <c r="T2" i="1"/>
  <c r="C16" i="2"/>
  <c r="D16" i="2" s="1"/>
  <c r="B4" i="2"/>
  <c r="B6" i="2" s="1"/>
  <c r="B5" i="2"/>
  <c r="T11" i="1"/>
  <c r="T4" i="1"/>
  <c r="T23" i="1"/>
  <c r="T17" i="1"/>
  <c r="T20" i="1"/>
  <c r="T21" i="1"/>
  <c r="T16" i="1"/>
  <c r="T19" i="1"/>
  <c r="T6" i="1"/>
  <c r="T12" i="1"/>
  <c r="T18" i="1"/>
  <c r="C147" i="15" l="1"/>
  <c r="C184" i="15" s="1"/>
  <c r="D147" i="15"/>
  <c r="D184" i="15" s="1"/>
  <c r="B147" i="15"/>
  <c r="B184" i="15" s="1"/>
  <c r="E184" i="15"/>
  <c r="E183" i="15"/>
  <c r="B142" i="15"/>
  <c r="B183" i="15" s="1"/>
  <c r="E182" i="15"/>
  <c r="D137" i="15"/>
  <c r="D182" i="15" s="1"/>
  <c r="A137" i="15"/>
  <c r="D132" i="15"/>
  <c r="D181" i="15" s="1"/>
  <c r="B132" i="15"/>
  <c r="B181" i="15" s="1"/>
  <c r="E180" i="15"/>
  <c r="C127" i="15"/>
  <c r="C180" i="15" s="1"/>
  <c r="A127" i="15"/>
  <c r="D122" i="15"/>
  <c r="D179" i="15" s="1"/>
  <c r="B122" i="15"/>
  <c r="B179" i="15" s="1"/>
  <c r="E178" i="15"/>
  <c r="C117" i="15"/>
  <c r="C178" i="15" s="1"/>
  <c r="A117" i="15"/>
  <c r="D112" i="15"/>
  <c r="D177" i="15" s="1"/>
  <c r="B112" i="15"/>
  <c r="B177" i="15" s="1"/>
  <c r="E176" i="15"/>
  <c r="C107" i="15"/>
  <c r="C176" i="15" s="1"/>
  <c r="A107" i="15"/>
  <c r="D102" i="15"/>
  <c r="D175" i="15" s="1"/>
  <c r="B102" i="15"/>
  <c r="B175" i="15" s="1"/>
  <c r="E174" i="15"/>
  <c r="C97" i="15"/>
  <c r="C174" i="15" s="1"/>
  <c r="A97" i="15"/>
  <c r="D92" i="15"/>
  <c r="D173" i="15" s="1"/>
  <c r="B92" i="15"/>
  <c r="B173" i="15" s="1"/>
  <c r="E172" i="15"/>
  <c r="C87" i="15"/>
  <c r="C172" i="15" s="1"/>
  <c r="A87" i="15"/>
  <c r="D82" i="15"/>
  <c r="D171" i="15" s="1"/>
  <c r="B82" i="15"/>
  <c r="B171" i="15" s="1"/>
  <c r="E170" i="15"/>
  <c r="D77" i="15"/>
  <c r="D170" i="15" s="1"/>
  <c r="B77" i="15"/>
  <c r="B170" i="15" s="1"/>
  <c r="E169" i="15"/>
  <c r="C72" i="15"/>
  <c r="C169" i="15" s="1"/>
  <c r="A72" i="15"/>
  <c r="D67" i="15"/>
  <c r="D168" i="15" s="1"/>
  <c r="B67" i="15"/>
  <c r="B168" i="15" s="1"/>
  <c r="E167" i="15"/>
  <c r="C62" i="15"/>
  <c r="C167" i="15" s="1"/>
  <c r="A62" i="15"/>
  <c r="D57" i="15"/>
  <c r="D166" i="15" s="1"/>
  <c r="B57" i="15"/>
  <c r="B166" i="15" s="1"/>
  <c r="D52" i="15"/>
  <c r="D165" i="15" s="1"/>
  <c r="B52" i="15"/>
  <c r="B165" i="15" s="1"/>
  <c r="E164" i="15"/>
  <c r="C47" i="15"/>
  <c r="C164" i="15" s="1"/>
  <c r="A47" i="15"/>
  <c r="D42" i="15"/>
  <c r="D163" i="15" s="1"/>
  <c r="B42" i="15"/>
  <c r="B163" i="15" s="1"/>
  <c r="E162" i="15"/>
  <c r="C37" i="15"/>
  <c r="C162" i="15" s="1"/>
  <c r="A37" i="15"/>
  <c r="D32" i="15"/>
  <c r="D161" i="15" s="1"/>
  <c r="B32" i="15"/>
  <c r="B161" i="15" s="1"/>
  <c r="E160" i="15"/>
  <c r="C27" i="15"/>
  <c r="C160" i="15" s="1"/>
  <c r="A27" i="15"/>
  <c r="D22" i="15"/>
  <c r="D159" i="15" s="1"/>
  <c r="B22" i="15"/>
  <c r="B159" i="15" s="1"/>
  <c r="A7" i="15"/>
  <c r="A2" i="15"/>
  <c r="B2" i="15"/>
  <c r="B155" i="15" s="1"/>
  <c r="D142" i="15"/>
  <c r="D183" i="15" s="1"/>
  <c r="C142" i="15"/>
  <c r="C183" i="15" s="1"/>
  <c r="A142" i="15"/>
  <c r="C137" i="15"/>
  <c r="C182" i="15" s="1"/>
  <c r="B137" i="15"/>
  <c r="B182" i="15" s="1"/>
  <c r="E181" i="15"/>
  <c r="C132" i="15"/>
  <c r="C181" i="15" s="1"/>
  <c r="A132" i="15"/>
  <c r="D127" i="15"/>
  <c r="D180" i="15" s="1"/>
  <c r="B127" i="15"/>
  <c r="B180" i="15" s="1"/>
  <c r="E179" i="15"/>
  <c r="C122" i="15"/>
  <c r="C179" i="15" s="1"/>
  <c r="A122" i="15"/>
  <c r="D117" i="15"/>
  <c r="D178" i="15" s="1"/>
  <c r="B117" i="15"/>
  <c r="B178" i="15" s="1"/>
  <c r="E177" i="15"/>
  <c r="C112" i="15"/>
  <c r="C177" i="15" s="1"/>
  <c r="A112" i="15"/>
  <c r="D107" i="15"/>
  <c r="D176" i="15" s="1"/>
  <c r="B107" i="15"/>
  <c r="B176" i="15" s="1"/>
  <c r="E175" i="15"/>
  <c r="C102" i="15"/>
  <c r="C175" i="15" s="1"/>
  <c r="A102" i="15"/>
  <c r="D97" i="15"/>
  <c r="D174" i="15" s="1"/>
  <c r="B97" i="15"/>
  <c r="B174" i="15" s="1"/>
  <c r="E173" i="15"/>
  <c r="C92" i="15"/>
  <c r="C173" i="15" s="1"/>
  <c r="A92" i="15"/>
  <c r="D87" i="15"/>
  <c r="D172" i="15" s="1"/>
  <c r="B87" i="15"/>
  <c r="B172" i="15" s="1"/>
  <c r="E171" i="15"/>
  <c r="C82" i="15"/>
  <c r="C171" i="15" s="1"/>
  <c r="A82" i="15"/>
  <c r="C77" i="15"/>
  <c r="C170" i="15" s="1"/>
  <c r="A77" i="15"/>
  <c r="D72" i="15"/>
  <c r="D169" i="15" s="1"/>
  <c r="B72" i="15"/>
  <c r="B169" i="15" s="1"/>
  <c r="E168" i="15"/>
  <c r="C67" i="15"/>
  <c r="C168" i="15" s="1"/>
  <c r="A67" i="15"/>
  <c r="D62" i="15"/>
  <c r="D167" i="15" s="1"/>
  <c r="B62" i="15"/>
  <c r="B167" i="15" s="1"/>
  <c r="E166" i="15"/>
  <c r="C57" i="15"/>
  <c r="C166" i="15" s="1"/>
  <c r="A57" i="15"/>
  <c r="E165" i="15"/>
  <c r="C52" i="15"/>
  <c r="C165" i="15" s="1"/>
  <c r="A52" i="15"/>
  <c r="D47" i="15"/>
  <c r="D164" i="15" s="1"/>
  <c r="B47" i="15"/>
  <c r="B164" i="15" s="1"/>
  <c r="E163" i="15"/>
  <c r="C42" i="15"/>
  <c r="C163" i="15" s="1"/>
  <c r="A42" i="15"/>
  <c r="D37" i="15"/>
  <c r="D162" i="15" s="1"/>
  <c r="B37" i="15"/>
  <c r="B162" i="15" s="1"/>
  <c r="E161" i="15"/>
  <c r="C32" i="15"/>
  <c r="C161" i="15" s="1"/>
  <c r="A32" i="15"/>
  <c r="D27" i="15"/>
  <c r="D160" i="15" s="1"/>
  <c r="B27" i="15"/>
  <c r="B160" i="15" s="1"/>
  <c r="E159" i="15"/>
  <c r="C22" i="15"/>
  <c r="C159" i="15" s="1"/>
  <c r="A22" i="15"/>
  <c r="E158" i="15"/>
  <c r="D17" i="15"/>
  <c r="D158" i="15" s="1"/>
  <c r="C17" i="15"/>
  <c r="C158" i="15" s="1"/>
  <c r="B17" i="15"/>
  <c r="B158" i="15" s="1"/>
  <c r="A17" i="15"/>
  <c r="E157" i="15"/>
  <c r="D12" i="15"/>
  <c r="D157" i="15" s="1"/>
  <c r="C12" i="15"/>
  <c r="C157" i="15" s="1"/>
  <c r="B12" i="15"/>
  <c r="B157" i="15" s="1"/>
  <c r="A12" i="15"/>
  <c r="E156" i="15"/>
  <c r="D7" i="15"/>
  <c r="D156" i="15" s="1"/>
  <c r="C7" i="15"/>
  <c r="C156" i="15" s="1"/>
  <c r="B7" i="15"/>
  <c r="B156" i="15" s="1"/>
  <c r="E155" i="15"/>
  <c r="D2" i="15"/>
  <c r="D155" i="15" s="1"/>
  <c r="C2" i="15"/>
  <c r="C155" i="15" s="1"/>
  <c r="A147" i="15"/>
  <c r="B11" i="5"/>
  <c r="B12" i="5"/>
  <c r="F14" i="5"/>
  <c r="F12" i="5"/>
  <c r="D13" i="5"/>
  <c r="E13" i="5"/>
  <c r="F11" i="5"/>
  <c r="B13" i="5"/>
  <c r="D11" i="5"/>
  <c r="D12" i="5"/>
  <c r="F13" i="5"/>
  <c r="D14" i="5"/>
  <c r="E11" i="5"/>
  <c r="B14" i="5"/>
  <c r="E14" i="5"/>
  <c r="E12" i="5"/>
  <c r="B4" i="5"/>
  <c r="D15" i="5"/>
  <c r="E15" i="5"/>
  <c r="F15" i="5"/>
  <c r="B5" i="5"/>
  <c r="B6" i="5"/>
  <c r="B3" i="5"/>
  <c r="A184" i="15" l="1"/>
  <c r="F184" i="15"/>
  <c r="G184" i="15"/>
  <c r="G183" i="15"/>
  <c r="A183" i="15"/>
  <c r="F183" i="15"/>
  <c r="G181" i="15"/>
  <c r="A181" i="15"/>
  <c r="F181" i="15"/>
  <c r="G179" i="15"/>
  <c r="A179" i="15"/>
  <c r="F179" i="15"/>
  <c r="A177" i="15"/>
  <c r="G177" i="15"/>
  <c r="F177" i="15"/>
  <c r="G175" i="15"/>
  <c r="A175" i="15"/>
  <c r="F175" i="15"/>
  <c r="G173" i="15"/>
  <c r="A173" i="15"/>
  <c r="F173" i="15"/>
  <c r="A171" i="15"/>
  <c r="G171" i="15"/>
  <c r="F171" i="15"/>
  <c r="A170" i="15"/>
  <c r="F170" i="15"/>
  <c r="G170" i="15"/>
  <c r="A168" i="15"/>
  <c r="G168" i="15"/>
  <c r="F168" i="15"/>
  <c r="A166" i="15"/>
  <c r="G166" i="15"/>
  <c r="F166" i="15"/>
  <c r="A165" i="15"/>
  <c r="G165" i="15"/>
  <c r="F165" i="15"/>
  <c r="A163" i="15"/>
  <c r="G163" i="15"/>
  <c r="F163" i="15"/>
  <c r="A161" i="15"/>
  <c r="G161" i="15"/>
  <c r="F161" i="15"/>
  <c r="A159" i="15"/>
  <c r="F159" i="15"/>
  <c r="G159" i="15"/>
  <c r="G155" i="15"/>
  <c r="A155" i="15"/>
  <c r="F155" i="15"/>
  <c r="A182" i="15"/>
  <c r="G182" i="15"/>
  <c r="F182" i="15"/>
  <c r="A180" i="15"/>
  <c r="F180" i="15"/>
  <c r="G180" i="15"/>
  <c r="A178" i="15"/>
  <c r="F178" i="15"/>
  <c r="G178" i="15"/>
  <c r="A176" i="15"/>
  <c r="G176" i="15"/>
  <c r="F176" i="15"/>
  <c r="A174" i="15"/>
  <c r="F174" i="15"/>
  <c r="G174" i="15"/>
  <c r="G172" i="15"/>
  <c r="F172" i="15"/>
  <c r="A172" i="15"/>
  <c r="A169" i="15"/>
  <c r="G169" i="15"/>
  <c r="F169" i="15"/>
  <c r="A167" i="15"/>
  <c r="F167" i="15"/>
  <c r="G167" i="15"/>
  <c r="F164" i="15"/>
  <c r="A164" i="15"/>
  <c r="G164" i="15"/>
  <c r="A162" i="15"/>
  <c r="G162" i="15"/>
  <c r="F162" i="15"/>
  <c r="A160" i="15"/>
  <c r="G160" i="15"/>
  <c r="F160" i="15"/>
  <c r="A158" i="15"/>
  <c r="G158" i="15"/>
  <c r="F158" i="15"/>
  <c r="F157" i="15"/>
  <c r="G157" i="15"/>
  <c r="A157" i="15"/>
  <c r="A156" i="15"/>
  <c r="G156" i="15"/>
  <c r="F156" i="15"/>
  <c r="C13" i="5"/>
  <c r="C11" i="5"/>
  <c r="B15" i="5"/>
  <c r="C15" i="5" s="1"/>
  <c r="C12" i="5"/>
  <c r="C14" i="5"/>
</calcChain>
</file>

<file path=xl/sharedStrings.xml><?xml version="1.0" encoding="utf-8"?>
<sst xmlns="http://schemas.openxmlformats.org/spreadsheetml/2006/main" count="345" uniqueCount="185">
  <si>
    <t>No.</t>
  </si>
  <si>
    <t>CAMPAÑA</t>
  </si>
  <si>
    <t>FECHA DE INGRESO A FORMACIÓN</t>
  </si>
  <si>
    <t>CARGO</t>
  </si>
  <si>
    <t>No. DOCUMENTO</t>
  </si>
  <si>
    <t>NOMBRE COMPLETO</t>
  </si>
  <si>
    <t>CORREO ELECTRÓNICO</t>
  </si>
  <si>
    <t>TELÉFONO MÓVIL</t>
  </si>
  <si>
    <t>FORMADOR</t>
  </si>
  <si>
    <t>PRESENTACIÓN PERSONAL 5%</t>
  </si>
  <si>
    <t>PARTICIPACIÓN Y PUNTUALIDAD 10%</t>
  </si>
  <si>
    <t>EVALUACIÓN CONOCIMIENTO (DIA 2) 5%</t>
  </si>
  <si>
    <t>EVALUACIÓN TÉCNICA 10%</t>
  </si>
  <si>
    <t>SIMULACIÓN CON IA 20%</t>
  </si>
  <si>
    <t>EVALUACIÓN FINAL (CLÍNICA DE VENTAS) 50%</t>
  </si>
  <si>
    <t>NOTA FINAL</t>
  </si>
  <si>
    <t>APRUEBA</t>
  </si>
  <si>
    <t>OBSERVACIONES</t>
  </si>
  <si>
    <t>AUX - ORDEN APROBADO (no borrar)</t>
  </si>
  <si>
    <t>Posgrados</t>
  </si>
  <si>
    <t>Auxiliar gestor  de vinculaciones</t>
  </si>
  <si>
    <t>Sara Isabel Molina Sánchez</t>
  </si>
  <si>
    <t>Molinasara453@gmail.com</t>
  </si>
  <si>
    <t>Todas</t>
  </si>
  <si>
    <t>Michelle Geraldine Bejarano Torres</t>
  </si>
  <si>
    <t>michelletorres2593@hotmail.com</t>
  </si>
  <si>
    <t>Helen Sofia Calderon Camelo</t>
  </si>
  <si>
    <t>helencalderon910@gmail.com</t>
  </si>
  <si>
    <t>‪3239227093‬</t>
  </si>
  <si>
    <t>Cindy Paola Cuellar Montoya</t>
  </si>
  <si>
    <t>Cindypaolacuellar@gmail.com</t>
  </si>
  <si>
    <t xml:space="preserve">Llega tarde </t>
  </si>
  <si>
    <t>Thomas Bernardo Fernandez Laverde</t>
  </si>
  <si>
    <t>tfernandezlaverde@gmail.com</t>
  </si>
  <si>
    <t>Julie Caterine Villalobos Ortiz</t>
  </si>
  <si>
    <t>Juliecaterine23@gmail.com</t>
  </si>
  <si>
    <t>Yaricet Bricet Cárcamo Morales</t>
  </si>
  <si>
    <t>Yaricetbricet@gmail.com</t>
  </si>
  <si>
    <t>Pablo Steven Ochoa Rodriguez</t>
  </si>
  <si>
    <t>Pablorodriguez8q@gmail.com</t>
  </si>
  <si>
    <t>Lucia Fernanda Cruz Canchila</t>
  </si>
  <si>
    <t>Luciacruz0414@gmail.com</t>
  </si>
  <si>
    <t>Jhon Stiven Marin Valencia</t>
  </si>
  <si>
    <t>jhonstivenmarin02@gmail.com</t>
  </si>
  <si>
    <t>Yulieth Paola Rodriguez Cañon</t>
  </si>
  <si>
    <t>ypaolarodriguez14@gmail.com</t>
  </si>
  <si>
    <t>Natalia Fernanda Mendieta Oicata</t>
  </si>
  <si>
    <t>nataliamendieta2025@gmail.com</t>
  </si>
  <si>
    <t>Jhonatan David Londoño Baldovino</t>
  </si>
  <si>
    <t>Jdlbaldovino199@gmail.com</t>
  </si>
  <si>
    <t>David Felipe Hernández Hernández</t>
  </si>
  <si>
    <t>david.hernandez.dtk@gmail.com</t>
  </si>
  <si>
    <t>Cristian David Celis Garcia</t>
  </si>
  <si>
    <t>cristianceliss9719@gmail.com</t>
  </si>
  <si>
    <t>Kamy Lizeth Rios Gomez</t>
  </si>
  <si>
    <t>riosgomezkamy@gmail.com</t>
  </si>
  <si>
    <t>Yisell Dayana Castro González</t>
  </si>
  <si>
    <t>Gonzalezdayanna730@gmail.com</t>
  </si>
  <si>
    <t>Nataly Andrea Maecha Lizarazo</t>
  </si>
  <si>
    <t>natamahecha23@gmail.com</t>
  </si>
  <si>
    <t>Luisa Fernanda Rodríguez Sarmiento</t>
  </si>
  <si>
    <t>feryantonella13@gmail.com</t>
  </si>
  <si>
    <t>Presentación personal</t>
  </si>
  <si>
    <t>Yedinson Stiven Ramirez Perdómo</t>
  </si>
  <si>
    <t>kramirezperdomo@gmail.com</t>
  </si>
  <si>
    <t>Gisell Del Carmen Cabrera Maldonado</t>
  </si>
  <si>
    <t>cgisell890@gmail.com</t>
  </si>
  <si>
    <t>Actitud</t>
  </si>
  <si>
    <t>Hebert Julián Casilimas Ricardo</t>
  </si>
  <si>
    <t>julian180703@icloud.com</t>
  </si>
  <si>
    <t>Nelvis Mirleth Gutiérrez Orozco</t>
  </si>
  <si>
    <t>Milrthgutierrez@gmail.com</t>
  </si>
  <si>
    <t xml:space="preserve">Actitud </t>
  </si>
  <si>
    <t>Johan Sebastian Peña Ramos</t>
  </si>
  <si>
    <t>seebastian0118@gmail.com</t>
  </si>
  <si>
    <t>Pregrado Virtual</t>
  </si>
  <si>
    <t>Julian David Jiménez Moreno</t>
  </si>
  <si>
    <t xml:space="preserve">Julian.david.jimenez.moreno@gmail.com </t>
  </si>
  <si>
    <t>Karen Margarita Puerta</t>
  </si>
  <si>
    <t xml:space="preserve">Claudia Yadira Suta Torres </t>
  </si>
  <si>
    <t>claudiasuta029@gmail.com</t>
  </si>
  <si>
    <t xml:space="preserve">Cristian Manuel Jiménez Gómez </t>
  </si>
  <si>
    <t>jimenezsc07@gmail.com</t>
  </si>
  <si>
    <t>Miguel Ángel Becerra Garcia</t>
  </si>
  <si>
    <t>Saclaro920@gmail.com</t>
  </si>
  <si>
    <t>Alex Esteban Angarita Lozano</t>
  </si>
  <si>
    <t>angarita20162001@gmail.com</t>
  </si>
  <si>
    <t xml:space="preserve">Dana Yurleidy Lugo Castro </t>
  </si>
  <si>
    <t>danalugo12345@gmail.com</t>
  </si>
  <si>
    <t xml:space="preserve">Andersson Stiven Lozano Martinez </t>
  </si>
  <si>
    <t>andersson19892014@gmail.com</t>
  </si>
  <si>
    <t>(empty)</t>
  </si>
  <si>
    <t>Duvan Alejandro Díaz Landinez</t>
  </si>
  <si>
    <t>Alejithodiax@gmail.com</t>
  </si>
  <si>
    <t>Brandon Stiven Garces Arcos</t>
  </si>
  <si>
    <t xml:space="preserve">Brandongarces2@gmail.com </t>
  </si>
  <si>
    <t xml:space="preserve">Juan Sebastian Acevedo Salazar </t>
  </si>
  <si>
    <t>juansevedo02@gmail.com</t>
  </si>
  <si>
    <t>RESUMEN DE INGRESOS A FORMACIÓN (OJT)</t>
  </si>
  <si>
    <t>Total de personas registradas</t>
  </si>
  <si>
    <t>Total aprobados</t>
  </si>
  <si>
    <t>Total no aprobados</t>
  </si>
  <si>
    <t>% de aprobación</t>
  </si>
  <si>
    <t>Nota promedio general</t>
  </si>
  <si>
    <t>Total retirados</t>
  </si>
  <si>
    <t>Total en formación</t>
  </si>
  <si>
    <t>REGISTROS POR CAMPAÑA</t>
  </si>
  <si>
    <t>Campaña</t>
  </si>
  <si>
    <t>N° personas</t>
  </si>
  <si>
    <t>N° aprobados</t>
  </si>
  <si>
    <t>% aprobación</t>
  </si>
  <si>
    <t>Pregrado Presencial</t>
  </si>
  <si>
    <t>REGISTROS POR FORMADOR</t>
  </si>
  <si>
    <t>Formador</t>
  </si>
  <si>
    <t>Nota promedio</t>
  </si>
  <si>
    <t>Mayra Sofia Sanchez</t>
  </si>
  <si>
    <t>Monica Sanchez</t>
  </si>
  <si>
    <t xml:space="preserve">Todas </t>
  </si>
  <si>
    <t>N°</t>
  </si>
  <si>
    <t>DÍA</t>
  </si>
  <si>
    <t>FECHA</t>
  </si>
  <si>
    <t>MATRÍCULAS</t>
  </si>
  <si>
    <t>ACTITUD (1-5)</t>
  </si>
  <si>
    <t>RESUMEN DE APROBADOS - HOJA OJT</t>
  </si>
  <si>
    <t>Total de aprobados en OJT</t>
  </si>
  <si>
    <t>Nota promedio (aprobados)</t>
  </si>
  <si>
    <t>Nota más alta</t>
  </si>
  <si>
    <t>Nota más baja</t>
  </si>
  <si>
    <t>APROBADOS POR CAMPAÑA (OJT)</t>
  </si>
  <si>
    <t>% del total</t>
  </si>
  <si>
    <t>Nota mínima</t>
  </si>
  <si>
    <t>Nota máxima</t>
  </si>
  <si>
    <t>Comercial B2B</t>
  </si>
  <si>
    <t>TOTAL</t>
  </si>
  <si>
    <t>Nota minima para aprobar</t>
  </si>
  <si>
    <t>(edita este valor para ajustar el umbral de aprobacion)</t>
  </si>
  <si>
    <t>Escala de calificación (máximo por ítem)</t>
  </si>
  <si>
    <t>(cada ítem se califica de 1 a 5)</t>
  </si>
  <si>
    <t>ESTADO DEL PROCESO</t>
  </si>
  <si>
    <t>ITEM DE EVALUACIÓN</t>
  </si>
  <si>
    <t>PESO %</t>
  </si>
  <si>
    <t>Gestor  vinculaciones Junior</t>
  </si>
  <si>
    <t>En formación</t>
  </si>
  <si>
    <t>Aprueba</t>
  </si>
  <si>
    <t>Gestor  vinculaciones Senior</t>
  </si>
  <si>
    <t>OJT</t>
  </si>
  <si>
    <t>No aprueba</t>
  </si>
  <si>
    <t>Participación y puntualidad</t>
  </si>
  <si>
    <t>Retirado</t>
  </si>
  <si>
    <t>Evaluación conocimiento &amp; role play</t>
  </si>
  <si>
    <t>Simulación con IA</t>
  </si>
  <si>
    <t>Evaluación final (clínica de ventas)</t>
  </si>
  <si>
    <t>Evaluación conocimiento (Día 2)</t>
  </si>
  <si>
    <t xml:space="preserve">Escala de evaluación </t>
  </si>
  <si>
    <t>90–100 = 5</t>
  </si>
  <si>
    <t>80–89 = 4</t>
  </si>
  <si>
    <t>70–79 = 3</t>
  </si>
  <si>
    <t>60–69 = 2</t>
  </si>
  <si>
    <t>0–59 = 1</t>
  </si>
  <si>
    <t>Etiquetas de fila</t>
  </si>
  <si>
    <t>Total general</t>
  </si>
  <si>
    <t>Etiquetas de columna</t>
  </si>
  <si>
    <t>#¡VALOR!</t>
  </si>
  <si>
    <t>Cantidad</t>
  </si>
  <si>
    <t>Nota Promedio</t>
  </si>
  <si>
    <t>ESTADISTICAS GENERALES DE FORMACION Y ONBOARDING</t>
  </si>
  <si>
    <t>1. Estadisticas de Formacion Teorica (Hoja Registro)</t>
  </si>
  <si>
    <t>Participantes por Campana y Estado de Onboarding</t>
  </si>
  <si>
    <t>Nota Promedio de Onboarding por Campana</t>
  </si>
  <si>
    <t>Participantes por Cargo y Estado de Onboarding</t>
  </si>
  <si>
    <t xml:space="preserve">Cantidad </t>
  </si>
  <si>
    <t>2. Estadisticas de On-the-Job Training - OJT (Hoja OJT Aprobados)</t>
  </si>
  <si>
    <t>Aprobados OJT por Campana</t>
  </si>
  <si>
    <t xml:space="preserve">Cantidad  </t>
  </si>
  <si>
    <t>Nota Promedio de OJT por Campana</t>
  </si>
  <si>
    <t xml:space="preserve">Nota Promedio </t>
  </si>
  <si>
    <t xml:space="preserve">ADERECIA </t>
  </si>
  <si>
    <t>RESULTADO FINAL OJT</t>
  </si>
  <si>
    <t>TOTAL LLAMADAS (5 días)</t>
  </si>
  <si>
    <t>TOTAL MATRÍCULAS</t>
  </si>
  <si>
    <t>PROMEDIO ACTITUD</t>
  </si>
  <si>
    <t>PASA OJT</t>
  </si>
  <si>
    <t>OBSERVACIONES FINALES</t>
  </si>
  <si>
    <t xml:space="preserve"> </t>
  </si>
  <si>
    <t>NOTA DE APROBACIÓN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</si>
</sst>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.0"/>
    <numFmt numFmtId="166" formatCode="0.0%"/>
    <numFmt numFmtId="167" formatCode="#,000"/>
  </numFmts>
  <fonts count="25">
    <font>
      <sz val="11"/>
      <color theme="1"/>
      <name val="Calibri"/>
      <charset val="1"/>
    </font>
    <font>
      <b/>
      <sz val="9"/>
      <color rgb="FF1F3D2B"/>
      <name val="Calibri"/>
      <charset val="1"/>
    </font>
    <font>
      <b/>
      <i/>
      <sz val="11"/>
      <color rgb="FF808080"/>
      <name val="Calibri"/>
      <charset val="1"/>
    </font>
    <font>
      <sz val="10"/>
      <color rgb="FF000000"/>
      <name val="Calibri"/>
      <charset val="1"/>
    </font>
    <font>
      <u/>
      <sz val="11"/>
      <color rgb="FF000000"/>
      <name val="Calibri"/>
      <charset val="1"/>
    </font>
    <font>
      <sz val="10"/>
      <color theme="1"/>
      <name val="Calibri"/>
      <charset val="1"/>
    </font>
    <font>
      <b/>
      <sz val="13"/>
      <color rgb="FF1F3D2B"/>
      <name val="Calibri"/>
      <charset val="1"/>
    </font>
    <font>
      <b/>
      <sz val="10"/>
      <color theme="1"/>
      <name val="Calibri"/>
      <charset val="1"/>
    </font>
    <font>
      <b/>
      <sz val="11"/>
      <color theme="1"/>
      <name val="Calibri"/>
      <charset val="1"/>
    </font>
    <font>
      <b/>
      <sz val="9"/>
      <color theme="1"/>
      <name val="Calibri"/>
      <charset val="1"/>
    </font>
    <font>
      <b/>
      <sz val="13"/>
      <color rgb="FF1F3D2B"/>
      <name val="Calibri"/>
      <family val="2"/>
      <charset val="1"/>
    </font>
    <font>
      <b/>
      <sz val="10"/>
      <name val="Calibri"/>
      <charset val="1"/>
    </font>
    <font>
      <b/>
      <sz val="11"/>
      <name val="Calibri"/>
      <charset val="1"/>
    </font>
    <font>
      <sz val="11"/>
      <name val="Calibri"/>
      <charset val="1"/>
    </font>
    <font>
      <b/>
      <sz val="10"/>
      <color rgb="FF1F3D2B"/>
      <name val="Calibri"/>
      <charset val="1"/>
    </font>
    <font>
      <i/>
      <sz val="9"/>
      <color rgb="FF808080"/>
      <name val="Calibri"/>
      <charset val="1"/>
    </font>
    <font>
      <sz val="11"/>
      <color theme="1"/>
      <name val="Calibri"/>
      <charset val="1"/>
    </font>
    <font>
      <b/>
      <sz val="11"/>
      <color theme="1"/>
      <name val="Calibri"/>
      <family val="2"/>
    </font>
    <font>
      <b/>
      <sz val="16"/>
      <color rgb="FF492B00"/>
      <name val="Calibri"/>
      <family val="2"/>
    </font>
    <font>
      <b/>
      <u/>
      <sz val="12"/>
      <color theme="1"/>
      <name val="Calibri"/>
      <family val="2"/>
    </font>
    <font>
      <sz val="11"/>
      <name val="Carlito"/>
    </font>
    <font>
      <b/>
      <sz val="9"/>
      <color rgb="FF1F3D2B"/>
      <name val="Calibri"/>
    </font>
    <font>
      <sz val="10"/>
      <name val="Calibri"/>
    </font>
    <font>
      <b/>
      <sz val="12"/>
      <color rgb="FF1F3D2B"/>
      <name val="Calibri"/>
    </font>
    <font>
      <b/>
      <sz val="9"/>
      <color rgb="FF1F335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A6E3B6"/>
        <bgColor rgb="FFC6EFCE"/>
      </patternFill>
    </fill>
    <fill>
      <patternFill patternType="solid">
        <fgColor rgb="FFD9D9D9"/>
        <bgColor rgb="FFC6EFCE"/>
      </patternFill>
    </fill>
    <fill>
      <patternFill patternType="solid">
        <fgColor rgb="FFF3F3F3"/>
        <bgColor rgb="FFF2F2F2"/>
      </patternFill>
    </fill>
    <fill>
      <patternFill patternType="solid">
        <fgColor rgb="FFFFFFFF"/>
        <bgColor rgb="FFF3F3F3"/>
      </patternFill>
    </fill>
    <fill>
      <patternFill patternType="solid">
        <fgColor rgb="FFF2F2F2"/>
        <bgColor rgb="FFF3F3F3"/>
      </patternFill>
    </fill>
    <fill>
      <patternFill patternType="solid">
        <fgColor rgb="FFFFFFCC"/>
        <bgColor rgb="FFFFFFFF"/>
      </patternFill>
    </fill>
    <fill>
      <patternFill patternType="solid">
        <fgColor rgb="FFF2F2F2"/>
      </patternFill>
    </fill>
    <fill>
      <patternFill patternType="solid">
        <fgColor rgb="FFA6E3B6"/>
      </patternFill>
    </fill>
    <fill>
      <patternFill patternType="solid">
        <fgColor rgb="FFBBD6F2"/>
      </patternFill>
    </fill>
    <fill>
      <patternFill patternType="solid">
        <fgColor rgb="FFFFF7D6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4">
    <xf numFmtId="0" fontId="0" fillId="0" borderId="0"/>
    <xf numFmtId="0" fontId="16" fillId="0" borderId="0"/>
    <xf numFmtId="0" fontId="16" fillId="0" borderId="0"/>
    <xf numFmtId="0" fontId="20" fillId="0" borderId="0"/>
  </cellStyleXfs>
  <cellXfs count="9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164" fontId="3" fillId="3" borderId="1" xfId="0" applyNumberFormat="1" applyFont="1" applyFill="1" applyBorder="1"/>
    <xf numFmtId="49" fontId="3" fillId="3" borderId="1" xfId="0" applyNumberFormat="1" applyFont="1" applyFill="1" applyBorder="1" applyAlignment="1">
      <alignment horizontal="center"/>
    </xf>
    <xf numFmtId="49" fontId="3" fillId="3" borderId="1" xfId="0" applyNumberFormat="1" applyFont="1" applyFill="1" applyBorder="1"/>
    <xf numFmtId="1" fontId="3" fillId="3" borderId="1" xfId="0" applyNumberFormat="1" applyFont="1" applyFill="1" applyBorder="1"/>
    <xf numFmtId="1" fontId="3" fillId="3" borderId="1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/>
    <xf numFmtId="164" fontId="5" fillId="4" borderId="1" xfId="0" applyNumberFormat="1" applyFont="1" applyFill="1" applyBorder="1"/>
    <xf numFmtId="49" fontId="5" fillId="4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/>
    <xf numFmtId="1" fontId="5" fillId="4" borderId="1" xfId="0" applyNumberFormat="1" applyFont="1" applyFill="1" applyBorder="1"/>
    <xf numFmtId="1" fontId="5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164" fontId="5" fillId="0" borderId="1" xfId="0" applyNumberFormat="1" applyFont="1" applyBorder="1"/>
    <xf numFmtId="0" fontId="5" fillId="5" borderId="1" xfId="0" applyFont="1" applyFill="1" applyBorder="1"/>
    <xf numFmtId="49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1" fontId="5" fillId="0" borderId="1" xfId="0" applyNumberFormat="1" applyFont="1" applyBorder="1"/>
    <xf numFmtId="1" fontId="5" fillId="5" borderId="1" xfId="0" applyNumberFormat="1" applyFont="1" applyFill="1" applyBorder="1" applyAlignment="1">
      <alignment horizontal="center"/>
    </xf>
    <xf numFmtId="49" fontId="5" fillId="5" borderId="1" xfId="0" applyNumberFormat="1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49" fontId="5" fillId="0" borderId="1" xfId="0" applyNumberFormat="1" applyFont="1" applyBorder="1"/>
    <xf numFmtId="165" fontId="5" fillId="0" borderId="1" xfId="0" applyNumberFormat="1" applyFont="1" applyBorder="1" applyAlignment="1">
      <alignment horizontal="center"/>
    </xf>
    <xf numFmtId="0" fontId="7" fillId="0" borderId="0" xfId="0" applyFont="1"/>
    <xf numFmtId="0" fontId="5" fillId="6" borderId="0" xfId="0" applyFont="1" applyFill="1" applyAlignment="1">
      <alignment horizontal="center"/>
    </xf>
    <xf numFmtId="166" fontId="5" fillId="6" borderId="0" xfId="0" applyNumberFormat="1" applyFont="1" applyFill="1" applyAlignment="1">
      <alignment horizontal="center"/>
    </xf>
    <xf numFmtId="165" fontId="5" fillId="6" borderId="0" xfId="0" applyNumberFormat="1" applyFont="1" applyFill="1" applyAlignment="1">
      <alignment horizontal="center"/>
    </xf>
    <xf numFmtId="0" fontId="8" fillId="0" borderId="0" xfId="0" applyFont="1"/>
    <xf numFmtId="0" fontId="9" fillId="2" borderId="0" xfId="0" applyFont="1" applyFill="1"/>
    <xf numFmtId="0" fontId="5" fillId="0" borderId="0" xfId="0" applyFont="1"/>
    <xf numFmtId="166" fontId="5" fillId="0" borderId="0" xfId="0" applyNumberFormat="1" applyFont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165" fontId="0" fillId="0" borderId="0" xfId="0" applyNumberFormat="1"/>
    <xf numFmtId="0" fontId="12" fillId="2" borderId="0" xfId="0" applyFont="1" applyFill="1"/>
    <xf numFmtId="0" fontId="13" fillId="0" borderId="0" xfId="0" applyFont="1"/>
    <xf numFmtId="166" fontId="0" fillId="0" borderId="0" xfId="0" applyNumberFormat="1"/>
    <xf numFmtId="0" fontId="0" fillId="2" borderId="0" xfId="0" applyFill="1"/>
    <xf numFmtId="166" fontId="0" fillId="2" borderId="0" xfId="0" applyNumberFormat="1" applyFill="1"/>
    <xf numFmtId="165" fontId="0" fillId="2" borderId="0" xfId="0" applyNumberFormat="1" applyFill="1"/>
    <xf numFmtId="0" fontId="14" fillId="7" borderId="0" xfId="0" applyFont="1" applyFill="1" applyAlignment="1">
      <alignment horizontal="center"/>
    </xf>
    <xf numFmtId="0" fontId="15" fillId="0" borderId="0" xfId="0" applyFont="1"/>
    <xf numFmtId="0" fontId="9" fillId="0" borderId="0" xfId="0" applyFont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vertical="center" wrapText="1"/>
    </xf>
    <xf numFmtId="9" fontId="8" fillId="0" borderId="0" xfId="0" applyNumberFormat="1" applyFon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167" fontId="0" fillId="0" borderId="0" xfId="0" applyNumberForma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3"/>
    <xf numFmtId="0" fontId="21" fillId="9" borderId="1" xfId="3" applyFont="1" applyFill="1" applyBorder="1" applyAlignment="1">
      <alignment horizontal="center" vertical="center" wrapText="1"/>
    </xf>
    <xf numFmtId="0" fontId="22" fillId="0" borderId="1" xfId="3" applyFont="1" applyBorder="1" applyAlignment="1">
      <alignment horizontal="center" vertical="center"/>
    </xf>
    <xf numFmtId="0" fontId="22" fillId="0" borderId="1" xfId="3" applyFont="1" applyBorder="1" applyAlignment="1">
      <alignment vertical="center" wrapText="1"/>
    </xf>
    <xf numFmtId="164" fontId="22" fillId="0" borderId="1" xfId="3" applyNumberFormat="1" applyFont="1" applyBorder="1" applyAlignment="1">
      <alignment horizontal="center" vertical="center"/>
    </xf>
    <xf numFmtId="1" fontId="22" fillId="0" borderId="1" xfId="3" applyNumberFormat="1" applyFont="1" applyBorder="1" applyAlignment="1">
      <alignment horizontal="center" vertical="center"/>
    </xf>
    <xf numFmtId="0" fontId="22" fillId="8" borderId="1" xfId="3" applyFont="1" applyFill="1" applyBorder="1" applyAlignment="1">
      <alignment horizontal="center" vertical="center"/>
    </xf>
    <xf numFmtId="0" fontId="22" fillId="8" borderId="1" xfId="3" applyFont="1" applyFill="1" applyBorder="1" applyAlignment="1">
      <alignment vertical="center" wrapText="1"/>
    </xf>
    <xf numFmtId="164" fontId="22" fillId="8" borderId="1" xfId="3" applyNumberFormat="1" applyFont="1" applyFill="1" applyBorder="1" applyAlignment="1">
      <alignment horizontal="center" vertical="center"/>
    </xf>
    <xf numFmtId="1" fontId="22" fillId="8" borderId="1" xfId="3" applyNumberFormat="1" applyFont="1" applyFill="1" applyBorder="1" applyAlignment="1">
      <alignment horizontal="center" vertical="center"/>
    </xf>
    <xf numFmtId="0" fontId="23" fillId="0" borderId="0" xfId="3" applyFont="1" applyAlignment="1">
      <alignment vertical="center"/>
    </xf>
    <xf numFmtId="0" fontId="24" fillId="10" borderId="1" xfId="3" applyFont="1" applyFill="1" applyBorder="1" applyAlignment="1">
      <alignment horizontal="center" vertical="center" wrapText="1"/>
    </xf>
    <xf numFmtId="49" fontId="22" fillId="0" borderId="1" xfId="3" applyNumberFormat="1" applyFont="1" applyBorder="1" applyAlignment="1">
      <alignment vertical="center"/>
    </xf>
    <xf numFmtId="0" fontId="22" fillId="0" borderId="1" xfId="3" applyFont="1" applyBorder="1" applyAlignment="1">
      <alignment vertical="center"/>
    </xf>
    <xf numFmtId="165" fontId="22" fillId="0" borderId="1" xfId="3" applyNumberFormat="1" applyFont="1" applyBorder="1" applyAlignment="1">
      <alignment horizontal="center" vertical="center"/>
    </xf>
    <xf numFmtId="0" fontId="22" fillId="11" borderId="1" xfId="3" applyFont="1" applyFill="1" applyBorder="1" applyAlignment="1">
      <alignment horizontal="center" vertical="center"/>
    </xf>
    <xf numFmtId="0" fontId="22" fillId="11" borderId="1" xfId="3" applyFont="1" applyFill="1" applyBorder="1" applyAlignment="1">
      <alignment vertical="center" wrapText="1"/>
    </xf>
    <xf numFmtId="0" fontId="5" fillId="0" borderId="4" xfId="0" applyFont="1" applyBorder="1"/>
    <xf numFmtId="49" fontId="5" fillId="0" borderId="4" xfId="0" applyNumberFormat="1" applyFont="1" applyBorder="1"/>
    <xf numFmtId="0" fontId="6" fillId="0" borderId="0" xfId="0" applyFont="1"/>
    <xf numFmtId="0" fontId="22" fillId="0" borderId="1" xfId="3" applyFont="1" applyBorder="1" applyAlignment="1">
      <alignment horizontal="center" vertical="center"/>
    </xf>
    <xf numFmtId="0" fontId="22" fillId="0" borderId="1" xfId="3" applyFont="1" applyBorder="1" applyAlignment="1">
      <alignment vertical="center" wrapText="1"/>
    </xf>
    <xf numFmtId="49" fontId="22" fillId="0" borderId="1" xfId="3" applyNumberFormat="1" applyFont="1" applyBorder="1" applyAlignment="1">
      <alignment vertical="center" wrapText="1"/>
    </xf>
    <xf numFmtId="0" fontId="22" fillId="8" borderId="1" xfId="3" applyFont="1" applyFill="1" applyBorder="1" applyAlignment="1">
      <alignment horizontal="center" vertical="center"/>
    </xf>
    <xf numFmtId="0" fontId="22" fillId="8" borderId="1" xfId="3" applyFont="1" applyFill="1" applyBorder="1" applyAlignment="1">
      <alignment vertical="center" wrapText="1"/>
    </xf>
    <xf numFmtId="49" fontId="22" fillId="8" borderId="1" xfId="3" applyNumberFormat="1" applyFont="1" applyFill="1" applyBorder="1" applyAlignment="1">
      <alignment vertical="center" wrapText="1"/>
    </xf>
    <xf numFmtId="1" fontId="22" fillId="0" borderId="1" xfId="3" applyNumberFormat="1" applyFont="1" applyBorder="1" applyAlignment="1">
      <alignment vertical="center" wrapText="1"/>
    </xf>
    <xf numFmtId="1" fontId="22" fillId="8" borderId="1" xfId="3" applyNumberFormat="1" applyFont="1" applyFill="1" applyBorder="1" applyAlignment="1">
      <alignment vertical="center" wrapText="1"/>
    </xf>
    <xf numFmtId="1" fontId="20" fillId="0" borderId="0" xfId="3" applyNumberFormat="1"/>
    <xf numFmtId="1" fontId="23" fillId="0" borderId="0" xfId="3" applyNumberFormat="1" applyFont="1" applyAlignment="1">
      <alignment vertical="center"/>
    </xf>
    <xf numFmtId="1" fontId="24" fillId="10" borderId="1" xfId="3" applyNumberFormat="1" applyFont="1" applyFill="1" applyBorder="1" applyAlignment="1">
      <alignment horizontal="center" vertical="center" wrapText="1"/>
    </xf>
    <xf numFmtId="1" fontId="22" fillId="0" borderId="1" xfId="3" applyNumberFormat="1" applyFont="1" applyBorder="1" applyAlignment="1">
      <alignment vertical="center"/>
    </xf>
  </cellXfs>
  <cellStyles count="4">
    <cellStyle name="Normal" xfId="0" builtinId="0"/>
    <cellStyle name="Normal 2" xfId="3" xr:uid="{C7727FE9-94CD-40D2-B889-BE0F1958CB96}"/>
    <cellStyle name="Pivot Table Corner" xfId="1" xr:uid="{00000000-0005-0000-0000-000006000000}"/>
    <cellStyle name="Pivot Table Value" xfId="2" xr:uid="{00000000-0005-0000-0000-000007000000}"/>
  </cellStyles>
  <dxfs count="4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1F7A3D"/>
      </font>
      <fill>
        <patternFill patternType="solid">
          <bgColor rgb="FFC6EFCE"/>
        </patternFill>
      </fill>
    </dxf>
    <dxf>
      <font>
        <b/>
        <color rgb="FF9C0006"/>
        <name val="Calibri"/>
        <charset val="1"/>
      </font>
      <fill>
        <patternFill>
          <bgColor rgb="FFFFC7CE"/>
        </patternFill>
      </fill>
    </dxf>
    <dxf>
      <font>
        <b/>
        <color rgb="FF1F7A3D"/>
        <name val="Calibr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1F7A3D"/>
      <rgbColor rgb="FF000080"/>
      <rgbColor rgb="FF808000"/>
      <rgbColor rgb="FF800080"/>
      <rgbColor rgb="FF00B050"/>
      <rgbColor rgb="FFBFBFBF"/>
      <rgbColor rgb="FF808080"/>
      <rgbColor rgb="FF95B3D7"/>
      <rgbColor rgb="FF993366"/>
      <rgbColor rgb="FFFFFFCC"/>
      <rgbColor rgb="FFF2F2F2"/>
      <rgbColor rgb="FF660066"/>
      <rgbColor rgb="FFFF8080"/>
      <rgbColor rgb="FF1565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6EFCE"/>
      <rgbColor rgb="FFA6E3B6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4572A7"/>
      <rgbColor rgb="FF6A90C3"/>
      <rgbColor rgb="FF003366"/>
      <rgbColor rgb="FF2E7D32"/>
      <rgbColor rgb="FF003300"/>
      <rgbColor rgb="FF1F3D2B"/>
      <rgbColor rgb="FF993300"/>
      <rgbColor rgb="FF993366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O" sz="1600" b="1" strike="noStrike" spc="97">
                <a:solidFill>
                  <a:srgbClr val="F2F2F2"/>
                </a:solidFill>
                <a:latin typeface="Calibri"/>
                <a:ea typeface="Calibri"/>
              </a:defRPr>
            </a:pPr>
            <a:r>
              <a:rPr lang="es-CO" sz="1600" b="1" strike="noStrike" spc="97">
                <a:solidFill>
                  <a:srgbClr val="F2F2F2"/>
                </a:solidFill>
                <a:latin typeface="Calibri"/>
                <a:ea typeface="Calibri"/>
              </a:rPr>
              <a:t>Aprobados por Campaña (OJT)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OJT'!$B$10</c:f>
              <c:strCache>
                <c:ptCount val="1"/>
                <c:pt idx="0">
                  <c:v>N° aprobados</c:v>
                </c:pt>
              </c:strCache>
            </c:strRef>
          </c:tx>
          <c:spPr>
            <a:gradFill>
              <a:gsLst>
                <a:gs pos="0">
                  <a:srgbClr val="6A90C3"/>
                </a:gs>
                <a:gs pos="50000">
                  <a:srgbClr val="4E80BC"/>
                </a:gs>
                <a:gs pos="100000">
                  <a:srgbClr val="4572A7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endParaRPr lang="es-CO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OJT'!$A$11:$A$14</c:f>
              <c:strCache>
                <c:ptCount val="4"/>
                <c:pt idx="0">
                  <c:v>Pregrado Virtual</c:v>
                </c:pt>
                <c:pt idx="1">
                  <c:v>Pregrado Presencial</c:v>
                </c:pt>
                <c:pt idx="2">
                  <c:v>Posgrados</c:v>
                </c:pt>
                <c:pt idx="3">
                  <c:v>Comercial B2B</c:v>
                </c:pt>
              </c:strCache>
            </c:strRef>
          </c:cat>
          <c:val>
            <c:numRef>
              <c:f>'Resumen OJT'!$B$11:$B$14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15-473C-AA3D-0B14D33FC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2760350"/>
        <c:axId val="91443856"/>
      </c:barChart>
      <c:catAx>
        <c:axId val="327603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rPr>
                  <a:t>Campaña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>
                <a:alpha val="54000"/>
              </a:srgbClr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  <a:ea typeface="Calibri"/>
              </a:defRPr>
            </a:pPr>
            <a:endParaRPr lang="es-CO"/>
          </a:p>
        </c:txPr>
        <c:crossAx val="91443856"/>
        <c:crosses val="autoZero"/>
        <c:auto val="1"/>
        <c:lblAlgn val="ctr"/>
        <c:lblOffset val="100"/>
        <c:noMultiLvlLbl val="0"/>
      </c:catAx>
      <c:valAx>
        <c:axId val="91443856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>
                  <a:alpha val="10000"/>
                </a:srgbClr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rPr>
                  <a:t>N° aprobados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  <a:ea typeface="Calibri"/>
              </a:defRPr>
            </a:pPr>
            <a:endParaRPr lang="es-CO"/>
          </a:p>
        </c:txPr>
        <c:crossAx val="327603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O" sz="1500" b="1" strike="noStrike" spc="97">
                <a:solidFill>
                  <a:srgbClr val="FFFFFF"/>
                </a:solidFill>
                <a:latin typeface="Calibri"/>
                <a:ea typeface="Calibri"/>
              </a:defRPr>
            </a:pPr>
            <a:r>
              <a:rPr lang="es-CO" sz="1500" b="1" strike="noStrike" spc="97">
                <a:solidFill>
                  <a:srgbClr val="FFFFFF"/>
                </a:solidFill>
                <a:latin typeface="Calibri"/>
                <a:ea typeface="Calibri"/>
              </a:rPr>
              <a:t>Nota Promedio por Campaña (OJT)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OJT'!$D$10</c:f>
              <c:strCache>
                <c:ptCount val="1"/>
                <c:pt idx="0">
                  <c:v>Nota promedio</c:v>
                </c:pt>
              </c:strCache>
            </c:strRef>
          </c:tx>
          <c:spPr>
            <a:pattFill prst="ltUpDiag">
              <a:fgClr>
                <a:srgbClr val="4F81BD"/>
              </a:fgClr>
              <a:bgClr>
                <a:srgbClr val="FFFFFF"/>
              </a:bgClr>
            </a:pattFill>
            <a:ln w="0">
              <a:noFill/>
            </a:ln>
          </c:spPr>
          <c:invertIfNegative val="0"/>
          <c:dLbls>
            <c:spPr>
              <a:solidFill>
                <a:srgbClr val="4F81BD"/>
              </a:solidFill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endParaRPr lang="es-CO"/>
              </a:p>
            </c:txPr>
            <c:dLblPos val="in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OJT'!$A$11:$A$14</c:f>
              <c:strCache>
                <c:ptCount val="4"/>
                <c:pt idx="0">
                  <c:v>Pregrado Virtual</c:v>
                </c:pt>
                <c:pt idx="1">
                  <c:v>Pregrado Presencial</c:v>
                </c:pt>
                <c:pt idx="2">
                  <c:v>Posgrados</c:v>
                </c:pt>
                <c:pt idx="3">
                  <c:v>Comercial B2B</c:v>
                </c:pt>
              </c:strCache>
            </c:strRef>
          </c:cat>
          <c:val>
            <c:numRef>
              <c:f>'Resumen OJT'!$D$11:$D$14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1C-41F0-AB9C-EE22D8C0B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86959842"/>
        <c:axId val="58320478"/>
      </c:barChart>
      <c:catAx>
        <c:axId val="86959842"/>
        <c:scaling>
          <c:orientation val="minMax"/>
        </c:scaling>
        <c:delete val="0"/>
        <c:axPos val="b"/>
        <c:majorGridlines>
          <c:spPr>
            <a:ln w="9360">
              <a:solidFill>
                <a:srgbClr val="FFFFFF">
                  <a:alpha val="25000"/>
                </a:srgbClr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rPr>
                  <a:t>Campaña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3240">
            <a:solidFill>
              <a:srgbClr val="95B3D7"/>
            </a:solidFill>
            <a:round/>
          </a:ln>
        </c:spPr>
        <c:txPr>
          <a:bodyPr/>
          <a:lstStyle/>
          <a:p>
            <a:pPr>
              <a:defRPr sz="800" b="0" strike="noStrike" spc="148">
                <a:solidFill>
                  <a:srgbClr val="FFFFFF"/>
                </a:solidFill>
                <a:latin typeface="Calibri"/>
                <a:ea typeface="Calibri"/>
              </a:defRPr>
            </a:pPr>
            <a:endParaRPr lang="es-CO"/>
          </a:p>
        </c:txPr>
        <c:crossAx val="58320478"/>
        <c:crosses val="autoZero"/>
        <c:auto val="1"/>
        <c:lblAlgn val="ctr"/>
        <c:lblOffset val="100"/>
        <c:noMultiLvlLbl val="0"/>
      </c:catAx>
      <c:valAx>
        <c:axId val="5832047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rPr>
                  <a:t>Nota promedio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FFFFFF"/>
                </a:solidFill>
                <a:latin typeface="Calibri"/>
                <a:ea typeface="Calibri"/>
              </a:defRPr>
            </a:pPr>
            <a:endParaRPr lang="es-CO"/>
          </a:p>
        </c:txPr>
        <c:crossAx val="869598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4F81BD"/>
    </a:solidFill>
    <a:ln w="9360">
      <a:solidFill>
        <a:srgbClr val="4F81BD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4</xdr:col>
      <xdr:colOff>895320</xdr:colOff>
      <xdr:row>33</xdr:row>
      <xdr:rowOff>190800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314280</xdr:colOff>
      <xdr:row>17</xdr:row>
      <xdr:rowOff>0</xdr:rowOff>
    </xdr:from>
    <xdr:to>
      <xdr:col>14</xdr:col>
      <xdr:colOff>266760</xdr:colOff>
      <xdr:row>33</xdr:row>
      <xdr:rowOff>190800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EISON HERNAN OLAYA TRIVIÑO" refreshedDate="46230.36518414352" createdVersion="5" refreshedVersion="8" minRefreshableVersion="3" recordCount="34" xr:uid="{1024A13E-882A-4306-B6E8-06F8521C38FA}">
  <cacheSource type="worksheet">
    <worksheetSource ref="A1:R35" sheet="Registro"/>
  </cacheSource>
  <cacheFields count="18">
    <cacheField name="No." numFmtId="0">
      <sharedItems containsSemiMixedTypes="0" containsString="0" containsNumber="1" containsInteger="1" minValue="1" maxValue="34"/>
    </cacheField>
    <cacheField name="CAMPAÑA" numFmtId="0">
      <sharedItems count="2">
        <s v="Posgrados"/>
        <s v="Pregrado Virtual"/>
      </sharedItems>
    </cacheField>
    <cacheField name="FECHA DE INGRESO A FORMACIÓN" numFmtId="164">
      <sharedItems containsSemiMixedTypes="0" containsNonDate="0" containsDate="1" containsString="0" minDate="2026-07-01T00:00:00" maxDate="2026-07-22T00:00:00"/>
    </cacheField>
    <cacheField name="CARGO" numFmtId="0">
      <sharedItems count="1">
        <s v="Auxiliar gestor  de vinculaciones"/>
      </sharedItems>
    </cacheField>
    <cacheField name="No. DOCUMENTO" numFmtId="49">
      <sharedItems containsSemiMixedTypes="0" containsString="0" containsNumber="1" containsInteger="1" minValue="52956322" maxValue="10191156098"/>
    </cacheField>
    <cacheField name="NOMBRE COMPLETO" numFmtId="0">
      <sharedItems/>
    </cacheField>
    <cacheField name="CORREO ELECTRÓNICO" numFmtId="0">
      <sharedItems/>
    </cacheField>
    <cacheField name="TELÉFONO MÓVIL" numFmtId="0">
      <sharedItems containsMixedTypes="1" containsNumber="1" containsInteger="1" minValue="3003020830" maxValue="3506517824"/>
    </cacheField>
    <cacheField name="FORMADOR" numFmtId="0">
      <sharedItems/>
    </cacheField>
    <cacheField name="PRESENTACIÓN PERSONAL 5%" numFmtId="1">
      <sharedItems containsSemiMixedTypes="0" containsString="0" containsNumber="1" containsInteger="1" minValue="3" maxValue="5"/>
    </cacheField>
    <cacheField name="PARTICIPACIÓN Y PUNTUALIDAD 10%" numFmtId="1">
      <sharedItems containsString="0" containsBlank="1" containsNumber="1" containsInteger="1" minValue="2" maxValue="5"/>
    </cacheField>
    <cacheField name="EVALUACIÓN CONOCIMIENTO (DIA 2) 5%" numFmtId="1">
      <sharedItems containsString="0" containsBlank="1" containsNumber="1" containsInteger="1" minValue="2" maxValue="5"/>
    </cacheField>
    <cacheField name="EVALUACIÓN TÉCNICA 10%" numFmtId="1">
      <sharedItems containsString="0" containsBlank="1" containsNumber="1" containsInteger="1" minValue="3" maxValue="5"/>
    </cacheField>
    <cacheField name="SIMULACIÓN CON IA 20%" numFmtId="0">
      <sharedItems containsBlank="1" containsMixedTypes="1" containsNumber="1" containsInteger="1" minValue="2" maxValue="5"/>
    </cacheField>
    <cacheField name="EVALUACIÓN FINAL (CLÍNICA DE VENTAS) 50%" numFmtId="1">
      <sharedItems containsString="0" containsBlank="1" containsNumber="1" containsInteger="1" minValue="1" maxValue="4"/>
    </cacheField>
    <cacheField name="NOTA FINAL" numFmtId="1">
      <sharedItems containsMixedTypes="1" containsNumber="1" containsInteger="1" minValue="3" maxValue="94"/>
    </cacheField>
    <cacheField name="APRUEBA" numFmtId="0">
      <sharedItems count="3">
        <s v="Aprueba"/>
        <s v="No aprueba"/>
        <e v="#VALUE!"/>
      </sharedItems>
    </cacheField>
    <cacheField name="OBSERVACION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EISON HERNAN OLAYA TRIVIÑO" refreshedDate="46230.365198726853" createdVersion="5" refreshedVersion="8" minRefreshableVersion="3" recordCount="13" xr:uid="{FF4D2FCE-CC14-4EEB-8DB7-EBB1E93BE88C}">
  <cacheSource type="worksheet">
    <worksheetSource ref="A1:H14" sheet="OJT_APROBADOS"/>
  </cacheSource>
  <cacheFields count="8">
    <cacheField name="No. DOCUMENTO" numFmtId="0">
      <sharedItems containsSemiMixedTypes="0" containsString="0" containsNumber="1" containsInteger="1" minValue="53121281" maxValue="1193156026"/>
    </cacheField>
    <cacheField name="NOMBRE COMPLETO" numFmtId="0">
      <sharedItems/>
    </cacheField>
    <cacheField name="CORREO ELECTRÓNICO" numFmtId="0">
      <sharedItems/>
    </cacheField>
    <cacheField name="TELÉFONO MÓVIL" numFmtId="0">
      <sharedItems containsMixedTypes="1" containsNumber="1" containsInteger="1" minValue="3054399778" maxValue="3506517824"/>
    </cacheField>
    <cacheField name="FECHA DE INGRESO A FORMACIÓN" numFmtId="164">
      <sharedItems containsSemiMixedTypes="0" containsNonDate="0" containsDate="1" containsString="0" minDate="2026-07-01T00:00:00" maxDate="2026-07-09T00:00:00"/>
    </cacheField>
    <cacheField name="CAMPAÑA" numFmtId="0">
      <sharedItems count="1">
        <s v="Posgrados"/>
      </sharedItems>
    </cacheField>
    <cacheField name="NOTA FINAL" numFmtId="1">
      <sharedItems containsSemiMixedTypes="0" containsString="0" containsNumber="1" containsInteger="1" minValue="70" maxValue="94"/>
    </cacheField>
    <cacheField name="APRUEBA" numFmtId="0">
      <sharedItems count="1">
        <s v="Aprueb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n v="1"/>
    <x v="0"/>
    <d v="2026-07-01T00:00:00"/>
    <x v="0"/>
    <n v="1193156026"/>
    <s v="Sara Isabel Molina Sánchez"/>
    <s v="Molinasara453@gmail.com"/>
    <n v="3245742876"/>
    <s v="Todas"/>
    <n v="4"/>
    <n v="5"/>
    <m/>
    <n v="4"/>
    <n v="5"/>
    <n v="3"/>
    <n v="72"/>
    <x v="0"/>
    <m/>
  </r>
  <r>
    <n v="2"/>
    <x v="0"/>
    <d v="2026-07-01T00:00:00"/>
    <x v="0"/>
    <n v="1022988349"/>
    <s v="Michelle Geraldine Bejarano Torres"/>
    <s v="michelletorres2593@hotmail.com"/>
    <n v="3123702518"/>
    <s v="Todas"/>
    <n v="4"/>
    <n v="2"/>
    <m/>
    <n v="4"/>
    <n v="4"/>
    <n v="3"/>
    <n v="62"/>
    <x v="1"/>
    <m/>
  </r>
  <r>
    <n v="3"/>
    <x v="0"/>
    <d v="2026-07-01T00:00:00"/>
    <x v="0"/>
    <n v="1016001652"/>
    <s v="Helen Sofia Calderon Camelo"/>
    <s v="helencalderon910@gmail.com"/>
    <s v="‪3239227093‬"/>
    <s v="Todas"/>
    <n v="4"/>
    <n v="4"/>
    <m/>
    <n v="4"/>
    <n v="5"/>
    <n v="3"/>
    <n v="70"/>
    <x v="0"/>
    <m/>
  </r>
  <r>
    <n v="4"/>
    <x v="0"/>
    <d v="2026-07-01T00:00:00"/>
    <x v="0"/>
    <n v="1012385263"/>
    <s v="Cindy Paola Cuellar Montoya"/>
    <s v="Cindypaolacuellar@gmail.com"/>
    <n v="3172616867"/>
    <s v="Todas"/>
    <n v="3"/>
    <n v="3"/>
    <m/>
    <n v="3"/>
    <n v="5"/>
    <n v="3"/>
    <n v="65"/>
    <x v="1"/>
    <s v="Llega tarde "/>
  </r>
  <r>
    <n v="5"/>
    <x v="0"/>
    <d v="2026-07-01T00:00:00"/>
    <x v="0"/>
    <n v="1001314657"/>
    <s v="Thomas Bernardo Fernandez Laverde"/>
    <s v="tfernandezlaverde@gmail.com"/>
    <n v="3103798566"/>
    <s v="Todas"/>
    <n v="4"/>
    <n v="5"/>
    <m/>
    <n v="4"/>
    <n v="5"/>
    <n v="3"/>
    <n v="72"/>
    <x v="0"/>
    <m/>
  </r>
  <r>
    <n v="6"/>
    <x v="0"/>
    <d v="2026-07-01T00:00:00"/>
    <x v="0"/>
    <n v="52956322"/>
    <s v="Julie Caterine Villalobos Ortiz"/>
    <s v="Juliecaterine23@gmail.com"/>
    <n v="3213264788"/>
    <s v="Todas"/>
    <n v="5"/>
    <n v="5"/>
    <m/>
    <n v="4"/>
    <n v="4"/>
    <n v="3"/>
    <n v="69"/>
    <x v="1"/>
    <m/>
  </r>
  <r>
    <n v="7"/>
    <x v="0"/>
    <d v="2026-07-01T00:00:00"/>
    <x v="0"/>
    <n v="10191156098"/>
    <s v="Yaricet Bricet Cárcamo Morales"/>
    <s v="Yaricetbricet@gmail.com"/>
    <n v="3008533917"/>
    <s v="Todas"/>
    <n v="4"/>
    <n v="4"/>
    <m/>
    <n v="4"/>
    <n v="3"/>
    <n v="3"/>
    <n v="62"/>
    <x v="1"/>
    <m/>
  </r>
  <r>
    <n v="8"/>
    <x v="0"/>
    <d v="2026-07-01T00:00:00"/>
    <x v="0"/>
    <n v="1033096735"/>
    <s v="Pablo Steven Ochoa Rodriguez"/>
    <s v="Pablorodriguez8q@gmail.com"/>
    <n v="3196588439"/>
    <s v="Todas"/>
    <n v="3"/>
    <n v="4"/>
    <m/>
    <n v="5"/>
    <n v="5"/>
    <n v="4"/>
    <n v="81"/>
    <x v="0"/>
    <m/>
  </r>
  <r>
    <n v="9"/>
    <x v="0"/>
    <d v="2026-07-01T00:00:00"/>
    <x v="0"/>
    <n v="1000219286"/>
    <s v="Lucia Fernanda Cruz Canchila"/>
    <s v="Luciacruz0414@gmail.com"/>
    <n v="3005145730"/>
    <s v="Todas"/>
    <n v="4"/>
    <n v="2"/>
    <m/>
    <n v="5"/>
    <n v="5"/>
    <n v="3"/>
    <n v="68"/>
    <x v="1"/>
    <s v="Llega tarde "/>
  </r>
  <r>
    <n v="10"/>
    <x v="0"/>
    <d v="2026-07-01T00:00:00"/>
    <x v="0"/>
    <n v="1004961429"/>
    <s v="Jhon Stiven Marin Valencia"/>
    <s v="jhonstivenmarin02@gmail.com"/>
    <n v="3219466413"/>
    <s v="Todas"/>
    <n v="3"/>
    <n v="3"/>
    <m/>
    <n v="4"/>
    <n v="4"/>
    <n v="4"/>
    <n v="73"/>
    <x v="0"/>
    <s v="Llega tarde "/>
  </r>
  <r>
    <n v="11"/>
    <x v="0"/>
    <d v="2026-07-01T00:00:00"/>
    <x v="0"/>
    <n v="53121281"/>
    <s v="Yulieth Paola Rodriguez Cañon"/>
    <s v="ypaolarodriguez14@gmail.com"/>
    <n v="3112142736"/>
    <s v="Todas"/>
    <n v="4"/>
    <n v="4"/>
    <m/>
    <n v="3"/>
    <n v="5"/>
    <n v="4"/>
    <n v="78"/>
    <x v="0"/>
    <m/>
  </r>
  <r>
    <n v="12"/>
    <x v="0"/>
    <d v="2026-07-01T00:00:00"/>
    <x v="0"/>
    <n v="1019138287"/>
    <s v="Natalia Fernanda Mendieta Oicata"/>
    <s v="nataliamendieta2025@gmail.com"/>
    <n v="3003020830"/>
    <s v="Todas"/>
    <n v="5"/>
    <n v="5"/>
    <m/>
    <n v="3"/>
    <n v="4"/>
    <n v="3"/>
    <n v="67"/>
    <x v="1"/>
    <m/>
  </r>
  <r>
    <n v="13"/>
    <x v="0"/>
    <d v="2026-07-08T00:00:00"/>
    <x v="0"/>
    <n v="1019145849"/>
    <s v="Jhonatan David Londoño Baldovino"/>
    <s v="Jdlbaldovino199@gmail.com"/>
    <n v="3208836403"/>
    <s v="Todas"/>
    <n v="4"/>
    <n v="4"/>
    <n v="3"/>
    <n v="3"/>
    <n v="3"/>
    <n v="2"/>
    <n v="62"/>
    <x v="1"/>
    <m/>
  </r>
  <r>
    <n v="14"/>
    <x v="0"/>
    <d v="2026-07-08T00:00:00"/>
    <x v="0"/>
    <n v="1001056884"/>
    <s v="David Felipe Hernández Hernández"/>
    <s v="david.hernandez.dtk@gmail.com"/>
    <n v="3028250517"/>
    <s v="Todas"/>
    <n v="4"/>
    <n v="4"/>
    <n v="3"/>
    <n v="3"/>
    <n v="3"/>
    <n v="3"/>
    <n v="63"/>
    <x v="1"/>
    <m/>
  </r>
  <r>
    <n v="15"/>
    <x v="0"/>
    <d v="2026-07-08T00:00:00"/>
    <x v="0"/>
    <n v="1024585365"/>
    <s v="Cristian David Celis Garcia"/>
    <s v="cristianceliss9719@gmail.com"/>
    <n v="3216686201"/>
    <s v="Todas"/>
    <n v="4"/>
    <n v="4"/>
    <n v="3"/>
    <n v="3"/>
    <n v="4"/>
    <n v="3"/>
    <n v="73"/>
    <x v="0"/>
    <s v="Llega tarde "/>
  </r>
  <r>
    <n v="16"/>
    <x v="0"/>
    <d v="2026-07-08T00:00:00"/>
    <x v="0"/>
    <n v="1000547797"/>
    <s v="Kamy Lizeth Rios Gomez"/>
    <s v="riosgomezkamy@gmail.com"/>
    <n v="3112534635"/>
    <s v="Todas"/>
    <n v="5"/>
    <n v="4"/>
    <n v="2"/>
    <n v="5"/>
    <n v="5"/>
    <n v="3"/>
    <n v="90"/>
    <x v="0"/>
    <m/>
  </r>
  <r>
    <n v="17"/>
    <x v="0"/>
    <d v="2026-07-08T00:00:00"/>
    <x v="0"/>
    <n v="1023867138"/>
    <s v="Yisell Dayana Castro González"/>
    <s v="Gonzalezdayanna730@gmail.com"/>
    <n v="3143600585"/>
    <s v="Todas"/>
    <n v="4"/>
    <n v="4"/>
    <n v="3"/>
    <n v="3"/>
    <n v="4"/>
    <n v="2"/>
    <n v="72"/>
    <x v="0"/>
    <m/>
  </r>
  <r>
    <n v="18"/>
    <x v="0"/>
    <d v="2026-07-08T00:00:00"/>
    <x v="0"/>
    <n v="1000810776"/>
    <s v="Nataly Andrea Maecha Lizarazo"/>
    <s v="natamahecha23@gmail.com"/>
    <n v="3204984051"/>
    <s v="Todas"/>
    <n v="4"/>
    <n v="4"/>
    <n v="2"/>
    <n v="4"/>
    <n v="4"/>
    <n v="2"/>
    <n v="74"/>
    <x v="0"/>
    <m/>
  </r>
  <r>
    <n v="19"/>
    <x v="0"/>
    <d v="2026-07-08T00:00:00"/>
    <x v="0"/>
    <n v="1001271946"/>
    <s v="Luisa Fernanda Rodríguez Sarmiento"/>
    <s v="feryantonella13@gmail.com"/>
    <n v="3054399778"/>
    <s v="Todas"/>
    <n v="3"/>
    <n v="5"/>
    <n v="3"/>
    <n v="3"/>
    <n v="4"/>
    <n v="3"/>
    <n v="74"/>
    <x v="0"/>
    <s v="Presentación personal"/>
  </r>
  <r>
    <n v="20"/>
    <x v="0"/>
    <d v="2026-07-08T00:00:00"/>
    <x v="0"/>
    <n v="1117813165"/>
    <s v="Yedinson Stiven Ramirez Perdómo"/>
    <s v="kramirezperdomo@gmail.com"/>
    <n v="3506517824"/>
    <s v="Todas"/>
    <n v="5"/>
    <n v="5"/>
    <n v="3"/>
    <n v="5"/>
    <n v="5"/>
    <n v="3"/>
    <n v="94"/>
    <x v="0"/>
    <m/>
  </r>
  <r>
    <n v="21"/>
    <x v="0"/>
    <d v="2026-07-08T00:00:00"/>
    <x v="0"/>
    <n v="1045686807"/>
    <s v="Gisell Del Carmen Cabrera Maldonado"/>
    <s v="cgisell890@gmail.com"/>
    <n v="3017718956"/>
    <s v="Todas"/>
    <n v="4"/>
    <n v="3"/>
    <n v="5"/>
    <n v="4"/>
    <n v="2"/>
    <n v="2"/>
    <n v="58"/>
    <x v="1"/>
    <s v="Actitud"/>
  </r>
  <r>
    <n v="22"/>
    <x v="0"/>
    <d v="2026-07-08T00:00:00"/>
    <x v="0"/>
    <n v="1070595836"/>
    <s v="Hebert Julián Casilimas Ricardo"/>
    <s v="julian180703@icloud.com"/>
    <n v="3229087879"/>
    <s v="Todas"/>
    <n v="4"/>
    <n v="4"/>
    <n v="3"/>
    <n v="5"/>
    <n v="5"/>
    <n v="3"/>
    <n v="91"/>
    <x v="0"/>
    <m/>
  </r>
  <r>
    <n v="23"/>
    <x v="0"/>
    <d v="2026-07-08T00:00:00"/>
    <x v="0"/>
    <n v="1140850536"/>
    <s v="Nelvis Mirleth Gutiérrez Orozco"/>
    <s v="Milrthgutierrez@gmail.com"/>
    <n v="3028092333"/>
    <s v="Todas"/>
    <n v="3"/>
    <n v="3"/>
    <n v="2"/>
    <n v="3"/>
    <n v="3"/>
    <n v="1"/>
    <n v="56"/>
    <x v="1"/>
    <s v="Actitud "/>
  </r>
  <r>
    <n v="24"/>
    <x v="0"/>
    <d v="2026-07-08T00:00:00"/>
    <x v="0"/>
    <n v="1073709574"/>
    <s v="Johan Sebastian Peña Ramos"/>
    <s v="seebastian0118@gmail.com"/>
    <n v="3138749486"/>
    <s v="Todas"/>
    <n v="4"/>
    <n v="4"/>
    <n v="3"/>
    <n v="3"/>
    <n v="2"/>
    <n v="3"/>
    <n v="53"/>
    <x v="1"/>
    <m/>
  </r>
  <r>
    <n v="25"/>
    <x v="1"/>
    <d v="2026-07-21T00:00:00"/>
    <x v="0"/>
    <n v="1001187759"/>
    <s v="Julian David Jiménez Moreno"/>
    <s v="Julian.david.jimenez.moreno@gmail.com "/>
    <n v="3124832044"/>
    <s v="Karen Margarita Puerta"/>
    <n v="4"/>
    <m/>
    <m/>
    <m/>
    <m/>
    <m/>
    <n v="4"/>
    <x v="1"/>
    <m/>
  </r>
  <r>
    <n v="26"/>
    <x v="1"/>
    <d v="2026-07-21T00:00:00"/>
    <x v="0"/>
    <n v="1012455544"/>
    <s v="Claudia Yadira Suta Torres "/>
    <s v="claudiasuta029@gmail.com"/>
    <n v="3227861878"/>
    <s v="Karen Margarita Puerta"/>
    <n v="4"/>
    <m/>
    <m/>
    <m/>
    <m/>
    <m/>
    <n v="4"/>
    <x v="1"/>
    <m/>
  </r>
  <r>
    <n v="27"/>
    <x v="1"/>
    <d v="2026-07-21T00:00:00"/>
    <x v="0"/>
    <n v="1001056755"/>
    <s v="Cristian Manuel Jiménez Gómez "/>
    <s v="jimenezsc07@gmail.com"/>
    <n v="3123926446"/>
    <s v="Karen Margarita Puerta"/>
    <n v="3"/>
    <m/>
    <m/>
    <m/>
    <m/>
    <m/>
    <n v="3"/>
    <x v="1"/>
    <m/>
  </r>
  <r>
    <n v="28"/>
    <x v="1"/>
    <d v="2026-07-21T00:00:00"/>
    <x v="0"/>
    <n v="1000328420"/>
    <s v="Miguel Ángel Becerra Garcia"/>
    <s v="Saclaro920@gmail.com"/>
    <n v="3223167270"/>
    <s v="Karen Margarita Puerta"/>
    <n v="3"/>
    <m/>
    <m/>
    <m/>
    <m/>
    <m/>
    <n v="3"/>
    <x v="1"/>
    <m/>
  </r>
  <r>
    <n v="29"/>
    <x v="1"/>
    <d v="2026-07-21T00:00:00"/>
    <x v="0"/>
    <n v="1006118253"/>
    <s v="Alex Esteban Angarita Lozano"/>
    <s v="angarita20162001@gmail.com"/>
    <n v="3012268430"/>
    <s v="Karen Margarita Puerta"/>
    <n v="3"/>
    <m/>
    <m/>
    <m/>
    <m/>
    <m/>
    <n v="3"/>
    <x v="1"/>
    <m/>
  </r>
  <r>
    <n v="30"/>
    <x v="1"/>
    <d v="2026-07-21T00:00:00"/>
    <x v="0"/>
    <n v="1073671475"/>
    <s v="Dana Yurleidy Lugo Castro "/>
    <s v="danalugo12345@gmail.com"/>
    <n v="3147647259"/>
    <s v="Karen Margarita Puerta"/>
    <n v="4"/>
    <m/>
    <m/>
    <m/>
    <m/>
    <m/>
    <n v="4"/>
    <x v="1"/>
    <m/>
  </r>
  <r>
    <n v="31"/>
    <x v="1"/>
    <d v="2026-07-21T00:00:00"/>
    <x v="0"/>
    <n v="1013670551"/>
    <s v="Andersson Stiven Lozano Martinez "/>
    <s v="andersson19892014@gmail.com"/>
    <n v="3244759449"/>
    <s v="Karen Margarita Puerta"/>
    <n v="4"/>
    <m/>
    <m/>
    <m/>
    <s v="(empty)"/>
    <m/>
    <e v="#VALUE!"/>
    <x v="2"/>
    <m/>
  </r>
  <r>
    <n v="32"/>
    <x v="1"/>
    <d v="2026-07-21T00:00:00"/>
    <x v="0"/>
    <n v="1007343398"/>
    <s v="Duvan Alejandro Díaz Landinez"/>
    <s v="Alejithodiax@gmail.com"/>
    <n v="3026595949"/>
    <s v="Karen Margarita Puerta"/>
    <n v="4"/>
    <m/>
    <m/>
    <m/>
    <m/>
    <m/>
    <n v="4"/>
    <x v="1"/>
    <m/>
  </r>
  <r>
    <n v="33"/>
    <x v="1"/>
    <d v="2026-07-21T00:00:00"/>
    <x v="0"/>
    <n v="1007845676"/>
    <s v="Brandon Stiven Garces Arcos"/>
    <s v="Brandongarces2@gmail.com "/>
    <n v="3223299162"/>
    <s v="Karen Margarita Puerta"/>
    <n v="4"/>
    <m/>
    <m/>
    <m/>
    <m/>
    <m/>
    <n v="4"/>
    <x v="1"/>
    <m/>
  </r>
  <r>
    <n v="34"/>
    <x v="1"/>
    <d v="2026-07-21T00:00:00"/>
    <x v="0"/>
    <n v="1033772502"/>
    <s v="Juan Sebastian Acevedo Salazar "/>
    <s v="juansevedo02@gmail.com"/>
    <n v="3025718737"/>
    <s v="Karen Margarita Puerta"/>
    <n v="4"/>
    <m/>
    <m/>
    <m/>
    <m/>
    <m/>
    <n v="4"/>
    <x v="1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n v="1193156026"/>
    <s v="Sara Isabel Molina Sánchez"/>
    <s v="Molinasara453@gmail.com"/>
    <n v="3245742876"/>
    <d v="2026-07-01T00:00:00"/>
    <x v="0"/>
    <n v="72"/>
    <x v="0"/>
  </r>
  <r>
    <n v="1016001652"/>
    <s v="Helen Sofia Calderon Camelo"/>
    <s v="helencalderon910@gmail.com"/>
    <s v="‪3239227093‬"/>
    <d v="2026-07-01T00:00:00"/>
    <x v="0"/>
    <n v="70"/>
    <x v="0"/>
  </r>
  <r>
    <n v="1001314657"/>
    <s v="Thomas Bernardo Fernandez Laverde"/>
    <s v="tfernandezlaverde@gmail.com"/>
    <n v="3103798566"/>
    <d v="2026-07-01T00:00:00"/>
    <x v="0"/>
    <n v="72"/>
    <x v="0"/>
  </r>
  <r>
    <n v="1033096735"/>
    <s v="Pablo Steven Ochoa Rodriguez"/>
    <s v="Pablorodriguez8q@gmail.com"/>
    <n v="3196588439"/>
    <d v="2026-07-01T00:00:00"/>
    <x v="0"/>
    <n v="81"/>
    <x v="0"/>
  </r>
  <r>
    <n v="1004961429"/>
    <s v="Jhon Stiven Marin Valencia"/>
    <s v="jhonstivenmarin02@gmail.com"/>
    <n v="3219466413"/>
    <d v="2026-07-01T00:00:00"/>
    <x v="0"/>
    <n v="73"/>
    <x v="0"/>
  </r>
  <r>
    <n v="53121281"/>
    <s v="Yulieth Paola Rodriguez Cañon"/>
    <s v="ypaolarodriguez14@gmail.com"/>
    <n v="3112142736"/>
    <d v="2026-07-01T00:00:00"/>
    <x v="0"/>
    <n v="78"/>
    <x v="0"/>
  </r>
  <r>
    <n v="1024585365"/>
    <s v="Cristian David Celis Garcia"/>
    <s v="cristianceliss9719@gmail.com"/>
    <n v="3216686201"/>
    <d v="2026-07-08T00:00:00"/>
    <x v="0"/>
    <n v="73"/>
    <x v="0"/>
  </r>
  <r>
    <n v="1000547797"/>
    <s v="Kamy Lizeth Rios Gomez"/>
    <s v="riosgomezkamy@gmail.com"/>
    <n v="3112534635"/>
    <d v="2026-07-08T00:00:00"/>
    <x v="0"/>
    <n v="90"/>
    <x v="0"/>
  </r>
  <r>
    <n v="1023867138"/>
    <s v="Yisell Dayana Castro González"/>
    <s v="Gonzalezdayanna730@gmail.com"/>
    <n v="3143600585"/>
    <d v="2026-07-08T00:00:00"/>
    <x v="0"/>
    <n v="72"/>
    <x v="0"/>
  </r>
  <r>
    <n v="1000810776"/>
    <s v="Nataly Andrea Maecha Lizarazo"/>
    <s v="natamahecha23@gmail.com"/>
    <n v="3204984051"/>
    <d v="2026-07-08T00:00:00"/>
    <x v="0"/>
    <n v="74"/>
    <x v="0"/>
  </r>
  <r>
    <n v="1001271946"/>
    <s v="Luisa Fernanda Rodríguez Sarmiento"/>
    <s v="feryantonella13@gmail.com"/>
    <n v="3054399778"/>
    <d v="2026-07-08T00:00:00"/>
    <x v="0"/>
    <n v="74"/>
    <x v="0"/>
  </r>
  <r>
    <n v="1117813165"/>
    <s v="Yedinson Stiven Ramirez Perdómo"/>
    <s v="kramirezperdomo@gmail.com"/>
    <n v="3506517824"/>
    <d v="2026-07-08T00:00:00"/>
    <x v="0"/>
    <n v="94"/>
    <x v="0"/>
  </r>
  <r>
    <n v="1070595836"/>
    <s v="Hebert Julián Casilimas Ricardo"/>
    <s v="julian180703@icloud.com"/>
    <n v="3229087879"/>
    <d v="2026-07-08T00:00:00"/>
    <x v="0"/>
    <n v="9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F9DE30-007D-4EE5-91AF-9043DF260E0A}" name="PT_Onboarding_Campana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5:E9" firstHeaderRow="1" firstDataRow="2" firstDataCol="1"/>
  <pivotFields count="18">
    <pivotField showAll="0"/>
    <pivotField axis="axisRow" showAll="0">
      <items count="3">
        <item x="0"/>
        <item x="1"/>
        <item t="default"/>
      </items>
    </pivotField>
    <pivotField numFmtId="164" showAll="0"/>
    <pivotField showAll="0"/>
    <pivotField dataField="1" numFmtId="49"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</pivotFields>
  <rowFields count="1">
    <field x="1"/>
  </rowFields>
  <rowItems count="3">
    <i>
      <x/>
    </i>
    <i>
      <x v="1"/>
    </i>
    <i t="grand">
      <x/>
    </i>
  </rowItems>
  <colFields count="1">
    <field x="16"/>
  </colFields>
  <colItems count="4">
    <i>
      <x/>
    </i>
    <i>
      <x v="1"/>
    </i>
    <i>
      <x v="2"/>
    </i>
    <i t="grand">
      <x/>
    </i>
  </colItems>
  <dataFields count="1">
    <dataField name="Cantidad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7CECC-D623-4197-834C-86B55F3CE2FD}" name="PT_OJT_Nota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G21:H23" firstHeaderRow="1" firstDataRow="1" firstDataCol="1"/>
  <pivotFields count="8">
    <pivotField showAll="0"/>
    <pivotField showAll="0"/>
    <pivotField showAll="0"/>
    <pivotField showAll="0"/>
    <pivotField numFmtId="164" showAll="0"/>
    <pivotField axis="axisRow" showAll="0">
      <items count="2">
        <item x="0"/>
        <item t="default"/>
      </items>
    </pivotField>
    <pivotField dataField="1" numFmtId="1" showAll="0"/>
    <pivotField showAll="0"/>
  </pivotFields>
  <rowFields count="1">
    <field x="5"/>
  </rowFields>
  <rowItems count="2">
    <i>
      <x/>
    </i>
    <i t="grand">
      <x/>
    </i>
  </rowItems>
  <colItems count="1">
    <i/>
  </colItems>
  <dataFields count="1">
    <dataField name="Nota Promedio " fld="6" subtotal="average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9E3E94-D17B-48CC-95A0-84A7D7C5E77E}" name="PT_OJT_Campana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21:C24" firstHeaderRow="1" firstDataRow="2" firstDataCol="1"/>
  <pivotFields count="8">
    <pivotField dataField="1" showAll="0"/>
    <pivotField showAll="0"/>
    <pivotField showAll="0"/>
    <pivotField showAll="0"/>
    <pivotField numFmtId="164" showAll="0"/>
    <pivotField axis="axisRow" showAll="0">
      <items count="2">
        <item x="0"/>
        <item t="default"/>
      </items>
    </pivotField>
    <pivotField numFmtId="1" showAll="0"/>
    <pivotField axis="axisCol" showAll="0">
      <items count="2">
        <item x="0"/>
        <item t="default"/>
      </items>
    </pivotField>
  </pivotFields>
  <rowFields count="1">
    <field x="5"/>
  </rowFields>
  <rowItems count="2">
    <i>
      <x/>
    </i>
    <i t="grand">
      <x/>
    </i>
  </rowItems>
  <colFields count="1">
    <field x="7"/>
  </colFields>
  <colItems count="2">
    <i>
      <x/>
    </i>
    <i t="grand">
      <x/>
    </i>
  </colItems>
  <dataFields count="1">
    <dataField name="Cantidad 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F26FD7-15A9-43D0-BB54-C5374415611B}" name="PT_Onboarding_Cargo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K5:O8" firstHeaderRow="1" firstDataRow="2" firstDataCol="1"/>
  <pivotFields count="18">
    <pivotField showAll="0"/>
    <pivotField showAll="0"/>
    <pivotField numFmtId="164" showAll="0"/>
    <pivotField axis="axisRow" showAll="0">
      <items count="2">
        <item x="0"/>
        <item t="default"/>
      </items>
    </pivotField>
    <pivotField dataField="1" numFmtId="49"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</pivotFields>
  <rowFields count="1">
    <field x="3"/>
  </rowFields>
  <rowItems count="2">
    <i>
      <x/>
    </i>
    <i t="grand">
      <x/>
    </i>
  </rowItems>
  <colFields count="1">
    <field x="16"/>
  </colFields>
  <colItems count="4">
    <i>
      <x/>
    </i>
    <i>
      <x v="1"/>
    </i>
    <i>
      <x v="2"/>
    </i>
    <i t="grand">
      <x/>
    </i>
  </colItems>
  <dataFields count="1">
    <dataField name="Cantidad 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E47274-C06C-4A82-AD90-268267555A91}" name="PT_Onboarding_Nota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G5:H8" firstHeaderRow="1" firstDataRow="1" firstDataCol="1"/>
  <pivotFields count="18">
    <pivotField showAll="0"/>
    <pivotField axis="axisRow" showAll="0">
      <items count="3">
        <item x="0"/>
        <item x="1"/>
        <item t="default"/>
      </items>
    </pivotField>
    <pivotField numFmtId="164" showAll="0"/>
    <pivotField showAll="0"/>
    <pivotField numFmtId="49"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Nota Promedio" fld="15" subtotal="average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E26:H26" headerRowCount="0" totalsRowShown="0">
  <tableColumns count="4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E27:H28" headerRowCount="0" totalsRowShown="0">
  <tableColumns count="4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E30:H33" headerRowCount="0" totalsRowShown="0">
  <tableColumns count="4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F34:H36" headerRowCount="0" totalsRowShown="0">
  <tableColumns count="3">
    <tableColumn id="1" xr3:uid="{00000000-0010-0000-0300-000001000000}" name="Column1"/>
    <tableColumn id="2" xr3:uid="{00000000-0010-0000-0300-000002000000}" name="Column2"/>
    <tableColumn id="3" xr3:uid="{00000000-0010-0000-0300-000003000000}" name="Column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hyperlink" Target="mailto:ypaolarodriguez14@gmail.com" TargetMode="Externa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7D32"/>
  </sheetPr>
  <dimension ref="A1:W995"/>
  <sheetViews>
    <sheetView topLeftCell="E1" zoomScale="80" zoomScaleNormal="80" workbookViewId="0">
      <pane ySplit="1" topLeftCell="A2" activePane="bottomLeft" state="frozen"/>
      <selection pane="bottomLeft" activeCell="N32" sqref="N32"/>
    </sheetView>
  </sheetViews>
  <sheetFormatPr baseColWidth="10" defaultColWidth="14.42578125" defaultRowHeight="15"/>
  <cols>
    <col min="1" max="1" width="5" customWidth="1"/>
    <col min="2" max="2" width="12.7109375" customWidth="1"/>
    <col min="3" max="3" width="15.7109375" customWidth="1"/>
    <col min="4" max="4" width="25.42578125" customWidth="1"/>
    <col min="5" max="5" width="13" customWidth="1"/>
    <col min="6" max="6" width="30.28515625" customWidth="1"/>
    <col min="7" max="7" width="34.28515625" customWidth="1"/>
    <col min="8" max="8" width="13.140625" customWidth="1"/>
    <col min="9" max="9" width="9.7109375" customWidth="1"/>
    <col min="10" max="10" width="13.140625" customWidth="1"/>
    <col min="11" max="11" width="14.140625" customWidth="1"/>
    <col min="12" max="13" width="15.28515625" customWidth="1"/>
    <col min="14" max="14" width="15.5703125" customWidth="1"/>
    <col min="15" max="15" width="22" customWidth="1"/>
    <col min="16" max="17" width="12" customWidth="1"/>
    <col min="18" max="18" width="28" customWidth="1"/>
    <col min="19" max="19" width="8" customWidth="1"/>
    <col min="20" max="23" width="8.5703125" hidden="1" customWidth="1"/>
    <col min="24" max="27" width="8.5703125" customWidth="1"/>
  </cols>
  <sheetData>
    <row r="1" spans="1:20" ht="39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T1" s="2" t="s">
        <v>18</v>
      </c>
    </row>
    <row r="2" spans="1:20" ht="15" customHeight="1">
      <c r="A2" s="3">
        <f t="shared" ref="A2:A33" si="0">IF(F2="","",ROW()-1)</f>
        <v>1</v>
      </c>
      <c r="B2" s="4" t="s">
        <v>19</v>
      </c>
      <c r="C2" s="5">
        <v>46204</v>
      </c>
      <c r="D2" s="4" t="s">
        <v>20</v>
      </c>
      <c r="E2" s="6">
        <v>1193156026</v>
      </c>
      <c r="F2" s="4" t="s">
        <v>21</v>
      </c>
      <c r="G2" s="4" t="s">
        <v>22</v>
      </c>
      <c r="H2" s="7">
        <v>3245742876</v>
      </c>
      <c r="I2" s="4" t="s">
        <v>23</v>
      </c>
      <c r="J2" s="8">
        <v>4</v>
      </c>
      <c r="K2" s="8">
        <v>5</v>
      </c>
      <c r="L2" s="8"/>
      <c r="M2" s="8">
        <v>4</v>
      </c>
      <c r="N2" s="8">
        <v>5</v>
      </c>
      <c r="O2" s="8">
        <v>3</v>
      </c>
      <c r="P2" s="9">
        <f>IF(F2="","",(J2*Parametros!$K$4+K2*Parametros!$K$5+M2*Parametros!$K$6+N2*Parametros!$K$7+O2*Parametros!$K$8)/Parametros!$B$2)</f>
        <v>72</v>
      </c>
      <c r="Q2" s="3" t="str">
        <f>IF(F2="","",IF(COUNTIF(J2:O2,"D")&gt;0,"Desiste",IF(IFERROR(P2,0)&gt;=Parametros!$B$1,"Aprueba","No aprueba")))</f>
        <v>Aprueba</v>
      </c>
      <c r="R2" s="4"/>
      <c r="T2">
        <f>IF($Q2="Aprueba",COUNTIF($Q$2:$Q2,"Aprueba"),"")</f>
        <v>1</v>
      </c>
    </row>
    <row r="3" spans="1:20" ht="15" customHeight="1">
      <c r="A3" s="3">
        <f t="shared" si="0"/>
        <v>2</v>
      </c>
      <c r="B3" s="4" t="s">
        <v>19</v>
      </c>
      <c r="C3" s="5">
        <v>46204</v>
      </c>
      <c r="D3" s="4" t="s">
        <v>20</v>
      </c>
      <c r="E3" s="6">
        <v>1022988349</v>
      </c>
      <c r="F3" s="4" t="s">
        <v>24</v>
      </c>
      <c r="G3" s="4" t="s">
        <v>25</v>
      </c>
      <c r="H3" s="7">
        <v>3123702518</v>
      </c>
      <c r="I3" s="4" t="s">
        <v>23</v>
      </c>
      <c r="J3" s="8">
        <v>4</v>
      </c>
      <c r="K3" s="8">
        <v>2</v>
      </c>
      <c r="L3" s="8"/>
      <c r="M3" s="8">
        <v>4</v>
      </c>
      <c r="N3" s="8">
        <v>4</v>
      </c>
      <c r="O3" s="8">
        <v>3</v>
      </c>
      <c r="P3" s="9">
        <f>IF(F3="","",(J3*Parametros!$K$4+K3*Parametros!$K$5+M3*Parametros!$K$6+N3*Parametros!$K$7+O3*Parametros!$K$8)/Parametros!$B$2)</f>
        <v>62</v>
      </c>
      <c r="Q3" s="3" t="str">
        <f>IF(F3="","",IF(COUNTIF(J3:O3,"D")&gt;0,"Desiste",IF(IFERROR(P3,0)&gt;=Parametros!$B$1,"Aprueba","No aprueba")))</f>
        <v>No aprueba</v>
      </c>
      <c r="R3" s="4"/>
      <c r="T3" t="str">
        <f>IF($Q3="Aprueba",COUNTIF($Q$2:$Q3,"Aprueba"),"")</f>
        <v/>
      </c>
    </row>
    <row r="4" spans="1:20" ht="15" customHeight="1">
      <c r="A4" s="3">
        <f t="shared" si="0"/>
        <v>3</v>
      </c>
      <c r="B4" s="4" t="s">
        <v>19</v>
      </c>
      <c r="C4" s="5">
        <v>46204</v>
      </c>
      <c r="D4" s="4" t="s">
        <v>20</v>
      </c>
      <c r="E4" s="6">
        <v>1016001652</v>
      </c>
      <c r="F4" s="4" t="s">
        <v>26</v>
      </c>
      <c r="G4" s="4" t="s">
        <v>27</v>
      </c>
      <c r="H4" s="7" t="s">
        <v>28</v>
      </c>
      <c r="I4" s="4" t="s">
        <v>23</v>
      </c>
      <c r="J4" s="8">
        <v>4</v>
      </c>
      <c r="K4" s="8">
        <v>4</v>
      </c>
      <c r="L4" s="8"/>
      <c r="M4" s="8">
        <v>4</v>
      </c>
      <c r="N4" s="8">
        <v>5</v>
      </c>
      <c r="O4" s="8">
        <v>3</v>
      </c>
      <c r="P4" s="9">
        <f>IF(F4="","",(J4*Parametros!$K$4+K4*Parametros!$K$5+M4*Parametros!$K$6+N4*Parametros!$K$7+O4*Parametros!$K$8)/Parametros!$B$2)</f>
        <v>70</v>
      </c>
      <c r="Q4" s="3" t="str">
        <f>IF(F4="","",IF(COUNTIF(J4:O4,"D")&gt;0,"Desiste",IF(IFERROR(P4,0)&gt;=Parametros!$B$1,"Aprueba","No aprueba")))</f>
        <v>Aprueba</v>
      </c>
      <c r="R4" s="4"/>
      <c r="T4">
        <f>IF($Q4="Aprueba",COUNTIF($Q$2:$Q4,"Aprueba"),"")</f>
        <v>2</v>
      </c>
    </row>
    <row r="5" spans="1:20" ht="15" customHeight="1">
      <c r="A5" s="3">
        <f t="shared" si="0"/>
        <v>4</v>
      </c>
      <c r="B5" s="4" t="s">
        <v>19</v>
      </c>
      <c r="C5" s="5">
        <v>46204</v>
      </c>
      <c r="D5" s="4" t="s">
        <v>20</v>
      </c>
      <c r="E5" s="6">
        <v>1012385263</v>
      </c>
      <c r="F5" s="4" t="s">
        <v>29</v>
      </c>
      <c r="G5" s="4" t="s">
        <v>30</v>
      </c>
      <c r="H5" s="7">
        <v>3172616867</v>
      </c>
      <c r="I5" s="4" t="s">
        <v>23</v>
      </c>
      <c r="J5" s="8">
        <v>3</v>
      </c>
      <c r="K5" s="8">
        <v>3</v>
      </c>
      <c r="L5" s="8"/>
      <c r="M5" s="8">
        <v>3</v>
      </c>
      <c r="N5" s="8">
        <v>5</v>
      </c>
      <c r="O5" s="8">
        <v>3</v>
      </c>
      <c r="P5" s="9">
        <f>IF(F5="","",(J5*Parametros!$K$4+K5*Parametros!$K$5+M5*Parametros!$K$6+N5*Parametros!$K$7+O5*Parametros!$K$8)/Parametros!$B$2)</f>
        <v>65</v>
      </c>
      <c r="Q5" s="3" t="str">
        <f>IF(F5="","",IF(COUNTIF(J5:O5,"D")&gt;0,"Desiste",IF(IFERROR(P5,0)&gt;=Parametros!$B$1,"Aprueba","No aprueba")))</f>
        <v>No aprueba</v>
      </c>
      <c r="R5" s="4" t="s">
        <v>31</v>
      </c>
      <c r="T5" t="str">
        <f>IF($Q5="Aprueba",COUNTIF($Q$2:$Q5,"Aprueba"),"")</f>
        <v/>
      </c>
    </row>
    <row r="6" spans="1:20" ht="15" customHeight="1">
      <c r="A6" s="3">
        <f t="shared" si="0"/>
        <v>5</v>
      </c>
      <c r="B6" s="4" t="s">
        <v>19</v>
      </c>
      <c r="C6" s="5">
        <v>46204</v>
      </c>
      <c r="D6" s="4" t="s">
        <v>20</v>
      </c>
      <c r="E6" s="6">
        <v>1001314657</v>
      </c>
      <c r="F6" s="4" t="s">
        <v>32</v>
      </c>
      <c r="G6" s="4" t="s">
        <v>33</v>
      </c>
      <c r="H6" s="7">
        <v>3103798566</v>
      </c>
      <c r="I6" s="4" t="s">
        <v>23</v>
      </c>
      <c r="J6" s="8">
        <v>4</v>
      </c>
      <c r="K6" s="8">
        <v>5</v>
      </c>
      <c r="L6" s="8"/>
      <c r="M6" s="8">
        <v>4</v>
      </c>
      <c r="N6" s="8">
        <v>5</v>
      </c>
      <c r="O6" s="8">
        <v>3</v>
      </c>
      <c r="P6" s="9">
        <f>IF(F6="","",(J6*Parametros!$K$4+K6*Parametros!$K$5+M6*Parametros!$K$6+N6*Parametros!$K$7+O6*Parametros!$K$8)/Parametros!$B$2)</f>
        <v>72</v>
      </c>
      <c r="Q6" s="3" t="str">
        <f>IF(F6="","",IF(COUNTIF(J6:O6,"D")&gt;0,"Desiste",IF(IFERROR(P6,0)&gt;=Parametros!$B$1,"Aprueba","No aprueba")))</f>
        <v>Aprueba</v>
      </c>
      <c r="R6" s="4"/>
      <c r="T6">
        <f>IF($Q6="Aprueba",COUNTIF($Q$2:$Q6,"Aprueba"),"")</f>
        <v>3</v>
      </c>
    </row>
    <row r="7" spans="1:20" ht="15" customHeight="1">
      <c r="A7" s="3">
        <f t="shared" si="0"/>
        <v>6</v>
      </c>
      <c r="B7" s="4" t="s">
        <v>19</v>
      </c>
      <c r="C7" s="5">
        <v>46204</v>
      </c>
      <c r="D7" s="4" t="s">
        <v>20</v>
      </c>
      <c r="E7" s="6">
        <v>52956322</v>
      </c>
      <c r="F7" s="4" t="s">
        <v>34</v>
      </c>
      <c r="G7" s="4" t="s">
        <v>35</v>
      </c>
      <c r="H7" s="7">
        <v>3213264788</v>
      </c>
      <c r="I7" s="4" t="s">
        <v>23</v>
      </c>
      <c r="J7" s="8">
        <v>5</v>
      </c>
      <c r="K7" s="8">
        <v>5</v>
      </c>
      <c r="L7" s="8"/>
      <c r="M7" s="8">
        <v>4</v>
      </c>
      <c r="N7" s="8">
        <v>4</v>
      </c>
      <c r="O7" s="8">
        <v>3</v>
      </c>
      <c r="P7" s="9">
        <f>IF(F7="","",(J7*Parametros!$K$4+K7*Parametros!$K$5+M7*Parametros!$K$6+N7*Parametros!$K$7+O7*Parametros!$K$8)/Parametros!$B$2)</f>
        <v>69</v>
      </c>
      <c r="Q7" s="3" t="str">
        <f>IF(F7="","",IF(COUNTIF(J7:O7,"D")&gt;0,"Desiste",IF(IFERROR(P7,0)&gt;=Parametros!$B$1,"Aprueba","No aprueba")))</f>
        <v>No aprueba</v>
      </c>
      <c r="R7" s="4"/>
      <c r="T7" t="str">
        <f>IF($Q7="Aprueba",COUNTIF($Q$2:$Q7,"Aprueba"),"")</f>
        <v/>
      </c>
    </row>
    <row r="8" spans="1:20" ht="15" customHeight="1">
      <c r="A8" s="3">
        <f t="shared" si="0"/>
        <v>7</v>
      </c>
      <c r="B8" s="4" t="s">
        <v>19</v>
      </c>
      <c r="C8" s="5">
        <v>46204</v>
      </c>
      <c r="D8" s="4" t="s">
        <v>20</v>
      </c>
      <c r="E8" s="6">
        <v>10191156098</v>
      </c>
      <c r="F8" s="4" t="s">
        <v>36</v>
      </c>
      <c r="G8" s="4" t="s">
        <v>37</v>
      </c>
      <c r="H8" s="7">
        <v>3008533917</v>
      </c>
      <c r="I8" s="4" t="s">
        <v>23</v>
      </c>
      <c r="J8" s="8">
        <v>4</v>
      </c>
      <c r="K8" s="8">
        <v>4</v>
      </c>
      <c r="L8" s="8"/>
      <c r="M8" s="8">
        <v>4</v>
      </c>
      <c r="N8" s="8">
        <v>3</v>
      </c>
      <c r="O8" s="8">
        <v>3</v>
      </c>
      <c r="P8" s="9">
        <f>IF(F8="","",(J8*Parametros!$K$4+K8*Parametros!$K$5+M8*Parametros!$K$6+N8*Parametros!$K$7+O8*Parametros!$K$8)/Parametros!$B$2)</f>
        <v>62</v>
      </c>
      <c r="Q8" s="3" t="str">
        <f>IF(F8="","",IF(COUNTIF(J8:O8,"D")&gt;0,"Desiste",IF(IFERROR(P8,0)&gt;=Parametros!$B$1,"Aprueba","No aprueba")))</f>
        <v>No aprueba</v>
      </c>
      <c r="R8" s="4"/>
      <c r="T8" t="str">
        <f>IF($Q8="Aprueba",COUNTIF($Q$2:$Q8,"Aprueba"),"")</f>
        <v/>
      </c>
    </row>
    <row r="9" spans="1:20" ht="15" customHeight="1">
      <c r="A9" s="3">
        <f t="shared" si="0"/>
        <v>8</v>
      </c>
      <c r="B9" s="4" t="s">
        <v>19</v>
      </c>
      <c r="C9" s="5">
        <v>46204</v>
      </c>
      <c r="D9" s="4" t="s">
        <v>20</v>
      </c>
      <c r="E9" s="6">
        <v>1033096735</v>
      </c>
      <c r="F9" s="4" t="s">
        <v>38</v>
      </c>
      <c r="G9" s="4" t="s">
        <v>39</v>
      </c>
      <c r="H9" s="7">
        <v>3196588439</v>
      </c>
      <c r="I9" s="4" t="s">
        <v>23</v>
      </c>
      <c r="J9" s="8">
        <v>3</v>
      </c>
      <c r="K9" s="8">
        <v>4</v>
      </c>
      <c r="L9" s="8"/>
      <c r="M9" s="8">
        <v>5</v>
      </c>
      <c r="N9" s="8">
        <v>5</v>
      </c>
      <c r="O9" s="8">
        <v>4</v>
      </c>
      <c r="P9" s="9">
        <f>IF(F9="","",(J9*Parametros!$K$4+K9*Parametros!$K$5+M9*Parametros!$K$6+N9*Parametros!$K$7+O9*Parametros!$K$8)/Parametros!$B$2)</f>
        <v>81</v>
      </c>
      <c r="Q9" s="3" t="str">
        <f>IF(F9="","",IF(COUNTIF(J9:O9,"D")&gt;0,"Desiste",IF(IFERROR(P9,0)&gt;=Parametros!$B$1,"Aprueba","No aprueba")))</f>
        <v>Aprueba</v>
      </c>
      <c r="R9" s="4"/>
      <c r="T9">
        <f>IF($Q9="Aprueba",COUNTIF($Q$2:$Q9,"Aprueba"),"")</f>
        <v>4</v>
      </c>
    </row>
    <row r="10" spans="1:20" ht="15" customHeight="1">
      <c r="A10" s="3">
        <f t="shared" si="0"/>
        <v>9</v>
      </c>
      <c r="B10" s="4" t="s">
        <v>19</v>
      </c>
      <c r="C10" s="5">
        <v>46204</v>
      </c>
      <c r="D10" s="4" t="s">
        <v>20</v>
      </c>
      <c r="E10" s="6">
        <v>1000219286</v>
      </c>
      <c r="F10" s="4" t="s">
        <v>40</v>
      </c>
      <c r="G10" s="4" t="s">
        <v>41</v>
      </c>
      <c r="H10" s="7">
        <v>3005145730</v>
      </c>
      <c r="I10" s="4" t="s">
        <v>23</v>
      </c>
      <c r="J10" s="8">
        <v>4</v>
      </c>
      <c r="K10" s="8">
        <v>2</v>
      </c>
      <c r="L10" s="8"/>
      <c r="M10" s="8">
        <v>5</v>
      </c>
      <c r="N10" s="8">
        <v>5</v>
      </c>
      <c r="O10" s="8">
        <v>3</v>
      </c>
      <c r="P10" s="9">
        <f>IF(F10="","",(J10*Parametros!$K$4+K10*Parametros!$K$5+M10*Parametros!$K$6+N10*Parametros!$K$7+O10*Parametros!$K$8)/Parametros!$B$2)</f>
        <v>68</v>
      </c>
      <c r="Q10" s="3" t="str">
        <f>IF(F10="","",IF(COUNTIF(J10:O10,"D")&gt;0,"Desiste",IF(IFERROR(P10,0)&gt;=Parametros!$B$1,"Aprueba","No aprueba")))</f>
        <v>No aprueba</v>
      </c>
      <c r="R10" s="4" t="s">
        <v>31</v>
      </c>
      <c r="T10" t="str">
        <f>IF($Q10="Aprueba",COUNTIF($Q$2:$Q10,"Aprueba"),"")</f>
        <v/>
      </c>
    </row>
    <row r="11" spans="1:20" ht="15" customHeight="1">
      <c r="A11" s="3">
        <f t="shared" si="0"/>
        <v>10</v>
      </c>
      <c r="B11" s="4" t="s">
        <v>19</v>
      </c>
      <c r="C11" s="5">
        <v>46204</v>
      </c>
      <c r="D11" s="4" t="s">
        <v>20</v>
      </c>
      <c r="E11" s="6">
        <v>1004961429</v>
      </c>
      <c r="F11" s="4" t="s">
        <v>42</v>
      </c>
      <c r="G11" s="4" t="s">
        <v>43</v>
      </c>
      <c r="H11" s="7">
        <v>3219466413</v>
      </c>
      <c r="I11" s="4" t="s">
        <v>23</v>
      </c>
      <c r="J11" s="8">
        <v>3</v>
      </c>
      <c r="K11" s="8">
        <v>3</v>
      </c>
      <c r="L11" s="8"/>
      <c r="M11" s="8">
        <v>4</v>
      </c>
      <c r="N11" s="8">
        <v>4</v>
      </c>
      <c r="O11" s="8">
        <v>4</v>
      </c>
      <c r="P11" s="9">
        <f>IF(F11="","",(J11*Parametros!$K$4+K11*Parametros!$K$5+M11*Parametros!$K$6+N11*Parametros!$K$7+O11*Parametros!$K$8)/Parametros!$B$2)</f>
        <v>73</v>
      </c>
      <c r="Q11" s="3" t="str">
        <f>IF(F11="","",IF(COUNTIF(J11:O11,"D")&gt;0,"Desiste",IF(IFERROR(P11,0)&gt;=Parametros!$B$1,"Aprueba","No aprueba")))</f>
        <v>Aprueba</v>
      </c>
      <c r="R11" s="4" t="s">
        <v>31</v>
      </c>
      <c r="T11">
        <f>IF($Q11="Aprueba",COUNTIF($Q$2:$Q11,"Aprueba"),"")</f>
        <v>5</v>
      </c>
    </row>
    <row r="12" spans="1:20" ht="15" customHeight="1">
      <c r="A12" s="3">
        <f t="shared" si="0"/>
        <v>11</v>
      </c>
      <c r="B12" s="4" t="s">
        <v>19</v>
      </c>
      <c r="C12" s="5">
        <v>46204</v>
      </c>
      <c r="D12" s="4" t="s">
        <v>20</v>
      </c>
      <c r="E12" s="6">
        <v>53121281</v>
      </c>
      <c r="F12" s="4" t="s">
        <v>44</v>
      </c>
      <c r="G12" s="10" t="s">
        <v>45</v>
      </c>
      <c r="H12" s="7">
        <v>3112142736</v>
      </c>
      <c r="I12" s="4" t="s">
        <v>23</v>
      </c>
      <c r="J12" s="8">
        <v>4</v>
      </c>
      <c r="K12" s="8">
        <v>4</v>
      </c>
      <c r="L12" s="8"/>
      <c r="M12" s="8">
        <v>3</v>
      </c>
      <c r="N12" s="8">
        <v>5</v>
      </c>
      <c r="O12" s="8">
        <v>4</v>
      </c>
      <c r="P12" s="9">
        <f>IF(F12="","",(J12*Parametros!$K$4+K12*Parametros!$K$5+M12*Parametros!$K$6+N12*Parametros!$K$7+O12*Parametros!$K$8)/Parametros!$B$2)</f>
        <v>78</v>
      </c>
      <c r="Q12" s="3" t="str">
        <f>IF(F12="","",IF(COUNTIF(J12:O12,"D")&gt;0,"Desiste",IF(IFERROR(P12,0)&gt;=Parametros!$B$1,"Aprueba","No aprueba")))</f>
        <v>Aprueba</v>
      </c>
      <c r="R12" s="4"/>
      <c r="T12">
        <f>IF($Q12="Aprueba",COUNTIF($Q$2:$Q12,"Aprueba"),"")</f>
        <v>6</v>
      </c>
    </row>
    <row r="13" spans="1:20" ht="15" customHeight="1">
      <c r="A13" s="3">
        <f t="shared" si="0"/>
        <v>12</v>
      </c>
      <c r="B13" s="4" t="s">
        <v>19</v>
      </c>
      <c r="C13" s="5">
        <v>46204</v>
      </c>
      <c r="D13" s="4" t="s">
        <v>20</v>
      </c>
      <c r="E13" s="6">
        <v>1019138287</v>
      </c>
      <c r="F13" s="4" t="s">
        <v>46</v>
      </c>
      <c r="G13" s="4" t="s">
        <v>47</v>
      </c>
      <c r="H13" s="7">
        <v>3003020830</v>
      </c>
      <c r="I13" s="4" t="s">
        <v>23</v>
      </c>
      <c r="J13" s="8">
        <v>5</v>
      </c>
      <c r="K13" s="8">
        <v>5</v>
      </c>
      <c r="L13" s="8"/>
      <c r="M13" s="8">
        <v>3</v>
      </c>
      <c r="N13" s="8">
        <v>4</v>
      </c>
      <c r="O13" s="8">
        <v>3</v>
      </c>
      <c r="P13" s="9">
        <f>IF(F13="","",(J13*Parametros!$K$4+K13*Parametros!$K$5+M13*Parametros!$K$6+N13*Parametros!$K$7+O13*Parametros!$K$8)/Parametros!$B$2)</f>
        <v>67</v>
      </c>
      <c r="Q13" s="3" t="str">
        <f>IF(F13="","",IF(COUNTIF(J13:O13,"D")&gt;0,"Desiste",IF(IFERROR(P13,0)&gt;=Parametros!$B$1,"Aprueba","No aprueba")))</f>
        <v>No aprueba</v>
      </c>
      <c r="R13" s="4"/>
      <c r="T13" t="str">
        <f>IF($Q13="Aprueba",COUNTIF($Q$2:$Q13,"Aprueba"),"")</f>
        <v/>
      </c>
    </row>
    <row r="14" spans="1:20" ht="15" customHeight="1">
      <c r="A14" s="11">
        <f t="shared" si="0"/>
        <v>13</v>
      </c>
      <c r="B14" s="12" t="s">
        <v>19</v>
      </c>
      <c r="C14" s="13">
        <v>46211</v>
      </c>
      <c r="D14" s="12" t="s">
        <v>20</v>
      </c>
      <c r="E14" s="14">
        <v>1019145849</v>
      </c>
      <c r="F14" s="12" t="s">
        <v>48</v>
      </c>
      <c r="G14" s="12" t="s">
        <v>49</v>
      </c>
      <c r="H14" s="15">
        <v>3208836403</v>
      </c>
      <c r="I14" s="12" t="s">
        <v>23</v>
      </c>
      <c r="J14" s="16">
        <v>4</v>
      </c>
      <c r="K14" s="16">
        <v>4</v>
      </c>
      <c r="L14" s="16">
        <v>3</v>
      </c>
      <c r="M14" s="16">
        <v>3</v>
      </c>
      <c r="N14" s="16">
        <v>3</v>
      </c>
      <c r="O14" s="16">
        <v>2</v>
      </c>
      <c r="P14" s="17">
        <f>IF(F14="","",(J14*Parametros!$K$4+K14*Parametros!$K$5+L14*Parametros!$K$6+M14*Parametros!$K$7+N14*Parametros!$K$8+O14*Parametros!$K$9)/Parametros!$B$2)</f>
        <v>62</v>
      </c>
      <c r="Q14" s="3" t="str">
        <f>IF(F14="","",IF(COUNTIF(J14:O14,"D")&gt;0,"Desiste",IF(IFERROR(P14,0)&gt;=Parametros!$B$1,"Aprueba","No aprueba")))</f>
        <v>No aprueba</v>
      </c>
      <c r="R14" s="12"/>
      <c r="T14" t="str">
        <f>IF($Q14="Aprueba",COUNTIF($Q$2:$Q14,"Aprueba"),"")</f>
        <v/>
      </c>
    </row>
    <row r="15" spans="1:20" ht="15" customHeight="1">
      <c r="A15" s="11">
        <f t="shared" si="0"/>
        <v>14</v>
      </c>
      <c r="B15" s="12" t="s">
        <v>19</v>
      </c>
      <c r="C15" s="13">
        <v>46211</v>
      </c>
      <c r="D15" s="12" t="s">
        <v>20</v>
      </c>
      <c r="E15" s="14">
        <v>1001056884</v>
      </c>
      <c r="F15" s="12" t="s">
        <v>50</v>
      </c>
      <c r="G15" s="12" t="s">
        <v>51</v>
      </c>
      <c r="H15" s="15">
        <v>3028250517</v>
      </c>
      <c r="I15" s="12" t="s">
        <v>23</v>
      </c>
      <c r="J15" s="16">
        <v>4</v>
      </c>
      <c r="K15" s="16">
        <v>4</v>
      </c>
      <c r="L15" s="16">
        <v>3</v>
      </c>
      <c r="M15" s="16">
        <v>3</v>
      </c>
      <c r="N15" s="16">
        <v>3</v>
      </c>
      <c r="O15" s="16">
        <v>3</v>
      </c>
      <c r="P15" s="17">
        <f>IF(F15="","",(J15*Parametros!$K$4+K15*Parametros!$K$5+L15*Parametros!$K$6+M15*Parametros!$K$7+N15*Parametros!$K$8+O15*Parametros!$K$9)/Parametros!$B$2)</f>
        <v>63</v>
      </c>
      <c r="Q15" s="3" t="str">
        <f>IF(F15="","",IF(COUNTIF(J15:O15,"D")&gt;0,"Desiste",IF(IFERROR(P15,0)&gt;=Parametros!$B$1,"Aprueba","No aprueba")))</f>
        <v>No aprueba</v>
      </c>
      <c r="R15" s="12"/>
      <c r="T15" t="str">
        <f>IF($Q15="Aprueba",COUNTIF($Q$2:$Q15,"Aprueba"),"")</f>
        <v/>
      </c>
    </row>
    <row r="16" spans="1:20" ht="15" customHeight="1">
      <c r="A16" s="11">
        <f t="shared" si="0"/>
        <v>15</v>
      </c>
      <c r="B16" s="12" t="s">
        <v>19</v>
      </c>
      <c r="C16" s="13">
        <v>46211</v>
      </c>
      <c r="D16" s="12" t="s">
        <v>20</v>
      </c>
      <c r="E16" s="14">
        <v>1024585365</v>
      </c>
      <c r="F16" s="12" t="s">
        <v>52</v>
      </c>
      <c r="G16" s="12" t="s">
        <v>53</v>
      </c>
      <c r="H16" s="15">
        <v>3216686201</v>
      </c>
      <c r="I16" s="12" t="s">
        <v>23</v>
      </c>
      <c r="J16" s="16">
        <v>4</v>
      </c>
      <c r="K16" s="16">
        <v>4</v>
      </c>
      <c r="L16" s="16">
        <v>3</v>
      </c>
      <c r="M16" s="16">
        <v>3</v>
      </c>
      <c r="N16" s="16">
        <v>4</v>
      </c>
      <c r="O16" s="16">
        <v>3</v>
      </c>
      <c r="P16" s="17">
        <f>IF(F16="","",(J16*Parametros!$K$4+K16*Parametros!$K$5+L16*Parametros!$K$6+M16*Parametros!$K$7+N16*Parametros!$K$8+O16*Parametros!$K$9)/Parametros!$B$2)</f>
        <v>73</v>
      </c>
      <c r="Q16" s="3" t="str">
        <f>IF(F16="","",IF(COUNTIF(J16:O16,"D")&gt;0,"Desiste",IF(IFERROR(P16,0)&gt;=Parametros!$B$1,"Aprueba","No aprueba")))</f>
        <v>Aprueba</v>
      </c>
      <c r="R16" s="12" t="s">
        <v>31</v>
      </c>
      <c r="T16">
        <f>IF($Q16="Aprueba",COUNTIF($Q$2:$Q16,"Aprueba"),"")</f>
        <v>7</v>
      </c>
    </row>
    <row r="17" spans="1:20" ht="15" customHeight="1">
      <c r="A17" s="11">
        <f t="shared" si="0"/>
        <v>16</v>
      </c>
      <c r="B17" s="12" t="s">
        <v>19</v>
      </c>
      <c r="C17" s="13">
        <v>46211</v>
      </c>
      <c r="D17" s="12" t="s">
        <v>20</v>
      </c>
      <c r="E17" s="14">
        <v>1000547797</v>
      </c>
      <c r="F17" s="12" t="s">
        <v>54</v>
      </c>
      <c r="G17" s="12" t="s">
        <v>55</v>
      </c>
      <c r="H17" s="15">
        <v>3112534635</v>
      </c>
      <c r="I17" s="12" t="s">
        <v>23</v>
      </c>
      <c r="J17" s="16">
        <v>5</v>
      </c>
      <c r="K17" s="16">
        <v>4</v>
      </c>
      <c r="L17" s="16">
        <v>2</v>
      </c>
      <c r="M17" s="16">
        <v>5</v>
      </c>
      <c r="N17" s="16">
        <v>5</v>
      </c>
      <c r="O17" s="16">
        <v>3</v>
      </c>
      <c r="P17" s="17">
        <f>IF(F17="","",(J17*Parametros!$K$4+K17*Parametros!$K$5+L17*Parametros!$K$6+M17*Parametros!$K$7+N17*Parametros!$K$8+O17*Parametros!$K$9)/Parametros!$B$2)</f>
        <v>90</v>
      </c>
      <c r="Q17" s="3" t="str">
        <f>IF(F17="","",IF(COUNTIF(J17:O17,"D")&gt;0,"Desiste",IF(IFERROR(P17,0)&gt;=Parametros!$B$1,"Aprueba","No aprueba")))</f>
        <v>Aprueba</v>
      </c>
      <c r="R17" s="12"/>
      <c r="T17">
        <f>IF($Q17="Aprueba",COUNTIF($Q$2:$Q17,"Aprueba"),"")</f>
        <v>8</v>
      </c>
    </row>
    <row r="18" spans="1:20" ht="15" customHeight="1">
      <c r="A18" s="11">
        <f t="shared" si="0"/>
        <v>17</v>
      </c>
      <c r="B18" s="12" t="s">
        <v>19</v>
      </c>
      <c r="C18" s="13">
        <v>46211</v>
      </c>
      <c r="D18" s="12" t="s">
        <v>20</v>
      </c>
      <c r="E18" s="14">
        <v>1023867138</v>
      </c>
      <c r="F18" s="12" t="s">
        <v>56</v>
      </c>
      <c r="G18" s="12" t="s">
        <v>57</v>
      </c>
      <c r="H18" s="15">
        <v>3143600585</v>
      </c>
      <c r="I18" s="12" t="s">
        <v>23</v>
      </c>
      <c r="J18" s="16">
        <v>4</v>
      </c>
      <c r="K18" s="16">
        <v>4</v>
      </c>
      <c r="L18" s="16">
        <v>3</v>
      </c>
      <c r="M18" s="16">
        <v>3</v>
      </c>
      <c r="N18" s="16">
        <v>4</v>
      </c>
      <c r="O18" s="16">
        <v>2</v>
      </c>
      <c r="P18" s="17">
        <f>IF(F18="","",(J18*Parametros!$K$4+K18*Parametros!$K$5+L18*Parametros!$K$6+M18*Parametros!$K$7+N18*Parametros!$K$8+O18*Parametros!$K$9)/Parametros!$B$2)</f>
        <v>72</v>
      </c>
      <c r="Q18" s="3" t="str">
        <f>IF(F18="","",IF(COUNTIF(J18:O18,"D")&gt;0,"Desiste",IF(IFERROR(P18,0)&gt;=Parametros!$B$1,"Aprueba","No aprueba")))</f>
        <v>Aprueba</v>
      </c>
      <c r="R18" s="12"/>
      <c r="T18">
        <f>IF($Q18="Aprueba",COUNTIF($Q$2:$Q18,"Aprueba"),"")</f>
        <v>9</v>
      </c>
    </row>
    <row r="19" spans="1:20" ht="15" customHeight="1">
      <c r="A19" s="11">
        <f t="shared" si="0"/>
        <v>18</v>
      </c>
      <c r="B19" s="12" t="s">
        <v>19</v>
      </c>
      <c r="C19" s="13">
        <v>46211</v>
      </c>
      <c r="D19" s="12" t="s">
        <v>20</v>
      </c>
      <c r="E19" s="14">
        <v>1000810776</v>
      </c>
      <c r="F19" s="12" t="s">
        <v>58</v>
      </c>
      <c r="G19" s="12" t="s">
        <v>59</v>
      </c>
      <c r="H19" s="15">
        <v>3204984051</v>
      </c>
      <c r="I19" s="12" t="s">
        <v>23</v>
      </c>
      <c r="J19" s="16">
        <v>4</v>
      </c>
      <c r="K19" s="16">
        <v>4</v>
      </c>
      <c r="L19" s="16">
        <v>2</v>
      </c>
      <c r="M19" s="16">
        <v>4</v>
      </c>
      <c r="N19" s="16">
        <v>4</v>
      </c>
      <c r="O19" s="16">
        <v>2</v>
      </c>
      <c r="P19" s="17">
        <f>IF(F19="","",(J19*Parametros!$K$4+K19*Parametros!$K$5+L19*Parametros!$K$6+M19*Parametros!$K$7+N19*Parametros!$K$8+O19*Parametros!$K$9)/Parametros!$B$2)</f>
        <v>74</v>
      </c>
      <c r="Q19" s="3" t="str">
        <f>IF(F19="","",IF(COUNTIF(J19:O19,"D")&gt;0,"Desiste",IF(IFERROR(P19,0)&gt;=Parametros!$B$1,"Aprueba","No aprueba")))</f>
        <v>Aprueba</v>
      </c>
      <c r="R19" s="12"/>
      <c r="T19">
        <f>IF($Q19="Aprueba",COUNTIF($Q$2:$Q19,"Aprueba"),"")</f>
        <v>10</v>
      </c>
    </row>
    <row r="20" spans="1:20" ht="15" customHeight="1">
      <c r="A20" s="11">
        <f t="shared" si="0"/>
        <v>19</v>
      </c>
      <c r="B20" s="12" t="s">
        <v>19</v>
      </c>
      <c r="C20" s="13">
        <v>46211</v>
      </c>
      <c r="D20" s="12" t="s">
        <v>20</v>
      </c>
      <c r="E20" s="14">
        <v>1001271946</v>
      </c>
      <c r="F20" s="12" t="s">
        <v>60</v>
      </c>
      <c r="G20" s="12" t="s">
        <v>61</v>
      </c>
      <c r="H20" s="15">
        <v>3054399778</v>
      </c>
      <c r="I20" s="12" t="s">
        <v>23</v>
      </c>
      <c r="J20" s="16">
        <v>3</v>
      </c>
      <c r="K20" s="16">
        <v>5</v>
      </c>
      <c r="L20" s="16">
        <v>3</v>
      </c>
      <c r="M20" s="16">
        <v>3</v>
      </c>
      <c r="N20" s="16">
        <v>4</v>
      </c>
      <c r="O20" s="16">
        <v>3</v>
      </c>
      <c r="P20" s="17">
        <f>IF(F20="","",(J20*Parametros!$K$4+K20*Parametros!$K$5+L20*Parametros!$K$6+M20*Parametros!$K$7+N20*Parametros!$K$8+O20*Parametros!$K$9)/Parametros!$B$2)</f>
        <v>74</v>
      </c>
      <c r="Q20" s="3" t="str">
        <f>IF(F20="","",IF(COUNTIF(J20:O20,"D")&gt;0,"Desiste",IF(IFERROR(P20,0)&gt;=Parametros!$B$1,"Aprueba","No aprueba")))</f>
        <v>Aprueba</v>
      </c>
      <c r="R20" s="12" t="s">
        <v>62</v>
      </c>
      <c r="T20">
        <f>IF($Q20="Aprueba",COUNTIF($Q$2:$Q20,"Aprueba"),"")</f>
        <v>11</v>
      </c>
    </row>
    <row r="21" spans="1:20" ht="15" customHeight="1">
      <c r="A21" s="11">
        <f t="shared" si="0"/>
        <v>20</v>
      </c>
      <c r="B21" s="12" t="s">
        <v>19</v>
      </c>
      <c r="C21" s="13">
        <v>46211</v>
      </c>
      <c r="D21" s="12" t="s">
        <v>20</v>
      </c>
      <c r="E21" s="14">
        <v>1117813165</v>
      </c>
      <c r="F21" s="12" t="s">
        <v>63</v>
      </c>
      <c r="G21" s="12" t="s">
        <v>64</v>
      </c>
      <c r="H21" s="15">
        <v>3506517824</v>
      </c>
      <c r="I21" s="12" t="s">
        <v>23</v>
      </c>
      <c r="J21" s="16">
        <v>5</v>
      </c>
      <c r="K21" s="16">
        <v>5</v>
      </c>
      <c r="L21" s="16">
        <v>3</v>
      </c>
      <c r="M21" s="16">
        <v>5</v>
      </c>
      <c r="N21" s="16">
        <v>5</v>
      </c>
      <c r="O21" s="16">
        <v>3</v>
      </c>
      <c r="P21" s="17">
        <f>IF(F21="","",(J21*Parametros!$K$4+K21*Parametros!$K$5+L21*Parametros!$K$6+M21*Parametros!$K$7+N21*Parametros!$K$8+O21*Parametros!$K$9)/Parametros!$B$2)</f>
        <v>94</v>
      </c>
      <c r="Q21" s="3" t="str">
        <f>IF(F21="","",IF(COUNTIF(J21:O21,"D")&gt;0,"Desiste",IF(IFERROR(P21,0)&gt;=Parametros!$B$1,"Aprueba","No aprueba")))</f>
        <v>Aprueba</v>
      </c>
      <c r="R21" s="12"/>
      <c r="T21">
        <f>IF($Q21="Aprueba",COUNTIF($Q$2:$Q21,"Aprueba"),"")</f>
        <v>12</v>
      </c>
    </row>
    <row r="22" spans="1:20" ht="15" customHeight="1">
      <c r="A22" s="11">
        <f t="shared" si="0"/>
        <v>21</v>
      </c>
      <c r="B22" s="12" t="s">
        <v>19</v>
      </c>
      <c r="C22" s="13">
        <v>46211</v>
      </c>
      <c r="D22" s="12" t="s">
        <v>20</v>
      </c>
      <c r="E22" s="14">
        <v>1045686807</v>
      </c>
      <c r="F22" s="12" t="s">
        <v>65</v>
      </c>
      <c r="G22" s="12" t="s">
        <v>66</v>
      </c>
      <c r="H22" s="15">
        <v>3017718956</v>
      </c>
      <c r="I22" s="12" t="s">
        <v>23</v>
      </c>
      <c r="J22" s="16">
        <v>4</v>
      </c>
      <c r="K22" s="16">
        <v>3</v>
      </c>
      <c r="L22" s="16">
        <v>5</v>
      </c>
      <c r="M22" s="16">
        <v>4</v>
      </c>
      <c r="N22" s="16">
        <v>2</v>
      </c>
      <c r="O22" s="16">
        <v>2</v>
      </c>
      <c r="P22" s="17">
        <f>IF(F22="","",(J22*Parametros!$K$4+K22*Parametros!$K$5+L22*Parametros!$K$6+M22*Parametros!$K$7+N22*Parametros!$K$8+O22*Parametros!$K$9)/Parametros!$B$2)</f>
        <v>58</v>
      </c>
      <c r="Q22" s="3" t="str">
        <f>IF(F22="","",IF(COUNTIF(J22:O22,"D")&gt;0,"Desiste",IF(IFERROR(P22,0)&gt;=Parametros!$B$1,"Aprueba","No aprueba")))</f>
        <v>No aprueba</v>
      </c>
      <c r="R22" s="12" t="s">
        <v>67</v>
      </c>
      <c r="T22" t="str">
        <f>IF($Q22="Aprueba",COUNTIF($Q$2:$Q22,"Aprueba"),"")</f>
        <v/>
      </c>
    </row>
    <row r="23" spans="1:20" ht="15" customHeight="1">
      <c r="A23" s="11">
        <f t="shared" si="0"/>
        <v>22</v>
      </c>
      <c r="B23" s="12" t="s">
        <v>19</v>
      </c>
      <c r="C23" s="13">
        <v>46211</v>
      </c>
      <c r="D23" s="12" t="s">
        <v>20</v>
      </c>
      <c r="E23" s="14">
        <v>1070595836</v>
      </c>
      <c r="F23" s="12" t="s">
        <v>68</v>
      </c>
      <c r="G23" s="12" t="s">
        <v>69</v>
      </c>
      <c r="H23" s="15">
        <v>3229087879</v>
      </c>
      <c r="I23" s="12" t="s">
        <v>23</v>
      </c>
      <c r="J23" s="16">
        <v>4</v>
      </c>
      <c r="K23" s="16">
        <v>4</v>
      </c>
      <c r="L23" s="16">
        <v>3</v>
      </c>
      <c r="M23" s="16">
        <v>5</v>
      </c>
      <c r="N23" s="16">
        <v>5</v>
      </c>
      <c r="O23" s="16">
        <v>3</v>
      </c>
      <c r="P23" s="17">
        <f>IF(F23="","",(J23*Parametros!$K$4+K23*Parametros!$K$5+L23*Parametros!$K$6+M23*Parametros!$K$7+N23*Parametros!$K$8+O23*Parametros!$K$9)/Parametros!$B$2)</f>
        <v>91</v>
      </c>
      <c r="Q23" s="3" t="str">
        <f>IF(F23="","",IF(COUNTIF(J23:O23,"D")&gt;0,"Desiste",IF(IFERROR(P23,0)&gt;=Parametros!$B$1,"Aprueba","No aprueba")))</f>
        <v>Aprueba</v>
      </c>
      <c r="R23" s="12"/>
      <c r="T23">
        <f>IF($Q23="Aprueba",COUNTIF($Q$2:$Q23,"Aprueba"),"")</f>
        <v>13</v>
      </c>
    </row>
    <row r="24" spans="1:20" ht="15" customHeight="1">
      <c r="A24" s="11">
        <f t="shared" si="0"/>
        <v>23</v>
      </c>
      <c r="B24" s="12" t="s">
        <v>19</v>
      </c>
      <c r="C24" s="13">
        <v>46211</v>
      </c>
      <c r="D24" s="12" t="s">
        <v>20</v>
      </c>
      <c r="E24" s="14">
        <v>1140850536</v>
      </c>
      <c r="F24" s="12" t="s">
        <v>70</v>
      </c>
      <c r="G24" s="12" t="s">
        <v>71</v>
      </c>
      <c r="H24" s="15">
        <v>3028092333</v>
      </c>
      <c r="I24" s="12" t="s">
        <v>23</v>
      </c>
      <c r="J24" s="16">
        <v>3</v>
      </c>
      <c r="K24" s="16">
        <v>3</v>
      </c>
      <c r="L24" s="16">
        <v>2</v>
      </c>
      <c r="M24" s="16">
        <v>3</v>
      </c>
      <c r="N24" s="16">
        <v>3</v>
      </c>
      <c r="O24" s="16">
        <v>1</v>
      </c>
      <c r="P24" s="17">
        <f>IF(F24="","",(J24*Parametros!$K$4+K24*Parametros!$K$5+L24*Parametros!$K$6+M24*Parametros!$K$7+N24*Parametros!$K$8+O24*Parametros!$K$9)/Parametros!$B$2)</f>
        <v>56</v>
      </c>
      <c r="Q24" s="3" t="str">
        <f>IF(F24="","",IF(COUNTIF(J24:O24,"D")&gt;0,"Desiste",IF(IFERROR(P24,0)&gt;=Parametros!$B$1,"Aprueba","No aprueba")))</f>
        <v>No aprueba</v>
      </c>
      <c r="R24" s="12" t="s">
        <v>72</v>
      </c>
      <c r="T24" t="str">
        <f>IF($Q24="Aprueba",COUNTIF($Q$2:$Q24,"Aprueba"),"")</f>
        <v/>
      </c>
    </row>
    <row r="25" spans="1:20" ht="15" customHeight="1">
      <c r="A25" s="11">
        <f t="shared" si="0"/>
        <v>24</v>
      </c>
      <c r="B25" s="12" t="s">
        <v>19</v>
      </c>
      <c r="C25" s="13">
        <v>46211</v>
      </c>
      <c r="D25" s="12" t="s">
        <v>20</v>
      </c>
      <c r="E25" s="14">
        <v>1073709574</v>
      </c>
      <c r="F25" s="12" t="s">
        <v>73</v>
      </c>
      <c r="G25" s="12" t="s">
        <v>74</v>
      </c>
      <c r="H25" s="15">
        <v>3138749486</v>
      </c>
      <c r="I25" s="12" t="s">
        <v>23</v>
      </c>
      <c r="J25" s="16">
        <v>4</v>
      </c>
      <c r="K25" s="16">
        <v>4</v>
      </c>
      <c r="L25" s="16">
        <v>3</v>
      </c>
      <c r="M25" s="16">
        <v>3</v>
      </c>
      <c r="N25" s="16">
        <v>2</v>
      </c>
      <c r="O25" s="16">
        <v>3</v>
      </c>
      <c r="P25" s="17">
        <f>IF(F25="","",(J25*Parametros!$K$4+K25*Parametros!$K$5+L25*Parametros!$K$6+M25*Parametros!$K$7+N25*Parametros!$K$8+O25*Parametros!$K$9)/Parametros!$B$2)</f>
        <v>53</v>
      </c>
      <c r="Q25" s="3" t="str">
        <f>IF(F25="","",IF(COUNTIF(J25:O25,"D")&gt;0,"Desiste",IF(IFERROR(P25,0)&gt;=Parametros!$B$1,"Aprueba","No aprueba")))</f>
        <v>No aprueba</v>
      </c>
      <c r="R25" s="12"/>
      <c r="T25" t="str">
        <f>IF($Q25="Aprueba",COUNTIF($Q$2:$Q25,"Aprueba"),"")</f>
        <v/>
      </c>
    </row>
    <row r="26" spans="1:20" ht="15" customHeight="1">
      <c r="A26" s="18">
        <f t="shared" si="0"/>
        <v>25</v>
      </c>
      <c r="B26" s="19" t="s">
        <v>75</v>
      </c>
      <c r="C26" s="20">
        <v>46224</v>
      </c>
      <c r="D26" s="21" t="s">
        <v>20</v>
      </c>
      <c r="E26" s="22">
        <v>1001187759</v>
      </c>
      <c r="F26" s="23" t="s">
        <v>76</v>
      </c>
      <c r="G26" s="24" t="s">
        <v>77</v>
      </c>
      <c r="H26" s="24">
        <v>3124832044</v>
      </c>
      <c r="I26" s="19" t="s">
        <v>78</v>
      </c>
      <c r="J26" s="25">
        <v>4</v>
      </c>
      <c r="K26" s="25"/>
      <c r="L26" s="25"/>
      <c r="M26" s="25"/>
      <c r="N26" s="25"/>
      <c r="O26" s="25"/>
      <c r="P26" s="26">
        <v>4</v>
      </c>
      <c r="Q26" s="3" t="str">
        <f>IF(F26="","",IF(COUNTIF(J26:O26,"D")&gt;0,"Desiste",IF(IFERROR(P26,0)&gt;=Parametros!$B$1,"Aprueba","No aprueba")))</f>
        <v>No aprueba</v>
      </c>
      <c r="R26" s="19"/>
      <c r="T26" t="str">
        <f>IF($Q26="Aprueba",COUNTIF($Q$2:$Q26,"Aprueba"),"")</f>
        <v/>
      </c>
    </row>
    <row r="27" spans="1:20" ht="15" customHeight="1">
      <c r="A27" s="18">
        <f t="shared" si="0"/>
        <v>26</v>
      </c>
      <c r="B27" s="19" t="s">
        <v>75</v>
      </c>
      <c r="C27" s="20">
        <v>46224</v>
      </c>
      <c r="D27" s="21" t="s">
        <v>20</v>
      </c>
      <c r="E27" s="27">
        <v>1012455544</v>
      </c>
      <c r="F27" s="24" t="s">
        <v>79</v>
      </c>
      <c r="G27" s="24" t="s">
        <v>80</v>
      </c>
      <c r="H27" s="24">
        <v>3227861878</v>
      </c>
      <c r="I27" s="19" t="s">
        <v>78</v>
      </c>
      <c r="J27" s="25">
        <v>4</v>
      </c>
      <c r="K27" s="25"/>
      <c r="L27" s="25"/>
      <c r="M27" s="25"/>
      <c r="N27" s="25"/>
      <c r="O27" s="25"/>
      <c r="P27" s="26">
        <f>IF(F27="","",(J27*Parametros!$K$4+K27*Parametros!$K$5+M27*Parametros!$K$6+N27*Parametros!$K$7+O27*Parametros!$K$8)/Parametros!$B$2)</f>
        <v>4</v>
      </c>
      <c r="Q27" s="3" t="str">
        <f>IF(F27="","",IF(COUNTIF(J27:O27,"D")&gt;0,"Desiste",IF(IFERROR(P27,0)&gt;=Parametros!$B$1,"Aprueba","No aprueba")))</f>
        <v>No aprueba</v>
      </c>
      <c r="R27" s="19"/>
      <c r="T27" t="str">
        <f>IF($Q27="Aprueba",COUNTIF($Q$2:$Q27,"Aprueba"),"")</f>
        <v/>
      </c>
    </row>
    <row r="28" spans="1:20" ht="15" customHeight="1">
      <c r="A28" s="18">
        <f t="shared" si="0"/>
        <v>27</v>
      </c>
      <c r="B28" s="19" t="s">
        <v>75</v>
      </c>
      <c r="C28" s="20">
        <v>46224</v>
      </c>
      <c r="D28" s="21" t="s">
        <v>20</v>
      </c>
      <c r="E28" s="27">
        <v>1001056755</v>
      </c>
      <c r="F28" s="24" t="s">
        <v>81</v>
      </c>
      <c r="G28" s="24" t="s">
        <v>82</v>
      </c>
      <c r="H28" s="24">
        <v>3123926446</v>
      </c>
      <c r="I28" s="19" t="s">
        <v>78</v>
      </c>
      <c r="J28" s="25">
        <v>3</v>
      </c>
      <c r="K28" s="25"/>
      <c r="L28" s="25"/>
      <c r="M28" s="25"/>
      <c r="N28" s="25"/>
      <c r="O28" s="25"/>
      <c r="P28" s="26">
        <f>IF(F28="","",(J28*Parametros!$K$4+K28*Parametros!$K$5+M28*Parametros!$K$6+N28*Parametros!$K$7+O28*Parametros!$K$8)/Parametros!$B$2)</f>
        <v>3</v>
      </c>
      <c r="Q28" s="3" t="str">
        <f>IF(F28="","",IF(COUNTIF(J28:O28,"D")&gt;0,"Desiste",IF(IFERROR(P28,0)&gt;=Parametros!$B$1,"Aprueba","No aprueba")))</f>
        <v>No aprueba</v>
      </c>
      <c r="R28" s="19"/>
      <c r="T28" t="str">
        <f>IF($Q28="Aprueba",COUNTIF($Q$2:$Q28,"Aprueba"),"")</f>
        <v/>
      </c>
    </row>
    <row r="29" spans="1:20" ht="15" customHeight="1">
      <c r="A29" s="18">
        <f t="shared" si="0"/>
        <v>28</v>
      </c>
      <c r="B29" s="19" t="s">
        <v>75</v>
      </c>
      <c r="C29" s="20">
        <v>46224</v>
      </c>
      <c r="D29" s="21" t="s">
        <v>20</v>
      </c>
      <c r="E29" s="27">
        <v>1000328420</v>
      </c>
      <c r="F29" s="24" t="s">
        <v>83</v>
      </c>
      <c r="G29" s="21" t="s">
        <v>84</v>
      </c>
      <c r="H29" s="24">
        <v>3223167270</v>
      </c>
      <c r="I29" s="19" t="s">
        <v>78</v>
      </c>
      <c r="J29" s="25">
        <v>3</v>
      </c>
      <c r="K29" s="25"/>
      <c r="L29" s="25"/>
      <c r="M29" s="25"/>
      <c r="N29" s="25"/>
      <c r="O29" s="25"/>
      <c r="P29" s="26">
        <f>IF(F29="","",(J29*Parametros!$K$4+K29*Parametros!$K$5+M29*Parametros!$K$6+N29*Parametros!$K$7+O29*Parametros!$K$8)/Parametros!$B$2)</f>
        <v>3</v>
      </c>
      <c r="Q29" s="3" t="str">
        <f>IF(F29="","",IF(COUNTIF(J29:O29,"D")&gt;0,"Desiste",IF(IFERROR(P29,0)&gt;=Parametros!$B$1,"Aprueba","No aprueba")))</f>
        <v>No aprueba</v>
      </c>
      <c r="R29" s="19"/>
      <c r="T29" t="str">
        <f>IF($Q29="Aprueba",COUNTIF($Q$2:$Q29,"Aprueba"),"")</f>
        <v/>
      </c>
    </row>
    <row r="30" spans="1:20" ht="15" customHeight="1">
      <c r="A30" s="18">
        <f t="shared" si="0"/>
        <v>29</v>
      </c>
      <c r="B30" s="19" t="s">
        <v>75</v>
      </c>
      <c r="C30" s="20">
        <v>46224</v>
      </c>
      <c r="D30" s="21" t="s">
        <v>20</v>
      </c>
      <c r="E30" s="27">
        <v>1006118253</v>
      </c>
      <c r="F30" s="24" t="s">
        <v>85</v>
      </c>
      <c r="G30" s="24" t="s">
        <v>86</v>
      </c>
      <c r="H30" s="24">
        <v>3012268430</v>
      </c>
      <c r="I30" s="19" t="s">
        <v>78</v>
      </c>
      <c r="J30" s="25">
        <v>3</v>
      </c>
      <c r="K30" s="25"/>
      <c r="L30" s="25"/>
      <c r="M30" s="25"/>
      <c r="N30" s="25"/>
      <c r="O30" s="25"/>
      <c r="P30" s="26">
        <f>IF(F30="","",(J30*Parametros!$K$4+K30*Parametros!$K$5+M30*Parametros!$K$6+N30*Parametros!$K$7+O30*Parametros!$K$8)/Parametros!$B$2)</f>
        <v>3</v>
      </c>
      <c r="Q30" s="3" t="str">
        <f>IF(F30="","",IF(COUNTIF(J30:O30,"D")&gt;0,"Desiste",IF(IFERROR(P30,0)&gt;=Parametros!$B$1,"Aprueba","No aprueba")))</f>
        <v>No aprueba</v>
      </c>
      <c r="R30" s="19"/>
      <c r="T30" t="str">
        <f>IF($Q30="Aprueba",COUNTIF($Q$2:$Q30,"Aprueba"),"")</f>
        <v/>
      </c>
    </row>
    <row r="31" spans="1:20" ht="15" customHeight="1">
      <c r="A31" s="18">
        <f t="shared" si="0"/>
        <v>30</v>
      </c>
      <c r="B31" s="19" t="s">
        <v>75</v>
      </c>
      <c r="C31" s="20">
        <v>46224</v>
      </c>
      <c r="D31" s="21" t="s">
        <v>20</v>
      </c>
      <c r="E31" s="27">
        <v>1073671475</v>
      </c>
      <c r="F31" s="24" t="s">
        <v>87</v>
      </c>
      <c r="G31" s="24" t="s">
        <v>88</v>
      </c>
      <c r="H31" s="24">
        <v>3147647259</v>
      </c>
      <c r="I31" s="19" t="s">
        <v>78</v>
      </c>
      <c r="J31" s="25">
        <v>4</v>
      </c>
      <c r="K31" s="25"/>
      <c r="L31" s="25"/>
      <c r="M31" s="25"/>
      <c r="N31" s="25"/>
      <c r="O31" s="25"/>
      <c r="P31" s="26">
        <f>IF(F31="","",(J31*Parametros!$K$4+K31*Parametros!$K$5+M31*Parametros!$K$6+N31*Parametros!$K$7+O31*Parametros!$K$8)/Parametros!$B$2)</f>
        <v>4</v>
      </c>
      <c r="Q31" s="3" t="str">
        <f>IF(F31="","",IF(COUNTIF(J31:O31,"D")&gt;0,"Desiste",IF(IFERROR(P31,0)&gt;=Parametros!$B$1,"Aprueba","No aprueba")))</f>
        <v>No aprueba</v>
      </c>
      <c r="R31" s="19"/>
      <c r="T31" t="str">
        <f>IF($Q31="Aprueba",COUNTIF($Q$2:$Q31,"Aprueba"),"")</f>
        <v/>
      </c>
    </row>
    <row r="32" spans="1:20" ht="15" customHeight="1">
      <c r="A32" s="18">
        <f t="shared" si="0"/>
        <v>31</v>
      </c>
      <c r="B32" s="19" t="s">
        <v>75</v>
      </c>
      <c r="C32" s="20">
        <v>46224</v>
      </c>
      <c r="D32" s="21" t="s">
        <v>20</v>
      </c>
      <c r="E32" s="27">
        <v>1013670551</v>
      </c>
      <c r="F32" s="24" t="s">
        <v>89</v>
      </c>
      <c r="G32" s="24" t="s">
        <v>90</v>
      </c>
      <c r="H32" s="24">
        <v>3244759449</v>
      </c>
      <c r="I32" s="19" t="s">
        <v>78</v>
      </c>
      <c r="J32" s="25">
        <v>4</v>
      </c>
      <c r="K32" s="25"/>
      <c r="L32" s="25"/>
      <c r="M32" s="25"/>
      <c r="N32" s="28" t="s">
        <v>91</v>
      </c>
      <c r="O32" s="25"/>
      <c r="P32" s="26" t="e">
        <f>IF(F32="","",(J32*Parametros!$K$4+K32*Parametros!$K$5+M32*Parametros!$K$6+N32*Parametros!$K$7+O32*Parametros!$K$8)/Parametros!$B$2)</f>
        <v>#VALUE!</v>
      </c>
      <c r="Q32" s="3" t="str">
        <f>IF(F32="","",IF(COUNTIF(J32:O32,"D")&gt;0,"Desiste",IF(IFERROR(P32,0)&gt;=Parametros!$B$1,"Aprueba","No aprueba")))</f>
        <v>No aprueba</v>
      </c>
      <c r="R32" s="19"/>
      <c r="T32" t="s">
        <v>183</v>
      </c>
    </row>
    <row r="33" spans="1:20" ht="15" customHeight="1">
      <c r="A33" s="18">
        <f t="shared" si="0"/>
        <v>32</v>
      </c>
      <c r="B33" s="19" t="s">
        <v>75</v>
      </c>
      <c r="C33" s="20">
        <v>46224</v>
      </c>
      <c r="D33" s="21" t="s">
        <v>20</v>
      </c>
      <c r="E33" s="27">
        <v>1007343398</v>
      </c>
      <c r="F33" s="24" t="s">
        <v>92</v>
      </c>
      <c r="G33" s="24" t="s">
        <v>93</v>
      </c>
      <c r="H33" s="24">
        <v>3026595949</v>
      </c>
      <c r="I33" s="19" t="s">
        <v>78</v>
      </c>
      <c r="J33" s="25">
        <v>4</v>
      </c>
      <c r="K33" s="25"/>
      <c r="L33" s="25"/>
      <c r="M33" s="25"/>
      <c r="N33" s="29"/>
      <c r="O33" s="25"/>
      <c r="P33" s="26">
        <f>IF(F33="","",(J33*Parametros!$K$4+K33*Parametros!$K$5+M33*Parametros!$K$6+N33*Parametros!$K$7+O33*Parametros!$K$8)/Parametros!$B$2)</f>
        <v>4</v>
      </c>
      <c r="Q33" s="3" t="str">
        <f>IF(F33="","",IF(COUNTIF(J33:O33,"D")&gt;0,"Desiste",IF(IFERROR(P33,0)&gt;=Parametros!$B$1,"Aprueba","No aprueba")))</f>
        <v>No aprueba</v>
      </c>
      <c r="R33" s="19"/>
      <c r="T33" t="str">
        <f>IF($Q33="Aprueba",COUNTIF($Q$2:$Q33,"Aprueba"),"")</f>
        <v/>
      </c>
    </row>
    <row r="34" spans="1:20" ht="15" customHeight="1">
      <c r="A34" s="18">
        <f t="shared" ref="A34:A65" si="1">IF(F34="","",ROW()-1)</f>
        <v>33</v>
      </c>
      <c r="B34" s="19" t="s">
        <v>75</v>
      </c>
      <c r="C34" s="20">
        <v>46224</v>
      </c>
      <c r="D34" s="21" t="s">
        <v>20</v>
      </c>
      <c r="E34" s="27">
        <v>1007845676</v>
      </c>
      <c r="F34" s="24" t="s">
        <v>94</v>
      </c>
      <c r="G34" s="24" t="s">
        <v>95</v>
      </c>
      <c r="H34" s="24">
        <v>3223299162</v>
      </c>
      <c r="I34" s="19" t="s">
        <v>78</v>
      </c>
      <c r="J34" s="25">
        <v>4</v>
      </c>
      <c r="K34" s="25"/>
      <c r="L34" s="25"/>
      <c r="M34" s="25"/>
      <c r="N34" s="25"/>
      <c r="O34" s="25"/>
      <c r="P34" s="26">
        <f>IF(F34="","",(J34*Parametros!$K$4+K34*Parametros!$K$5+M34*Parametros!$K$6+N34*Parametros!$K$7+O34*Parametros!$K$8)/Parametros!$B$2)</f>
        <v>4</v>
      </c>
      <c r="Q34" s="3" t="str">
        <f>IF(F34="","",IF(COUNTIF(J34:O34,"D")&gt;0,"Desiste",IF(IFERROR(P34,0)&gt;=Parametros!$B$1,"Aprueba","No aprueba")))</f>
        <v>No aprueba</v>
      </c>
      <c r="R34" s="19"/>
      <c r="T34" t="str">
        <f>IF($Q34="Aprueba",COUNTIF($Q$2:$Q34,"Aprueba"),"")</f>
        <v/>
      </c>
    </row>
    <row r="35" spans="1:20" ht="15" customHeight="1">
      <c r="A35" s="18">
        <f t="shared" si="1"/>
        <v>34</v>
      </c>
      <c r="B35" s="19" t="s">
        <v>75</v>
      </c>
      <c r="C35" s="20">
        <v>46224</v>
      </c>
      <c r="D35" s="21" t="s">
        <v>20</v>
      </c>
      <c r="E35" s="27">
        <v>1033772502</v>
      </c>
      <c r="F35" s="24" t="s">
        <v>96</v>
      </c>
      <c r="G35" s="24" t="s">
        <v>97</v>
      </c>
      <c r="H35" s="24">
        <v>3025718737</v>
      </c>
      <c r="I35" s="19" t="s">
        <v>78</v>
      </c>
      <c r="J35" s="25">
        <v>4</v>
      </c>
      <c r="K35" s="25"/>
      <c r="L35" s="25"/>
      <c r="M35" s="25"/>
      <c r="N35" s="25"/>
      <c r="O35" s="25"/>
      <c r="P35" s="26">
        <f>IF(F35="","",(J35*Parametros!$K$4+K35*Parametros!$K$5+M35*Parametros!$K$6+N35*Parametros!$K$7+O35*Parametros!$K$8)/Parametros!$B$2)</f>
        <v>4</v>
      </c>
      <c r="Q35" s="3" t="str">
        <f>IF(F35="","",IF(COUNTIF(J35:O35,"D")&gt;0,"Desiste",IF(IFERROR(P35,0)&gt;=Parametros!$B$1,"Aprueba","No aprueba")))</f>
        <v>No aprueba</v>
      </c>
      <c r="R35" s="19"/>
      <c r="T35" t="str">
        <f>IF($Q35="Aprueba",COUNTIF($Q$2:$Q35,"Aprueba"),"")</f>
        <v/>
      </c>
    </row>
    <row r="36" spans="1:20" ht="15" customHeight="1">
      <c r="A36" s="18" t="str">
        <f t="shared" si="1"/>
        <v/>
      </c>
      <c r="B36" s="19"/>
      <c r="C36" s="20"/>
      <c r="D36" s="19"/>
      <c r="E36" s="22"/>
      <c r="F36" s="81"/>
      <c r="G36" s="81"/>
      <c r="H36" s="82"/>
      <c r="I36" s="19"/>
      <c r="J36" s="25"/>
      <c r="K36" s="25"/>
      <c r="L36" s="25"/>
      <c r="M36" s="25"/>
      <c r="N36" s="25"/>
      <c r="O36" s="25"/>
      <c r="P36" s="31"/>
      <c r="Q36" s="3" t="str">
        <f>IF(F36="","",IF(COUNTIF(J36:O36,"D")&gt;0,"Desiste",IF(IFERROR(P36,0)&gt;=Parametros!$B$1,"Aprueba","No aprueba")))</f>
        <v/>
      </c>
      <c r="R36" s="19"/>
      <c r="T36" t="str">
        <f>IF($Q36="Aprueba",COUNTIF($Q$2:$Q36,"Aprueba"),"")</f>
        <v/>
      </c>
    </row>
    <row r="37" spans="1:20" ht="15" customHeight="1">
      <c r="A37" s="18" t="str">
        <f t="shared" si="1"/>
        <v/>
      </c>
      <c r="B37" s="19"/>
      <c r="C37" s="20"/>
      <c r="D37" s="19"/>
      <c r="E37" s="22"/>
      <c r="F37" s="19"/>
      <c r="G37" s="19"/>
      <c r="H37" s="30"/>
      <c r="I37" s="19"/>
      <c r="J37" s="25"/>
      <c r="K37" s="25"/>
      <c r="L37" s="25"/>
      <c r="M37" s="25"/>
      <c r="N37" s="25"/>
      <c r="O37" s="25"/>
      <c r="P37" s="31" t="str">
        <f>IF(F37="","",(J37*Parametros!$K$4+K37*Parametros!$K$5+M37*Parametros!$K$6+N37*Parametros!$K$7+O37*Parametros!$K$8)/Parametros!$B$2)</f>
        <v/>
      </c>
      <c r="Q37" s="3" t="str">
        <f>IF(F37="","",IF(COUNTIF(J37:O37,"D")&gt;0,"Desiste",IF(IFERROR(P37,0)&gt;=Parametros!$B$1,"Aprueba","No aprueba")))</f>
        <v/>
      </c>
      <c r="R37" s="19"/>
      <c r="T37" t="str">
        <f>IF($Q37="Aprueba",COUNTIF($Q$2:$Q37,"Aprueba"),"")</f>
        <v/>
      </c>
    </row>
    <row r="38" spans="1:20" ht="15" customHeight="1">
      <c r="A38" s="18" t="str">
        <f t="shared" si="1"/>
        <v/>
      </c>
      <c r="B38" s="19"/>
      <c r="C38" s="20"/>
      <c r="D38" s="19"/>
      <c r="E38" s="22"/>
      <c r="F38" s="19"/>
      <c r="G38" s="19"/>
      <c r="H38" s="30"/>
      <c r="I38" s="19"/>
      <c r="J38" s="25"/>
      <c r="K38" s="25"/>
      <c r="L38" s="25"/>
      <c r="M38" s="25"/>
      <c r="N38" s="25"/>
      <c r="O38" s="25"/>
      <c r="P38" s="31" t="str">
        <f>IF(F38="","",(J38*Parametros!$K$4+K38*Parametros!$K$5+M38*Parametros!$K$6+N38*Parametros!$K$7+O38*Parametros!$K$8)/Parametros!$B$2)</f>
        <v/>
      </c>
      <c r="Q38" s="3" t="str">
        <f>IF(F38="","",IF(COUNTIF(J38:O38,"D")&gt;0,"Desiste",IF(IFERROR(P38,0)&gt;=Parametros!$B$1,"Aprueba","No aprueba")))</f>
        <v/>
      </c>
      <c r="R38" s="19"/>
      <c r="T38" t="str">
        <f>IF($Q38="Aprueba",COUNTIF($Q$2:$Q38,"Aprueba"),"")</f>
        <v/>
      </c>
    </row>
    <row r="39" spans="1:20" ht="15" customHeight="1">
      <c r="A39" s="18" t="str">
        <f t="shared" si="1"/>
        <v/>
      </c>
      <c r="B39" s="19"/>
      <c r="C39" s="20"/>
      <c r="D39" s="19"/>
      <c r="E39" s="22"/>
      <c r="F39" s="19"/>
      <c r="G39" s="19"/>
      <c r="H39" s="30"/>
      <c r="I39" s="19"/>
      <c r="J39" s="25"/>
      <c r="K39" s="25"/>
      <c r="L39" s="25"/>
      <c r="M39" s="25"/>
      <c r="N39" s="25"/>
      <c r="O39" s="25"/>
      <c r="P39" s="31" t="str">
        <f>IF(F39="","",(J39*Parametros!$K$4+K39*Parametros!$K$5+M39*Parametros!$K$6+N39*Parametros!$K$7+O39*Parametros!$K$8)/Parametros!$B$2)</f>
        <v/>
      </c>
      <c r="Q39" s="3" t="str">
        <f>IF(F39="","",IF(COUNTIF(J39:O39,"D")&gt;0,"Desiste",IF(IFERROR(P39,0)&gt;=Parametros!$B$1,"Aprueba","No aprueba")))</f>
        <v/>
      </c>
      <c r="R39" s="19"/>
      <c r="T39" t="str">
        <f>IF($Q39="Aprueba",COUNTIF($Q$2:$Q39,"Aprueba"),"")</f>
        <v/>
      </c>
    </row>
    <row r="40" spans="1:20" ht="15" customHeight="1">
      <c r="A40" s="18" t="str">
        <f t="shared" si="1"/>
        <v/>
      </c>
      <c r="B40" s="19"/>
      <c r="C40" s="20"/>
      <c r="D40" s="19"/>
      <c r="E40" s="22"/>
      <c r="F40" s="19"/>
      <c r="G40" s="19"/>
      <c r="H40" s="30"/>
      <c r="I40" s="19"/>
      <c r="J40" s="25"/>
      <c r="K40" s="25"/>
      <c r="L40" s="25"/>
      <c r="M40" s="25"/>
      <c r="N40" s="25"/>
      <c r="O40" s="25"/>
      <c r="P40" s="31" t="str">
        <f>IF(F40="","",(J40*Parametros!$K$4+K40*Parametros!$K$5+M40*Parametros!$K$6+N40*Parametros!$K$7+O40*Parametros!$K$8)/Parametros!$B$2)</f>
        <v/>
      </c>
      <c r="Q40" s="3" t="str">
        <f>IF(F40="","",IF(COUNTIF(J40:O40,"D")&gt;0,"Desiste",IF(IFERROR(P40,0)&gt;=Parametros!$B$1,"Aprueba","No aprueba")))</f>
        <v/>
      </c>
      <c r="R40" s="19"/>
      <c r="T40" t="str">
        <f>IF($Q40="Aprueba",COUNTIF($Q$2:$Q40,"Aprueba"),"")</f>
        <v/>
      </c>
    </row>
    <row r="41" spans="1:20" ht="15" customHeight="1">
      <c r="A41" s="18" t="str">
        <f t="shared" si="1"/>
        <v/>
      </c>
      <c r="B41" s="19"/>
      <c r="C41" s="20"/>
      <c r="D41" s="19"/>
      <c r="E41" s="22"/>
      <c r="F41" s="19"/>
      <c r="G41" s="19"/>
      <c r="H41" s="30"/>
      <c r="I41" s="19"/>
      <c r="J41" s="25"/>
      <c r="K41" s="25"/>
      <c r="L41" s="25"/>
      <c r="M41" s="25"/>
      <c r="N41" s="25"/>
      <c r="O41" s="25"/>
      <c r="P41" s="31" t="str">
        <f>IF(F41="","",(J41*Parametros!$K$4+K41*Parametros!$K$5+M41*Parametros!$K$6+N41*Parametros!$K$7+O41*Parametros!$K$8)/Parametros!$B$2)</f>
        <v/>
      </c>
      <c r="Q41" s="3" t="str">
        <f>IF(F41="","",IF(COUNTIF(J41:O41,"D")&gt;0,"Desiste",IF(IFERROR(P41,0)&gt;=Parametros!$B$1,"Aprueba","No aprueba")))</f>
        <v/>
      </c>
      <c r="R41" s="19"/>
      <c r="T41" t="str">
        <f>IF($Q41="Aprueba",COUNTIF($Q$2:$Q41,"Aprueba"),"")</f>
        <v/>
      </c>
    </row>
    <row r="42" spans="1:20" ht="15" customHeight="1">
      <c r="A42" s="18" t="str">
        <f t="shared" si="1"/>
        <v/>
      </c>
      <c r="B42" s="19"/>
      <c r="C42" s="20"/>
      <c r="D42" s="19"/>
      <c r="E42" s="22"/>
      <c r="F42" s="19"/>
      <c r="G42" s="19"/>
      <c r="H42" s="30"/>
      <c r="I42" s="19"/>
      <c r="J42" s="25"/>
      <c r="K42" s="25"/>
      <c r="L42" s="25"/>
      <c r="M42" s="25"/>
      <c r="N42" s="25"/>
      <c r="O42" s="25"/>
      <c r="P42" s="31" t="str">
        <f>IF(F42="","",(J42*Parametros!$K$4+K42*Parametros!$K$5+M42*Parametros!$K$6+N42*Parametros!$K$7+O42*Parametros!$K$8)/Parametros!$B$2)</f>
        <v/>
      </c>
      <c r="Q42" s="3" t="str">
        <f>IF(F42="","",IF(COUNTIF(J42:O42,"D")&gt;0,"Desiste",IF(IFERROR(P42,0)&gt;=Parametros!$B$1,"Aprueba","No aprueba")))</f>
        <v/>
      </c>
      <c r="R42" s="19"/>
      <c r="T42" t="str">
        <f>IF($Q42="Aprueba",COUNTIF($Q$2:$Q42,"Aprueba"),"")</f>
        <v/>
      </c>
    </row>
    <row r="43" spans="1:20" ht="15" customHeight="1">
      <c r="A43" s="18" t="str">
        <f t="shared" si="1"/>
        <v/>
      </c>
      <c r="B43" s="19"/>
      <c r="C43" s="20"/>
      <c r="D43" s="19"/>
      <c r="E43" s="22"/>
      <c r="F43" s="19"/>
      <c r="G43" s="19"/>
      <c r="H43" s="30"/>
      <c r="I43" s="19"/>
      <c r="J43" s="25"/>
      <c r="K43" s="25"/>
      <c r="L43" s="25"/>
      <c r="M43" s="25"/>
      <c r="N43" s="25"/>
      <c r="O43" s="25"/>
      <c r="P43" s="31" t="str">
        <f>IF(F43="","",(J43*Parametros!$K$4+K43*Parametros!$K$5+M43*Parametros!$K$6+N43*Parametros!$K$7+O43*Parametros!$K$8)/Parametros!$B$2)</f>
        <v/>
      </c>
      <c r="Q43" s="3" t="str">
        <f>IF(F43="","",IF(COUNTIF(J43:O43,"D")&gt;0,"Desiste",IF(IFERROR(P43,0)&gt;=Parametros!$B$1,"Aprueba","No aprueba")))</f>
        <v/>
      </c>
      <c r="R43" s="19"/>
      <c r="T43" t="str">
        <f>IF($Q43="Aprueba",COUNTIF($Q$2:$Q43,"Aprueba"),"")</f>
        <v/>
      </c>
    </row>
    <row r="44" spans="1:20" ht="15" customHeight="1">
      <c r="A44" s="18" t="str">
        <f t="shared" si="1"/>
        <v/>
      </c>
      <c r="B44" s="19"/>
      <c r="C44" s="20"/>
      <c r="D44" s="19"/>
      <c r="E44" s="22"/>
      <c r="F44" s="19"/>
      <c r="G44" s="19"/>
      <c r="H44" s="30"/>
      <c r="I44" s="19"/>
      <c r="J44" s="25"/>
      <c r="K44" s="25"/>
      <c r="L44" s="25"/>
      <c r="M44" s="25"/>
      <c r="N44" s="25"/>
      <c r="O44" s="25"/>
      <c r="P44" s="31" t="str">
        <f>IF(F44="","",(J44*Parametros!$K$4+K44*Parametros!$K$5+M44*Parametros!$K$6+N44*Parametros!$K$7+O44*Parametros!$K$8)/Parametros!$B$2)</f>
        <v/>
      </c>
      <c r="Q44" s="3" t="str">
        <f>IF(F44="","",IF(COUNTIF(J44:O44,"D")&gt;0,"Desiste",IF(IFERROR(P44,0)&gt;=Parametros!$B$1,"Aprueba","No aprueba")))</f>
        <v/>
      </c>
      <c r="R44" s="19"/>
      <c r="T44" t="str">
        <f>IF($Q44="Aprueba",COUNTIF($Q$2:$Q44,"Aprueba"),"")</f>
        <v/>
      </c>
    </row>
    <row r="45" spans="1:20" ht="15" customHeight="1">
      <c r="A45" s="18" t="str">
        <f t="shared" si="1"/>
        <v/>
      </c>
      <c r="B45" s="19"/>
      <c r="C45" s="20"/>
      <c r="D45" s="19"/>
      <c r="E45" s="22"/>
      <c r="F45" s="19"/>
      <c r="G45" s="19"/>
      <c r="H45" s="30"/>
      <c r="I45" s="19"/>
      <c r="J45" s="25"/>
      <c r="K45" s="25"/>
      <c r="L45" s="25"/>
      <c r="M45" s="25"/>
      <c r="N45" s="25"/>
      <c r="O45" s="25"/>
      <c r="P45" s="31" t="str">
        <f>IF(F45="","",(J45*Parametros!$K$4+K45*Parametros!$K$5+M45*Parametros!$K$6+N45*Parametros!$K$7+O45*Parametros!$K$8)/Parametros!$B$2)</f>
        <v/>
      </c>
      <c r="Q45" s="3" t="str">
        <f>IF(F45="","",IF(COUNTIF(J45:O45,"D")&gt;0,"Desiste",IF(IFERROR(P45,0)&gt;=Parametros!$B$1,"Aprueba","No aprueba")))</f>
        <v/>
      </c>
      <c r="R45" s="19"/>
      <c r="T45" t="str">
        <f>IF($Q45="Aprueba",COUNTIF($Q$2:$Q45,"Aprueba"),"")</f>
        <v/>
      </c>
    </row>
    <row r="46" spans="1:20" ht="15" customHeight="1">
      <c r="A46" s="18" t="str">
        <f t="shared" si="1"/>
        <v/>
      </c>
      <c r="B46" s="19"/>
      <c r="C46" s="20"/>
      <c r="D46" s="19"/>
      <c r="E46" s="22"/>
      <c r="F46" s="19"/>
      <c r="G46" s="19"/>
      <c r="H46" s="30"/>
      <c r="I46" s="19"/>
      <c r="J46" s="25"/>
      <c r="K46" s="25"/>
      <c r="L46" s="25"/>
      <c r="M46" s="25"/>
      <c r="N46" s="25"/>
      <c r="O46" s="25"/>
      <c r="P46" s="31" t="str">
        <f>IF(F46="","",(J46*Parametros!$K$4+K46*Parametros!$K$5+M46*Parametros!$K$6+N46*Parametros!$K$7+O46*Parametros!$K$8)/Parametros!$B$2)</f>
        <v/>
      </c>
      <c r="Q46" s="3" t="str">
        <f>IF(F46="","",IF(COUNTIF(J46:O46,"D")&gt;0,"Desiste",IF(IFERROR(P46,0)&gt;=Parametros!$B$1,"Aprueba","No aprueba")))</f>
        <v/>
      </c>
      <c r="R46" s="19"/>
      <c r="T46" t="str">
        <f>IF($Q46="Aprueba",COUNTIF($Q$2:$Q46,"Aprueba"),"")</f>
        <v/>
      </c>
    </row>
    <row r="47" spans="1:20" ht="15" customHeight="1">
      <c r="A47" s="18" t="str">
        <f t="shared" si="1"/>
        <v/>
      </c>
      <c r="B47" s="19"/>
      <c r="C47" s="20"/>
      <c r="D47" s="19"/>
      <c r="E47" s="22"/>
      <c r="F47" s="19"/>
      <c r="G47" s="19"/>
      <c r="H47" s="30"/>
      <c r="I47" s="19"/>
      <c r="J47" s="25"/>
      <c r="K47" s="25"/>
      <c r="L47" s="25"/>
      <c r="M47" s="25"/>
      <c r="N47" s="25"/>
      <c r="O47" s="25"/>
      <c r="P47" s="31" t="str">
        <f>IF(F47="","",(J47*Parametros!$K$4+K47*Parametros!$K$5+M47*Parametros!$K$6+N47*Parametros!$K$7+O47*Parametros!$K$8)/Parametros!$B$2)</f>
        <v/>
      </c>
      <c r="Q47" s="3" t="str">
        <f>IF(F47="","",IF(COUNTIF(J47:O47,"D")&gt;0,"Desiste",IF(IFERROR(P47,0)&gt;=Parametros!$B$1,"Aprueba","No aprueba")))</f>
        <v/>
      </c>
      <c r="R47" s="19"/>
      <c r="T47" t="str">
        <f>IF($Q47="Aprueba",COUNTIF($Q$2:$Q47,"Aprueba"),"")</f>
        <v/>
      </c>
    </row>
    <row r="48" spans="1:20" ht="15" customHeight="1">
      <c r="A48" s="18" t="str">
        <f t="shared" si="1"/>
        <v/>
      </c>
      <c r="B48" s="19"/>
      <c r="C48" s="20"/>
      <c r="D48" s="19"/>
      <c r="E48" s="22"/>
      <c r="F48" s="19"/>
      <c r="G48" s="19"/>
      <c r="H48" s="30"/>
      <c r="I48" s="19"/>
      <c r="J48" s="25"/>
      <c r="K48" s="25"/>
      <c r="L48" s="25"/>
      <c r="M48" s="25"/>
      <c r="N48" s="25"/>
      <c r="O48" s="25"/>
      <c r="P48" s="31" t="str">
        <f>IF(F48="","",(J48*Parametros!$K$4+K48*Parametros!$K$5+M48*Parametros!$K$6+N48*Parametros!$K$7+O48*Parametros!$K$8)/Parametros!$B$2)</f>
        <v/>
      </c>
      <c r="Q48" s="3" t="str">
        <f>IF(F48="","",IF(COUNTIF(J48:O48,"D")&gt;0,"Desiste",IF(IFERROR(P48,0)&gt;=Parametros!$B$1,"Aprueba","No aprueba")))</f>
        <v/>
      </c>
      <c r="R48" s="19"/>
      <c r="T48" t="str">
        <f>IF($Q48="Aprueba",COUNTIF($Q$2:$Q48,"Aprueba"),"")</f>
        <v/>
      </c>
    </row>
    <row r="49" spans="1:20" ht="15" customHeight="1">
      <c r="A49" s="18" t="str">
        <f t="shared" si="1"/>
        <v/>
      </c>
      <c r="B49" s="19"/>
      <c r="C49" s="20"/>
      <c r="D49" s="19"/>
      <c r="E49" s="22"/>
      <c r="F49" s="19"/>
      <c r="G49" s="19"/>
      <c r="H49" s="30"/>
      <c r="I49" s="19"/>
      <c r="J49" s="25"/>
      <c r="K49" s="25"/>
      <c r="L49" s="25"/>
      <c r="M49" s="25"/>
      <c r="N49" s="25"/>
      <c r="O49" s="25"/>
      <c r="P49" s="31" t="str">
        <f>IF(F49="","",(J49*Parametros!$K$4+K49*Parametros!$K$5+M49*Parametros!$K$6+N49*Parametros!$K$7+O49*Parametros!$K$8)/Parametros!$B$2)</f>
        <v/>
      </c>
      <c r="Q49" s="3" t="str">
        <f>IF(F49="","",IF(COUNTIF(J49:O49,"D")&gt;0,"Desiste",IF(IFERROR(P49,0)&gt;=Parametros!$B$1,"Aprueba","No aprueba")))</f>
        <v/>
      </c>
      <c r="R49" s="19"/>
      <c r="T49" t="str">
        <f>IF($Q49="Aprueba",COUNTIF($Q$2:$Q49,"Aprueba"),"")</f>
        <v/>
      </c>
    </row>
    <row r="50" spans="1:20" ht="15" customHeight="1">
      <c r="A50" s="18" t="str">
        <f t="shared" si="1"/>
        <v/>
      </c>
      <c r="B50" s="19"/>
      <c r="C50" s="20"/>
      <c r="D50" s="19"/>
      <c r="E50" s="22"/>
      <c r="F50" s="19"/>
      <c r="G50" s="19"/>
      <c r="H50" s="30"/>
      <c r="I50" s="19"/>
      <c r="J50" s="25"/>
      <c r="K50" s="25"/>
      <c r="L50" s="25"/>
      <c r="M50" s="25"/>
      <c r="N50" s="25"/>
      <c r="O50" s="25"/>
      <c r="P50" s="31" t="str">
        <f>IF(F50="","",(J50*Parametros!$K$4+K50*Parametros!$K$5+M50*Parametros!$K$6+N50*Parametros!$K$7+O50*Parametros!$K$8)/Parametros!$B$2)</f>
        <v/>
      </c>
      <c r="Q50" s="3" t="str">
        <f>IF(F50="","",IF(COUNTIF(J50:O50,"D")&gt;0,"Desiste",IF(IFERROR(P50,0)&gt;=Parametros!$B$1,"Aprueba","No aprueba")))</f>
        <v/>
      </c>
      <c r="R50" s="19"/>
      <c r="T50" t="str">
        <f>IF($Q50="Aprueba",COUNTIF($Q$2:$Q50,"Aprueba"),"")</f>
        <v/>
      </c>
    </row>
    <row r="51" spans="1:20" ht="15" customHeight="1">
      <c r="A51" s="18" t="str">
        <f t="shared" si="1"/>
        <v/>
      </c>
      <c r="B51" s="19"/>
      <c r="C51" s="20"/>
      <c r="D51" s="19"/>
      <c r="E51" s="22"/>
      <c r="F51" s="19"/>
      <c r="G51" s="19"/>
      <c r="H51" s="30"/>
      <c r="I51" s="19"/>
      <c r="J51" s="25"/>
      <c r="K51" s="25"/>
      <c r="L51" s="25"/>
      <c r="M51" s="25"/>
      <c r="N51" s="25"/>
      <c r="O51" s="25"/>
      <c r="P51" s="31" t="str">
        <f>IF(F51="","",(J51*Parametros!$K$4+K51*Parametros!$K$5+M51*Parametros!$K$6+N51*Parametros!$K$7+O51*Parametros!$K$8)/Parametros!$B$2)</f>
        <v/>
      </c>
      <c r="Q51" s="3" t="str">
        <f>IF(F51="","",IF(COUNTIF(J51:O51,"D")&gt;0,"Desiste",IF(IFERROR(P51,0)&gt;=Parametros!$B$1,"Aprueba","No aprueba")))</f>
        <v/>
      </c>
      <c r="R51" s="19"/>
      <c r="T51" t="str">
        <f>IF($Q51="Aprueba",COUNTIF($Q$2:$Q51,"Aprueba"),"")</f>
        <v/>
      </c>
    </row>
    <row r="52" spans="1:20" ht="15" customHeight="1">
      <c r="A52" s="18" t="str">
        <f t="shared" si="1"/>
        <v/>
      </c>
      <c r="B52" s="19"/>
      <c r="C52" s="20"/>
      <c r="D52" s="19"/>
      <c r="E52" s="22"/>
      <c r="F52" s="19"/>
      <c r="G52" s="19"/>
      <c r="H52" s="30"/>
      <c r="I52" s="19"/>
      <c r="J52" s="25"/>
      <c r="K52" s="25"/>
      <c r="L52" s="25"/>
      <c r="M52" s="25"/>
      <c r="N52" s="25"/>
      <c r="O52" s="25"/>
      <c r="P52" s="31" t="str">
        <f>IF(F52="","",(J52*Parametros!$K$4+K52*Parametros!$K$5+M52*Parametros!$K$6+N52*Parametros!$K$7+O52*Parametros!$K$8)/Parametros!$B$2)</f>
        <v/>
      </c>
      <c r="Q52" s="3" t="str">
        <f>IF(F52="","",IF(COUNTIF(J52:O52,"D")&gt;0,"Desiste",IF(IFERROR(P52,0)&gt;=Parametros!$B$1,"Aprueba","No aprueba")))</f>
        <v/>
      </c>
      <c r="R52" s="19"/>
      <c r="T52" t="str">
        <f>IF($Q52="Aprueba",COUNTIF($Q$2:$Q52,"Aprueba"),"")</f>
        <v/>
      </c>
    </row>
    <row r="53" spans="1:20" ht="15" customHeight="1">
      <c r="A53" s="18" t="str">
        <f t="shared" si="1"/>
        <v/>
      </c>
      <c r="B53" s="19"/>
      <c r="C53" s="20"/>
      <c r="D53" s="19"/>
      <c r="E53" s="22"/>
      <c r="F53" s="19"/>
      <c r="G53" s="19"/>
      <c r="H53" s="30"/>
      <c r="I53" s="19"/>
      <c r="J53" s="25"/>
      <c r="K53" s="25"/>
      <c r="L53" s="25"/>
      <c r="M53" s="25"/>
      <c r="N53" s="25"/>
      <c r="O53" s="25"/>
      <c r="P53" s="31" t="str">
        <f>IF(F53="","",(J53*Parametros!$K$4+K53*Parametros!$K$5+M53*Parametros!$K$6+N53*Parametros!$K$7+O53*Parametros!$K$8)/Parametros!$B$2)</f>
        <v/>
      </c>
      <c r="Q53" s="3" t="str">
        <f>IF(F53="","",IF(COUNTIF(J53:O53,"D")&gt;0,"Desiste",IF(IFERROR(P53,0)&gt;=Parametros!$B$1,"Aprueba","No aprueba")))</f>
        <v/>
      </c>
      <c r="R53" s="19"/>
      <c r="T53" t="str">
        <f>IF($Q53="Aprueba",COUNTIF($Q$2:$Q53,"Aprueba"),"")</f>
        <v/>
      </c>
    </row>
    <row r="54" spans="1:20" ht="15" customHeight="1">
      <c r="A54" s="18" t="str">
        <f t="shared" si="1"/>
        <v/>
      </c>
      <c r="B54" s="19"/>
      <c r="C54" s="20"/>
      <c r="D54" s="19"/>
      <c r="E54" s="22"/>
      <c r="F54" s="19"/>
      <c r="G54" s="19"/>
      <c r="H54" s="30"/>
      <c r="I54" s="19"/>
      <c r="J54" s="25"/>
      <c r="K54" s="25"/>
      <c r="L54" s="25"/>
      <c r="M54" s="25"/>
      <c r="N54" s="25"/>
      <c r="O54" s="25"/>
      <c r="P54" s="31" t="str">
        <f>IF(F54="","",(J54*Parametros!$K$4+K54*Parametros!$K$5+M54*Parametros!$K$6+N54*Parametros!$K$7+O54*Parametros!$K$8)/Parametros!$B$2)</f>
        <v/>
      </c>
      <c r="Q54" s="3" t="str">
        <f>IF(F54="","",IF(COUNTIF(J54:O54,"D")&gt;0,"Desiste",IF(IFERROR(P54,0)&gt;=Parametros!$B$1,"Aprueba","No aprueba")))</f>
        <v/>
      </c>
      <c r="R54" s="19"/>
      <c r="T54" t="str">
        <f>IF($Q54="Aprueba",COUNTIF($Q$2:$Q54,"Aprueba"),"")</f>
        <v/>
      </c>
    </row>
    <row r="55" spans="1:20" ht="15" customHeight="1">
      <c r="A55" s="18" t="str">
        <f t="shared" si="1"/>
        <v/>
      </c>
      <c r="B55" s="19"/>
      <c r="C55" s="20"/>
      <c r="D55" s="19"/>
      <c r="E55" s="22"/>
      <c r="F55" s="19"/>
      <c r="G55" s="19"/>
      <c r="H55" s="30"/>
      <c r="I55" s="19"/>
      <c r="J55" s="25"/>
      <c r="K55" s="25"/>
      <c r="L55" s="25"/>
      <c r="M55" s="25"/>
      <c r="N55" s="25"/>
      <c r="O55" s="25"/>
      <c r="P55" s="31" t="str">
        <f>IF(F55="","",(J55*Parametros!$K$4+K55*Parametros!$K$5+M55*Parametros!$K$6+N55*Parametros!$K$7+O55*Parametros!$K$8)/Parametros!$B$2)</f>
        <v/>
      </c>
      <c r="Q55" s="3" t="str">
        <f>IF(F55="","",IF(COUNTIF(J55:O55,"D")&gt;0,"Desiste",IF(IFERROR(P55,0)&gt;=Parametros!$B$1,"Aprueba","No aprueba")))</f>
        <v/>
      </c>
      <c r="R55" s="19"/>
      <c r="T55" t="str">
        <f>IF($Q55="Aprueba",COUNTIF($Q$2:$Q55,"Aprueba"),"")</f>
        <v/>
      </c>
    </row>
    <row r="56" spans="1:20" ht="15" customHeight="1">
      <c r="A56" s="18" t="str">
        <f t="shared" si="1"/>
        <v/>
      </c>
      <c r="B56" s="19"/>
      <c r="C56" s="20"/>
      <c r="D56" s="19"/>
      <c r="E56" s="22"/>
      <c r="F56" s="19"/>
      <c r="G56" s="19"/>
      <c r="H56" s="30"/>
      <c r="I56" s="19"/>
      <c r="J56" s="25"/>
      <c r="K56" s="25"/>
      <c r="L56" s="25"/>
      <c r="M56" s="25"/>
      <c r="N56" s="25"/>
      <c r="O56" s="25"/>
      <c r="P56" s="31" t="str">
        <f>IF(F56="","",(J56*Parametros!$K$4+K56*Parametros!$K$5+M56*Parametros!$K$6+N56*Parametros!$K$7+O56*Parametros!$K$8)/Parametros!$B$2)</f>
        <v/>
      </c>
      <c r="Q56" s="3" t="str">
        <f>IF(F56="","",IF(COUNTIF(J56:O56,"D")&gt;0,"Desiste",IF(IFERROR(P56,0)&gt;=Parametros!$B$1,"Aprueba","No aprueba")))</f>
        <v/>
      </c>
      <c r="R56" s="19"/>
      <c r="T56" t="str">
        <f>IF($Q56="Aprueba",COUNTIF($Q$2:$Q56,"Aprueba"),"")</f>
        <v/>
      </c>
    </row>
    <row r="57" spans="1:20" ht="15" customHeight="1">
      <c r="A57" s="18" t="str">
        <f t="shared" si="1"/>
        <v/>
      </c>
      <c r="B57" s="19"/>
      <c r="C57" s="20"/>
      <c r="D57" s="19"/>
      <c r="E57" s="22"/>
      <c r="F57" s="19"/>
      <c r="G57" s="19"/>
      <c r="H57" s="30"/>
      <c r="I57" s="19"/>
      <c r="J57" s="25"/>
      <c r="K57" s="25"/>
      <c r="L57" s="25"/>
      <c r="M57" s="25"/>
      <c r="N57" s="25"/>
      <c r="O57" s="25"/>
      <c r="P57" s="31" t="str">
        <f>IF(F57="","",(J57*Parametros!$K$4+K57*Parametros!$K$5+M57*Parametros!$K$6+N57*Parametros!$K$7+O57*Parametros!$K$8)/Parametros!$B$2)</f>
        <v/>
      </c>
      <c r="Q57" s="3" t="str">
        <f>IF(F57="","",IF(COUNTIF(J57:O57,"D")&gt;0,"Desiste",IF(IFERROR(P57,0)&gt;=Parametros!$B$1,"Aprueba","No aprueba")))</f>
        <v/>
      </c>
      <c r="R57" s="19"/>
      <c r="T57" t="str">
        <f>IF($Q57="Aprueba",COUNTIF($Q$2:$Q57,"Aprueba"),"")</f>
        <v/>
      </c>
    </row>
    <row r="58" spans="1:20" ht="15" customHeight="1">
      <c r="A58" s="18" t="str">
        <f t="shared" si="1"/>
        <v/>
      </c>
      <c r="B58" s="19"/>
      <c r="C58" s="20"/>
      <c r="D58" s="19"/>
      <c r="E58" s="22"/>
      <c r="F58" s="19"/>
      <c r="G58" s="19"/>
      <c r="H58" s="30"/>
      <c r="I58" s="19"/>
      <c r="J58" s="25"/>
      <c r="K58" s="25"/>
      <c r="L58" s="25"/>
      <c r="M58" s="25"/>
      <c r="N58" s="25"/>
      <c r="O58" s="25"/>
      <c r="P58" s="31" t="str">
        <f>IF(F58="","",(J58*Parametros!$K$4+K58*Parametros!$K$5+M58*Parametros!$K$6+N58*Parametros!$K$7+O58*Parametros!$K$8)/Parametros!$B$2)</f>
        <v/>
      </c>
      <c r="Q58" s="3" t="str">
        <f>IF(F58="","",IF(COUNTIF(J58:O58,"D")&gt;0,"Desiste",IF(IFERROR(P58,0)&gt;=Parametros!$B$1,"Aprueba","No aprueba")))</f>
        <v/>
      </c>
      <c r="R58" s="19"/>
      <c r="T58" t="str">
        <f>IF($Q58="Aprueba",COUNTIF($Q$2:$Q58,"Aprueba"),"")</f>
        <v/>
      </c>
    </row>
    <row r="59" spans="1:20" ht="15" customHeight="1">
      <c r="A59" s="18" t="str">
        <f t="shared" si="1"/>
        <v/>
      </c>
      <c r="B59" s="19"/>
      <c r="C59" s="20"/>
      <c r="D59" s="19"/>
      <c r="E59" s="22"/>
      <c r="F59" s="19"/>
      <c r="G59" s="19"/>
      <c r="H59" s="30"/>
      <c r="I59" s="19"/>
      <c r="J59" s="25"/>
      <c r="K59" s="25"/>
      <c r="L59" s="25"/>
      <c r="M59" s="25"/>
      <c r="N59" s="25"/>
      <c r="O59" s="25"/>
      <c r="P59" s="31" t="str">
        <f>IF(F59="","",(J59*Parametros!$K$4+K59*Parametros!$K$5+M59*Parametros!$K$6+N59*Parametros!$K$7+O59*Parametros!$K$8)/Parametros!$B$2)</f>
        <v/>
      </c>
      <c r="Q59" s="3" t="str">
        <f>IF(F59="","",IF(COUNTIF(J59:O59,"D")&gt;0,"Desiste",IF(IFERROR(P59,0)&gt;=Parametros!$B$1,"Aprueba","No aprueba")))</f>
        <v/>
      </c>
      <c r="R59" s="19"/>
      <c r="T59" t="str">
        <f>IF($Q59="Aprueba",COUNTIF($Q$2:$Q59,"Aprueba"),"")</f>
        <v/>
      </c>
    </row>
    <row r="60" spans="1:20" ht="15" customHeight="1">
      <c r="A60" s="18" t="str">
        <f t="shared" si="1"/>
        <v/>
      </c>
      <c r="B60" s="19"/>
      <c r="C60" s="20"/>
      <c r="D60" s="19"/>
      <c r="E60" s="22"/>
      <c r="F60" s="19"/>
      <c r="G60" s="19"/>
      <c r="H60" s="30"/>
      <c r="I60" s="19"/>
      <c r="J60" s="25"/>
      <c r="K60" s="25"/>
      <c r="L60" s="25"/>
      <c r="M60" s="25"/>
      <c r="N60" s="25"/>
      <c r="O60" s="25"/>
      <c r="P60" s="31" t="str">
        <f>IF(F60="","",(J60*Parametros!$K$4+K60*Parametros!$K$5+M60*Parametros!$K$6+N60*Parametros!$K$7+O60*Parametros!$K$8)/Parametros!$B$2)</f>
        <v/>
      </c>
      <c r="Q60" s="3" t="str">
        <f>IF(F60="","",IF(COUNTIF(J60:O60,"D")&gt;0,"Desiste",IF(IFERROR(P60,0)&gt;=Parametros!$B$1,"Aprueba","No aprueba")))</f>
        <v/>
      </c>
      <c r="R60" s="19"/>
      <c r="T60" t="str">
        <f>IF($Q60="Aprueba",COUNTIF($Q$2:$Q60,"Aprueba"),"")</f>
        <v/>
      </c>
    </row>
    <row r="61" spans="1:20" ht="15" customHeight="1">
      <c r="A61" s="18" t="str">
        <f t="shared" si="1"/>
        <v/>
      </c>
      <c r="B61" s="19"/>
      <c r="C61" s="20"/>
      <c r="D61" s="19"/>
      <c r="E61" s="22"/>
      <c r="F61" s="19"/>
      <c r="G61" s="19"/>
      <c r="H61" s="30"/>
      <c r="I61" s="19"/>
      <c r="J61" s="25"/>
      <c r="K61" s="25"/>
      <c r="L61" s="25"/>
      <c r="M61" s="25"/>
      <c r="N61" s="25"/>
      <c r="O61" s="25"/>
      <c r="P61" s="31" t="str">
        <f>IF(F61="","",(J61*Parametros!$K$4+K61*Parametros!$K$5+M61*Parametros!$K$6+N61*Parametros!$K$7+O61*Parametros!$K$8)/Parametros!$B$2)</f>
        <v/>
      </c>
      <c r="Q61" s="3" t="str">
        <f>IF(F61="","",IF(COUNTIF(J61:O61,"D")&gt;0,"Desiste",IF(IFERROR(P61,0)&gt;=Parametros!$B$1,"Aprueba","No aprueba")))</f>
        <v/>
      </c>
      <c r="R61" s="19"/>
      <c r="T61" t="str">
        <f>IF($Q61="Aprueba",COUNTIF($Q$2:$Q61,"Aprueba"),"")</f>
        <v/>
      </c>
    </row>
    <row r="62" spans="1:20" ht="15" customHeight="1">
      <c r="A62" s="18" t="str">
        <f t="shared" si="1"/>
        <v/>
      </c>
      <c r="B62" s="19"/>
      <c r="C62" s="20"/>
      <c r="D62" s="19"/>
      <c r="E62" s="22"/>
      <c r="F62" s="19"/>
      <c r="G62" s="19"/>
      <c r="H62" s="30"/>
      <c r="I62" s="19"/>
      <c r="J62" s="25"/>
      <c r="K62" s="25"/>
      <c r="L62" s="25"/>
      <c r="M62" s="25"/>
      <c r="N62" s="25"/>
      <c r="O62" s="25"/>
      <c r="P62" s="31" t="str">
        <f>IF(F62="","",(J62*Parametros!$K$4+K62*Parametros!$K$5+M62*Parametros!$K$6+N62*Parametros!$K$7+O62*Parametros!$K$8)/Parametros!$B$2)</f>
        <v/>
      </c>
      <c r="Q62" s="3" t="str">
        <f>IF(F62="","",IF(COUNTIF(J62:O62,"D")&gt;0,"Desiste",IF(IFERROR(P62,0)&gt;=Parametros!$B$1,"Aprueba","No aprueba")))</f>
        <v/>
      </c>
      <c r="R62" s="19"/>
      <c r="T62" t="str">
        <f>IF($Q62="Aprueba",COUNTIF($Q$2:$Q62,"Aprueba"),"")</f>
        <v/>
      </c>
    </row>
    <row r="63" spans="1:20" ht="15" customHeight="1">
      <c r="A63" s="18" t="str">
        <f t="shared" si="1"/>
        <v/>
      </c>
      <c r="B63" s="19"/>
      <c r="C63" s="20"/>
      <c r="D63" s="19"/>
      <c r="E63" s="22"/>
      <c r="F63" s="19"/>
      <c r="G63" s="19"/>
      <c r="H63" s="30"/>
      <c r="I63" s="19"/>
      <c r="J63" s="25"/>
      <c r="K63" s="25"/>
      <c r="L63" s="25"/>
      <c r="M63" s="25"/>
      <c r="N63" s="25"/>
      <c r="O63" s="25"/>
      <c r="P63" s="31" t="str">
        <f>IF(F63="","",(J63*Parametros!$K$4+K63*Parametros!$K$5+M63*Parametros!$K$6+N63*Parametros!$K$7+O63*Parametros!$K$8)/Parametros!$B$2)</f>
        <v/>
      </c>
      <c r="Q63" s="3" t="str">
        <f>IF(F63="","",IF(COUNTIF(J63:O63,"D")&gt;0,"Desiste",IF(IFERROR(P63,0)&gt;=Parametros!$B$1,"Aprueba","No aprueba")))</f>
        <v/>
      </c>
      <c r="R63" s="19"/>
      <c r="T63" t="str">
        <f>IF($Q63="Aprueba",COUNTIF($Q$2:$Q63,"Aprueba"),"")</f>
        <v/>
      </c>
    </row>
    <row r="64" spans="1:20" ht="15" customHeight="1">
      <c r="A64" s="18" t="str">
        <f t="shared" si="1"/>
        <v/>
      </c>
      <c r="B64" s="19"/>
      <c r="C64" s="20"/>
      <c r="D64" s="19"/>
      <c r="E64" s="22"/>
      <c r="F64" s="19"/>
      <c r="G64" s="19"/>
      <c r="H64" s="30"/>
      <c r="I64" s="19"/>
      <c r="J64" s="25"/>
      <c r="K64" s="25"/>
      <c r="L64" s="25"/>
      <c r="M64" s="25"/>
      <c r="N64" s="25"/>
      <c r="O64" s="25"/>
      <c r="P64" s="31" t="str">
        <f>IF(F64="","",(J64*Parametros!$K$4+K64*Parametros!$K$5+M64*Parametros!$K$6+N64*Parametros!$K$7+O64*Parametros!$K$8)/Parametros!$B$2)</f>
        <v/>
      </c>
      <c r="Q64" s="3" t="str">
        <f>IF(F64="","",IF(COUNTIF(J64:O64,"D")&gt;0,"Desiste",IF(IFERROR(P64,0)&gt;=Parametros!$B$1,"Aprueba","No aprueba")))</f>
        <v/>
      </c>
      <c r="R64" s="19"/>
      <c r="T64" t="str">
        <f>IF($Q64="Aprueba",COUNTIF($Q$2:$Q64,"Aprueba"),"")</f>
        <v/>
      </c>
    </row>
    <row r="65" spans="1:20" ht="15" customHeight="1">
      <c r="A65" s="18" t="str">
        <f t="shared" si="1"/>
        <v/>
      </c>
      <c r="B65" s="19"/>
      <c r="C65" s="20"/>
      <c r="D65" s="19"/>
      <c r="E65" s="22"/>
      <c r="F65" s="19"/>
      <c r="G65" s="19"/>
      <c r="H65" s="30"/>
      <c r="I65" s="19"/>
      <c r="J65" s="25"/>
      <c r="K65" s="25"/>
      <c r="L65" s="25"/>
      <c r="M65" s="25"/>
      <c r="N65" s="25"/>
      <c r="O65" s="25"/>
      <c r="P65" s="31" t="str">
        <f>IF(F65="","",(J65*Parametros!$K$4+K65*Parametros!$K$5+M65*Parametros!$K$6+N65*Parametros!$K$7+O65*Parametros!$K$8)/Parametros!$B$2)</f>
        <v/>
      </c>
      <c r="Q65" s="3" t="str">
        <f>IF(F65="","",IF(COUNTIF(J65:O65,"D")&gt;0,"Desiste",IF(IFERROR(P65,0)&gt;=Parametros!$B$1,"Aprueba","No aprueba")))</f>
        <v/>
      </c>
      <c r="R65" s="19"/>
      <c r="T65" t="str">
        <f>IF($Q65="Aprueba",COUNTIF($Q$2:$Q65,"Aprueba"),"")</f>
        <v/>
      </c>
    </row>
    <row r="66" spans="1:20" ht="15" customHeight="1">
      <c r="A66" s="18" t="str">
        <f t="shared" ref="A66:A96" si="2">IF(F66="","",ROW()-1)</f>
        <v/>
      </c>
      <c r="B66" s="19"/>
      <c r="C66" s="20"/>
      <c r="D66" s="19"/>
      <c r="E66" s="22"/>
      <c r="F66" s="19"/>
      <c r="G66" s="19"/>
      <c r="H66" s="30"/>
      <c r="I66" s="19"/>
      <c r="J66" s="25"/>
      <c r="K66" s="25"/>
      <c r="L66" s="25"/>
      <c r="M66" s="25"/>
      <c r="N66" s="25"/>
      <c r="O66" s="25"/>
      <c r="P66" s="31" t="str">
        <f>IF(F66="","",(J66*Parametros!$K$4+K66*Parametros!$K$5+M66*Parametros!$K$6+N66*Parametros!$K$7+O66*Parametros!$K$8)/Parametros!$B$2)</f>
        <v/>
      </c>
      <c r="Q66" s="3" t="str">
        <f>IF(F66="","",IF(COUNTIF(J66:O66,"D")&gt;0,"Desiste",IF(IFERROR(P66,0)&gt;=Parametros!$B$1,"Aprueba","No aprueba")))</f>
        <v/>
      </c>
      <c r="R66" s="19"/>
      <c r="T66" t="str">
        <f>IF($Q66="Aprueba",COUNTIF($Q$2:$Q66,"Aprueba"),"")</f>
        <v/>
      </c>
    </row>
    <row r="67" spans="1:20" ht="15" customHeight="1">
      <c r="A67" s="18" t="str">
        <f t="shared" si="2"/>
        <v/>
      </c>
      <c r="B67" s="19"/>
      <c r="C67" s="20"/>
      <c r="D67" s="19"/>
      <c r="E67" s="22"/>
      <c r="F67" s="19"/>
      <c r="G67" s="19"/>
      <c r="H67" s="30"/>
      <c r="I67" s="19"/>
      <c r="J67" s="25"/>
      <c r="K67" s="25"/>
      <c r="L67" s="25"/>
      <c r="M67" s="25"/>
      <c r="N67" s="25"/>
      <c r="O67" s="25"/>
      <c r="P67" s="31" t="str">
        <f>IF(F67="","",(J67*Parametros!$K$4+K67*Parametros!$K$5+M67*Parametros!$K$6+N67*Parametros!$K$7+O67*Parametros!$K$8)/Parametros!$B$2)</f>
        <v/>
      </c>
      <c r="Q67" s="3" t="str">
        <f>IF(F67="","",IF(COUNTIF(J67:O67,"D")&gt;0,"Desiste",IF(IFERROR(P67,0)&gt;=Parametros!$B$1,"Aprueba","No aprueba")))</f>
        <v/>
      </c>
      <c r="R67" s="19"/>
      <c r="T67" t="str">
        <f>IF($Q67="Aprueba",COUNTIF($Q$2:$Q67,"Aprueba"),"")</f>
        <v/>
      </c>
    </row>
    <row r="68" spans="1:20" ht="15" customHeight="1">
      <c r="A68" s="18" t="str">
        <f t="shared" si="2"/>
        <v/>
      </c>
      <c r="B68" s="19"/>
      <c r="C68" s="20"/>
      <c r="D68" s="19"/>
      <c r="E68" s="22"/>
      <c r="F68" s="19"/>
      <c r="G68" s="19"/>
      <c r="H68" s="30"/>
      <c r="I68" s="19"/>
      <c r="J68" s="25"/>
      <c r="K68" s="25"/>
      <c r="L68" s="25"/>
      <c r="M68" s="25"/>
      <c r="N68" s="25"/>
      <c r="O68" s="25"/>
      <c r="P68" s="31" t="str">
        <f>IF(F68="","",(J68*Parametros!$K$4+K68*Parametros!$K$5+M68*Parametros!$K$6+N68*Parametros!$K$7+O68*Parametros!$K$8)/Parametros!$B$2)</f>
        <v/>
      </c>
      <c r="Q68" s="3" t="str">
        <f>IF(F68="","",IF(COUNTIF(J68:O68,"D")&gt;0,"Desiste",IF(IFERROR(P68,0)&gt;=Parametros!$B$1,"Aprueba","No aprueba")))</f>
        <v/>
      </c>
      <c r="R68" s="19"/>
      <c r="T68" t="str">
        <f>IF($Q68="Aprueba",COUNTIF($Q$2:$Q68,"Aprueba"),"")</f>
        <v/>
      </c>
    </row>
    <row r="69" spans="1:20" ht="15" customHeight="1">
      <c r="A69" s="18" t="str">
        <f t="shared" si="2"/>
        <v/>
      </c>
      <c r="B69" s="19"/>
      <c r="C69" s="20"/>
      <c r="D69" s="19"/>
      <c r="E69" s="22"/>
      <c r="F69" s="19"/>
      <c r="G69" s="19"/>
      <c r="H69" s="30"/>
      <c r="I69" s="19"/>
      <c r="J69" s="25"/>
      <c r="K69" s="25"/>
      <c r="L69" s="25"/>
      <c r="M69" s="25"/>
      <c r="N69" s="25"/>
      <c r="O69" s="25"/>
      <c r="P69" s="31" t="str">
        <f>IF(F69="","",(J69*Parametros!$K$4+K69*Parametros!$K$5+M69*Parametros!$K$6+N69*Parametros!$K$7+O69*Parametros!$K$8)/Parametros!$B$2)</f>
        <v/>
      </c>
      <c r="Q69" s="3" t="str">
        <f>IF(F69="","",IF(COUNTIF(J69:O69,"D")&gt;0,"Desiste",IF(IFERROR(P69,0)&gt;=Parametros!$B$1,"Aprueba","No aprueba")))</f>
        <v/>
      </c>
      <c r="R69" s="19"/>
      <c r="T69" t="str">
        <f>IF($Q69="Aprueba",COUNTIF($Q$2:$Q69,"Aprueba"),"")</f>
        <v/>
      </c>
    </row>
    <row r="70" spans="1:20" ht="15" customHeight="1">
      <c r="A70" s="18" t="str">
        <f t="shared" si="2"/>
        <v/>
      </c>
      <c r="B70" s="19"/>
      <c r="C70" s="20"/>
      <c r="D70" s="19"/>
      <c r="E70" s="22"/>
      <c r="F70" s="19"/>
      <c r="G70" s="19"/>
      <c r="H70" s="30"/>
      <c r="I70" s="19"/>
      <c r="J70" s="25"/>
      <c r="K70" s="25"/>
      <c r="L70" s="25"/>
      <c r="M70" s="25"/>
      <c r="N70" s="25"/>
      <c r="O70" s="25"/>
      <c r="P70" s="31" t="str">
        <f>IF(F70="","",(J70*Parametros!$K$4+K70*Parametros!$K$5+M70*Parametros!$K$6+N70*Parametros!$K$7+O70*Parametros!$K$8)/Parametros!$B$2)</f>
        <v/>
      </c>
      <c r="Q70" s="3" t="str">
        <f>IF(F70="","",IF(COUNTIF(J70:O70,"D")&gt;0,"Desiste",IF(IFERROR(P70,0)&gt;=Parametros!$B$1,"Aprueba","No aprueba")))</f>
        <v/>
      </c>
      <c r="R70" s="19"/>
      <c r="T70" t="str">
        <f>IF($Q70="Aprueba",COUNTIF($Q$2:$Q70,"Aprueba"),"")</f>
        <v/>
      </c>
    </row>
    <row r="71" spans="1:20" ht="15" customHeight="1">
      <c r="A71" s="18" t="str">
        <f t="shared" si="2"/>
        <v/>
      </c>
      <c r="B71" s="19"/>
      <c r="C71" s="20"/>
      <c r="D71" s="19"/>
      <c r="E71" s="22"/>
      <c r="F71" s="19"/>
      <c r="G71" s="19"/>
      <c r="H71" s="30"/>
      <c r="I71" s="19"/>
      <c r="J71" s="25"/>
      <c r="K71" s="25"/>
      <c r="L71" s="25"/>
      <c r="M71" s="25"/>
      <c r="N71" s="25"/>
      <c r="O71" s="25"/>
      <c r="P71" s="31" t="str">
        <f>IF(F71="","",(J71*Parametros!$K$4+K71*Parametros!$K$5+M71*Parametros!$K$6+N71*Parametros!$K$7+O71*Parametros!$K$8)/Parametros!$B$2)</f>
        <v/>
      </c>
      <c r="Q71" s="3" t="str">
        <f>IF(F71="","",IF(COUNTIF(J71:O71,"D")&gt;0,"Desiste",IF(IFERROR(P71,0)&gt;=Parametros!$B$1,"Aprueba","No aprueba")))</f>
        <v/>
      </c>
      <c r="R71" s="19"/>
      <c r="T71" t="str">
        <f>IF($Q71="Aprueba",COUNTIF($Q$2:$Q71,"Aprueba"),"")</f>
        <v/>
      </c>
    </row>
    <row r="72" spans="1:20" ht="15" customHeight="1">
      <c r="A72" s="18" t="str">
        <f t="shared" si="2"/>
        <v/>
      </c>
      <c r="B72" s="19"/>
      <c r="C72" s="20"/>
      <c r="D72" s="19"/>
      <c r="E72" s="22"/>
      <c r="F72" s="19"/>
      <c r="G72" s="19"/>
      <c r="H72" s="30"/>
      <c r="I72" s="19"/>
      <c r="J72" s="25"/>
      <c r="K72" s="25"/>
      <c r="L72" s="25"/>
      <c r="M72" s="25"/>
      <c r="N72" s="25"/>
      <c r="O72" s="25"/>
      <c r="P72" s="31" t="str">
        <f>IF(F72="","",(J72*Parametros!$K$4+K72*Parametros!$K$5+M72*Parametros!$K$6+N72*Parametros!$K$7+O72*Parametros!$K$8)/Parametros!$B$2)</f>
        <v/>
      </c>
      <c r="Q72" s="3" t="str">
        <f>IF(F72="","",IF(COUNTIF(J72:O72,"D")&gt;0,"Desiste",IF(IFERROR(P72,0)&gt;=Parametros!$B$1,"Aprueba","No aprueba")))</f>
        <v/>
      </c>
      <c r="R72" s="19"/>
      <c r="T72" t="str">
        <f>IF($Q72="Aprueba",COUNTIF($Q$2:$Q72,"Aprueba"),"")</f>
        <v/>
      </c>
    </row>
    <row r="73" spans="1:20" ht="15" customHeight="1">
      <c r="A73" s="18" t="str">
        <f t="shared" si="2"/>
        <v/>
      </c>
      <c r="B73" s="19"/>
      <c r="C73" s="20"/>
      <c r="D73" s="19"/>
      <c r="E73" s="22"/>
      <c r="F73" s="19"/>
      <c r="G73" s="19"/>
      <c r="H73" s="30"/>
      <c r="I73" s="19"/>
      <c r="J73" s="25"/>
      <c r="K73" s="25"/>
      <c r="L73" s="25"/>
      <c r="M73" s="25"/>
      <c r="N73" s="25"/>
      <c r="O73" s="25"/>
      <c r="P73" s="31" t="str">
        <f>IF(F73="","",(J73*Parametros!$K$4+K73*Parametros!$K$5+M73*Parametros!$K$6+N73*Parametros!$K$7+O73*Parametros!$K$8)/Parametros!$B$2)</f>
        <v/>
      </c>
      <c r="Q73" s="3" t="str">
        <f>IF(F73="","",IF(COUNTIF(J73:O73,"D")&gt;0,"Desiste",IF(IFERROR(P73,0)&gt;=Parametros!$B$1,"Aprueba","No aprueba")))</f>
        <v/>
      </c>
      <c r="R73" s="19"/>
      <c r="T73" t="str">
        <f>IF($Q73="Aprueba",COUNTIF($Q$2:$Q73,"Aprueba"),"")</f>
        <v/>
      </c>
    </row>
    <row r="74" spans="1:20" ht="15" customHeight="1">
      <c r="A74" s="18" t="str">
        <f t="shared" si="2"/>
        <v/>
      </c>
      <c r="B74" s="19"/>
      <c r="C74" s="20"/>
      <c r="D74" s="19"/>
      <c r="E74" s="22"/>
      <c r="F74" s="19"/>
      <c r="G74" s="19"/>
      <c r="H74" s="30"/>
      <c r="I74" s="19"/>
      <c r="J74" s="25"/>
      <c r="K74" s="25"/>
      <c r="L74" s="25"/>
      <c r="M74" s="25"/>
      <c r="N74" s="25"/>
      <c r="O74" s="25"/>
      <c r="P74" s="31" t="str">
        <f>IF(F74="","",(J74*Parametros!$K$4+K74*Parametros!$K$5+M74*Parametros!$K$6+N74*Parametros!$K$7+O74*Parametros!$K$8)/Parametros!$B$2)</f>
        <v/>
      </c>
      <c r="Q74" s="3" t="str">
        <f>IF(F74="","",IF(COUNTIF(J74:O74,"D")&gt;0,"Desiste",IF(IFERROR(P74,0)&gt;=Parametros!$B$1,"Aprueba","No aprueba")))</f>
        <v/>
      </c>
      <c r="R74" s="19"/>
      <c r="T74" t="str">
        <f>IF($Q74="Aprueba",COUNTIF($Q$2:$Q74,"Aprueba"),"")</f>
        <v/>
      </c>
    </row>
    <row r="75" spans="1:20" ht="15" customHeight="1">
      <c r="A75" s="18" t="str">
        <f t="shared" si="2"/>
        <v/>
      </c>
      <c r="B75" s="19"/>
      <c r="C75" s="20"/>
      <c r="D75" s="19"/>
      <c r="E75" s="22"/>
      <c r="F75" s="19"/>
      <c r="G75" s="19"/>
      <c r="H75" s="30"/>
      <c r="I75" s="19"/>
      <c r="J75" s="25"/>
      <c r="K75" s="25"/>
      <c r="L75" s="25"/>
      <c r="M75" s="25"/>
      <c r="N75" s="25"/>
      <c r="O75" s="25"/>
      <c r="P75" s="31" t="str">
        <f>IF(F75="","",(J75*Parametros!$K$4+K75*Parametros!$K$5+M75*Parametros!$K$6+N75*Parametros!$K$7+O75*Parametros!$K$8)/Parametros!$B$2)</f>
        <v/>
      </c>
      <c r="Q75" s="3" t="str">
        <f>IF(F75="","",IF(COUNTIF(J75:O75,"D")&gt;0,"Desiste",IF(IFERROR(P75,0)&gt;=Parametros!$B$1,"Aprueba","No aprueba")))</f>
        <v/>
      </c>
      <c r="R75" s="19"/>
      <c r="T75" t="str">
        <f>IF($Q75="Aprueba",COUNTIF($Q$2:$Q75,"Aprueba"),"")</f>
        <v/>
      </c>
    </row>
    <row r="76" spans="1:20" ht="15" customHeight="1">
      <c r="A76" s="18" t="str">
        <f t="shared" si="2"/>
        <v/>
      </c>
      <c r="B76" s="19"/>
      <c r="C76" s="20"/>
      <c r="D76" s="19"/>
      <c r="E76" s="22"/>
      <c r="F76" s="19"/>
      <c r="G76" s="19"/>
      <c r="H76" s="30"/>
      <c r="I76" s="19"/>
      <c r="J76" s="25"/>
      <c r="K76" s="25"/>
      <c r="L76" s="25"/>
      <c r="M76" s="25"/>
      <c r="N76" s="25"/>
      <c r="O76" s="25"/>
      <c r="P76" s="31" t="str">
        <f>IF(F76="","",(J76*Parametros!$K$4+K76*Parametros!$K$5+M76*Parametros!$K$6+N76*Parametros!$K$7+O76*Parametros!$K$8)/Parametros!$B$2)</f>
        <v/>
      </c>
      <c r="Q76" s="3" t="str">
        <f>IF(F76="","",IF(COUNTIF(J76:O76,"D")&gt;0,"Desiste",IF(IFERROR(P76,0)&gt;=Parametros!$B$1,"Aprueba","No aprueba")))</f>
        <v/>
      </c>
      <c r="R76" s="19"/>
      <c r="T76" t="str">
        <f>IF($Q76="Aprueba",COUNTIF($Q$2:$Q76,"Aprueba"),"")</f>
        <v/>
      </c>
    </row>
    <row r="77" spans="1:20" ht="15" customHeight="1">
      <c r="A77" s="18" t="str">
        <f t="shared" si="2"/>
        <v/>
      </c>
      <c r="B77" s="19"/>
      <c r="C77" s="20"/>
      <c r="D77" s="19"/>
      <c r="E77" s="22"/>
      <c r="F77" s="19"/>
      <c r="G77" s="19"/>
      <c r="H77" s="30"/>
      <c r="I77" s="19"/>
      <c r="J77" s="25"/>
      <c r="K77" s="25"/>
      <c r="L77" s="25"/>
      <c r="M77" s="25"/>
      <c r="N77" s="25"/>
      <c r="O77" s="25"/>
      <c r="P77" s="31" t="str">
        <f>IF(F77="","",(J77*Parametros!$K$4+K77*Parametros!$K$5+M77*Parametros!$K$6+N77*Parametros!$K$7+O77*Parametros!$K$8)/Parametros!$B$2)</f>
        <v/>
      </c>
      <c r="Q77" s="3" t="str">
        <f>IF(F77="","",IF(COUNTIF(J77:O77,"D")&gt;0,"Desiste",IF(IFERROR(P77,0)&gt;=Parametros!$B$1,"Aprueba","No aprueba")))</f>
        <v/>
      </c>
      <c r="R77" s="19"/>
      <c r="T77" t="str">
        <f>IF($Q77="Aprueba",COUNTIF($Q$2:$Q77,"Aprueba"),"")</f>
        <v/>
      </c>
    </row>
    <row r="78" spans="1:20" ht="15" customHeight="1">
      <c r="A78" s="18" t="str">
        <f t="shared" si="2"/>
        <v/>
      </c>
      <c r="B78" s="19"/>
      <c r="C78" s="20"/>
      <c r="D78" s="19"/>
      <c r="E78" s="22"/>
      <c r="F78" s="19"/>
      <c r="G78" s="19"/>
      <c r="H78" s="30"/>
      <c r="I78" s="19"/>
      <c r="J78" s="25"/>
      <c r="K78" s="25"/>
      <c r="L78" s="25"/>
      <c r="M78" s="25"/>
      <c r="N78" s="25"/>
      <c r="O78" s="25"/>
      <c r="P78" s="31" t="str">
        <f>IF(F78="","",(J78*Parametros!$K$4+K78*Parametros!$K$5+M78*Parametros!$K$6+N78*Parametros!$K$7+O78*Parametros!$K$8)/Parametros!$B$2)</f>
        <v/>
      </c>
      <c r="Q78" s="3" t="str">
        <f>IF(F78="","",IF(COUNTIF(J78:O78,"D")&gt;0,"Desiste",IF(IFERROR(P78,0)&gt;=Parametros!$B$1,"Aprueba","No aprueba")))</f>
        <v/>
      </c>
      <c r="R78" s="19"/>
      <c r="T78" t="str">
        <f>IF($Q78="Aprueba",COUNTIF($Q$2:$Q78,"Aprueba"),"")</f>
        <v/>
      </c>
    </row>
    <row r="79" spans="1:20" ht="15" customHeight="1">
      <c r="A79" s="18" t="str">
        <f t="shared" si="2"/>
        <v/>
      </c>
      <c r="B79" s="19"/>
      <c r="C79" s="20"/>
      <c r="D79" s="19"/>
      <c r="E79" s="22"/>
      <c r="F79" s="19"/>
      <c r="G79" s="19"/>
      <c r="H79" s="30"/>
      <c r="I79" s="19"/>
      <c r="J79" s="25"/>
      <c r="K79" s="25"/>
      <c r="L79" s="25"/>
      <c r="M79" s="25"/>
      <c r="N79" s="25"/>
      <c r="O79" s="25"/>
      <c r="P79" s="31" t="str">
        <f>IF(F79="","",(J79*Parametros!$K$4+K79*Parametros!$K$5+M79*Parametros!$K$6+N79*Parametros!$K$7+O79*Parametros!$K$8)/Parametros!$B$2)</f>
        <v/>
      </c>
      <c r="Q79" s="3" t="str">
        <f>IF(F79="","",IF(COUNTIF(J79:O79,"D")&gt;0,"Desiste",IF(IFERROR(P79,0)&gt;=Parametros!$B$1,"Aprueba","No aprueba")))</f>
        <v/>
      </c>
      <c r="R79" s="19"/>
      <c r="T79" t="str">
        <f>IF($Q79="Aprueba",COUNTIF($Q$2:$Q79,"Aprueba"),"")</f>
        <v/>
      </c>
    </row>
    <row r="80" spans="1:20" ht="15" customHeight="1">
      <c r="A80" s="18" t="str">
        <f t="shared" si="2"/>
        <v/>
      </c>
      <c r="B80" s="19"/>
      <c r="C80" s="20"/>
      <c r="D80" s="19"/>
      <c r="E80" s="22"/>
      <c r="F80" s="19"/>
      <c r="G80" s="19"/>
      <c r="H80" s="30"/>
      <c r="I80" s="19"/>
      <c r="J80" s="25"/>
      <c r="K80" s="25"/>
      <c r="L80" s="25"/>
      <c r="M80" s="25"/>
      <c r="N80" s="25"/>
      <c r="O80" s="25"/>
      <c r="P80" s="31" t="str">
        <f>IF(F80="","",(J80*Parametros!$K$4+K80*Parametros!$K$5+M80*Parametros!$K$6+N80*Parametros!$K$7+O80*Parametros!$K$8)/Parametros!$B$2)</f>
        <v/>
      </c>
      <c r="Q80" s="3" t="str">
        <f>IF(F80="","",IF(COUNTIF(J80:O80,"D")&gt;0,"Desiste",IF(IFERROR(P80,0)&gt;=Parametros!$B$1,"Aprueba","No aprueba")))</f>
        <v/>
      </c>
      <c r="R80" s="19"/>
      <c r="T80" t="str">
        <f>IF($Q80="Aprueba",COUNTIF($Q$2:$Q80,"Aprueba"),"")</f>
        <v/>
      </c>
    </row>
    <row r="81" spans="1:20" ht="15" customHeight="1">
      <c r="A81" s="18" t="str">
        <f t="shared" si="2"/>
        <v/>
      </c>
      <c r="B81" s="19"/>
      <c r="C81" s="20"/>
      <c r="D81" s="19"/>
      <c r="E81" s="22"/>
      <c r="F81" s="19"/>
      <c r="G81" s="19"/>
      <c r="H81" s="30"/>
      <c r="I81" s="19"/>
      <c r="J81" s="25"/>
      <c r="K81" s="25"/>
      <c r="L81" s="25"/>
      <c r="M81" s="25"/>
      <c r="N81" s="25"/>
      <c r="O81" s="25"/>
      <c r="P81" s="31" t="str">
        <f>IF(F81="","",(J81*Parametros!$K$4+K81*Parametros!$K$5+M81*Parametros!$K$6+N81*Parametros!$K$7+O81*Parametros!$K$8)/Parametros!$B$2)</f>
        <v/>
      </c>
      <c r="Q81" s="3" t="str">
        <f>IF(F81="","",IF(COUNTIF(J81:O81,"D")&gt;0,"Desiste",IF(IFERROR(P81,0)&gt;=Parametros!$B$1,"Aprueba","No aprueba")))</f>
        <v/>
      </c>
      <c r="R81" s="19"/>
      <c r="T81" t="str">
        <f>IF($Q81="Aprueba",COUNTIF($Q$2:$Q81,"Aprueba"),"")</f>
        <v/>
      </c>
    </row>
    <row r="82" spans="1:20" ht="15" customHeight="1">
      <c r="A82" s="18" t="str">
        <f t="shared" si="2"/>
        <v/>
      </c>
      <c r="B82" s="19"/>
      <c r="C82" s="20"/>
      <c r="D82" s="19"/>
      <c r="E82" s="22"/>
      <c r="F82" s="19"/>
      <c r="G82" s="19"/>
      <c r="H82" s="30"/>
      <c r="I82" s="19"/>
      <c r="J82" s="25"/>
      <c r="K82" s="25"/>
      <c r="L82" s="25"/>
      <c r="M82" s="25"/>
      <c r="N82" s="25"/>
      <c r="O82" s="25"/>
      <c r="P82" s="31" t="str">
        <f>IF(F82="","",(J82*Parametros!$K$4+K82*Parametros!$K$5+M82*Parametros!$K$6+N82*Parametros!$K$7+O82*Parametros!$K$8)/Parametros!$B$2)</f>
        <v/>
      </c>
      <c r="Q82" s="3" t="str">
        <f>IF(F82="","",IF(COUNTIF(J82:O82,"D")&gt;0,"Desiste",IF(IFERROR(P82,0)&gt;=Parametros!$B$1,"Aprueba","No aprueba")))</f>
        <v/>
      </c>
      <c r="R82" s="19"/>
      <c r="T82" t="str">
        <f>IF($Q82="Aprueba",COUNTIF($Q$2:$Q82,"Aprueba"),"")</f>
        <v/>
      </c>
    </row>
    <row r="83" spans="1:20" ht="15" customHeight="1">
      <c r="A83" s="18" t="str">
        <f t="shared" si="2"/>
        <v/>
      </c>
      <c r="B83" s="19"/>
      <c r="C83" s="20"/>
      <c r="D83" s="19"/>
      <c r="E83" s="22"/>
      <c r="F83" s="19"/>
      <c r="G83" s="19"/>
      <c r="H83" s="30"/>
      <c r="I83" s="19"/>
      <c r="J83" s="25"/>
      <c r="K83" s="25"/>
      <c r="L83" s="25"/>
      <c r="M83" s="25"/>
      <c r="N83" s="25"/>
      <c r="O83" s="25"/>
      <c r="P83" s="31" t="str">
        <f>IF(F83="","",(J83*Parametros!$K$4+K83*Parametros!$K$5+M83*Parametros!$K$6+N83*Parametros!$K$7+O83*Parametros!$K$8)/Parametros!$B$2)</f>
        <v/>
      </c>
      <c r="Q83" s="3" t="str">
        <f>IF(F83="","",IF(COUNTIF(J83:O83,"D")&gt;0,"Desiste",IF(IFERROR(P83,0)&gt;=Parametros!$B$1,"Aprueba","No aprueba")))</f>
        <v/>
      </c>
      <c r="R83" s="19"/>
      <c r="T83" t="str">
        <f>IF($Q83="Aprueba",COUNTIF($Q$2:$Q83,"Aprueba"),"")</f>
        <v/>
      </c>
    </row>
    <row r="84" spans="1:20" ht="15" customHeight="1">
      <c r="A84" s="18" t="str">
        <f t="shared" si="2"/>
        <v/>
      </c>
      <c r="B84" s="19"/>
      <c r="C84" s="20"/>
      <c r="D84" s="19"/>
      <c r="E84" s="22"/>
      <c r="F84" s="19"/>
      <c r="G84" s="19"/>
      <c r="H84" s="30"/>
      <c r="I84" s="19"/>
      <c r="J84" s="25"/>
      <c r="K84" s="25"/>
      <c r="L84" s="25"/>
      <c r="M84" s="25"/>
      <c r="N84" s="25"/>
      <c r="O84" s="25"/>
      <c r="P84" s="31" t="str">
        <f>IF(F84="","",(J84*Parametros!$K$4+K84*Parametros!$K$5+M84*Parametros!$K$6+N84*Parametros!$K$7+O84*Parametros!$K$8)/Parametros!$B$2)</f>
        <v/>
      </c>
      <c r="Q84" s="3" t="str">
        <f>IF(F84="","",IF(COUNTIF(J84:O84,"D")&gt;0,"Desiste",IF(IFERROR(P84,0)&gt;=Parametros!$B$1,"Aprueba","No aprueba")))</f>
        <v/>
      </c>
      <c r="R84" s="19"/>
      <c r="T84" t="str">
        <f>IF($Q84="Aprueba",COUNTIF($Q$2:$Q84,"Aprueba"),"")</f>
        <v/>
      </c>
    </row>
    <row r="85" spans="1:20" ht="15" customHeight="1">
      <c r="A85" s="18" t="str">
        <f t="shared" si="2"/>
        <v/>
      </c>
      <c r="B85" s="19"/>
      <c r="C85" s="20"/>
      <c r="D85" s="19"/>
      <c r="E85" s="22"/>
      <c r="F85" s="19"/>
      <c r="G85" s="19"/>
      <c r="H85" s="30"/>
      <c r="I85" s="19"/>
      <c r="J85" s="25"/>
      <c r="K85" s="25"/>
      <c r="L85" s="25"/>
      <c r="M85" s="25"/>
      <c r="N85" s="25"/>
      <c r="O85" s="25"/>
      <c r="P85" s="31" t="str">
        <f>IF(F85="","",(J85*Parametros!$K$4+K85*Parametros!$K$5+M85*Parametros!$K$6+N85*Parametros!$K$7+O85*Parametros!$K$8)/Parametros!$B$2)</f>
        <v/>
      </c>
      <c r="Q85" s="3" t="str">
        <f>IF(F85="","",IF(COUNTIF(J85:O85,"D")&gt;0,"Desiste",IF(IFERROR(P85,0)&gt;=Parametros!$B$1,"Aprueba","No aprueba")))</f>
        <v/>
      </c>
      <c r="R85" s="19"/>
      <c r="T85" t="str">
        <f>IF($Q85="Aprueba",COUNTIF($Q$2:$Q85,"Aprueba"),"")</f>
        <v/>
      </c>
    </row>
    <row r="86" spans="1:20" ht="15" customHeight="1">
      <c r="A86" s="18" t="str">
        <f t="shared" si="2"/>
        <v/>
      </c>
      <c r="B86" s="19"/>
      <c r="C86" s="20"/>
      <c r="D86" s="19"/>
      <c r="E86" s="22"/>
      <c r="F86" s="19"/>
      <c r="G86" s="19"/>
      <c r="H86" s="30"/>
      <c r="I86" s="19"/>
      <c r="J86" s="25"/>
      <c r="K86" s="25"/>
      <c r="L86" s="25"/>
      <c r="M86" s="25"/>
      <c r="N86" s="25"/>
      <c r="O86" s="25"/>
      <c r="P86" s="31" t="str">
        <f>IF(F86="","",(J86*Parametros!$K$4+K86*Parametros!$K$5+M86*Parametros!$K$6+N86*Parametros!$K$7+O86*Parametros!$K$8)/Parametros!$B$2)</f>
        <v/>
      </c>
      <c r="Q86" s="3" t="str">
        <f>IF(F86="","",IF(COUNTIF(J86:O86,"D")&gt;0,"Desiste",IF(IFERROR(P86,0)&gt;=Parametros!$B$1,"Aprueba","No aprueba")))</f>
        <v/>
      </c>
      <c r="R86" s="19"/>
      <c r="T86" t="str">
        <f>IF($Q86="Aprueba",COUNTIF($Q$2:$Q86,"Aprueba"),"")</f>
        <v/>
      </c>
    </row>
    <row r="87" spans="1:20" ht="15" customHeight="1">
      <c r="A87" s="18" t="str">
        <f t="shared" si="2"/>
        <v/>
      </c>
      <c r="B87" s="19"/>
      <c r="C87" s="20"/>
      <c r="D87" s="19"/>
      <c r="E87" s="22"/>
      <c r="F87" s="19"/>
      <c r="G87" s="19"/>
      <c r="H87" s="30"/>
      <c r="I87" s="19"/>
      <c r="J87" s="25"/>
      <c r="K87" s="25"/>
      <c r="L87" s="25"/>
      <c r="M87" s="25"/>
      <c r="N87" s="25"/>
      <c r="O87" s="25"/>
      <c r="P87" s="31" t="str">
        <f>IF(F87="","",(J87*Parametros!$K$4+K87*Parametros!$K$5+M87*Parametros!$K$6+N87*Parametros!$K$7+O87*Parametros!$K$8)/Parametros!$B$2)</f>
        <v/>
      </c>
      <c r="Q87" s="3" t="str">
        <f>IF(F87="","",IF(COUNTIF(J87:O87,"D")&gt;0,"Desiste",IF(IFERROR(P87,0)&gt;=Parametros!$B$1,"Aprueba","No aprueba")))</f>
        <v/>
      </c>
      <c r="R87" s="19"/>
      <c r="T87" t="str">
        <f>IF($Q87="Aprueba",COUNTIF($Q$2:$Q87,"Aprueba"),"")</f>
        <v/>
      </c>
    </row>
    <row r="88" spans="1:20" ht="15" customHeight="1">
      <c r="A88" s="18" t="str">
        <f t="shared" si="2"/>
        <v/>
      </c>
      <c r="B88" s="19"/>
      <c r="C88" s="20"/>
      <c r="D88" s="19"/>
      <c r="E88" s="22"/>
      <c r="F88" s="19"/>
      <c r="G88" s="19"/>
      <c r="H88" s="30"/>
      <c r="I88" s="19"/>
      <c r="J88" s="25"/>
      <c r="K88" s="25"/>
      <c r="L88" s="25"/>
      <c r="M88" s="25"/>
      <c r="N88" s="25"/>
      <c r="O88" s="25"/>
      <c r="P88" s="31" t="str">
        <f>IF(F88="","",(J88*Parametros!$K$4+K88*Parametros!$K$5+M88*Parametros!$K$6+N88*Parametros!$K$7+O88*Parametros!$K$8)/Parametros!$B$2)</f>
        <v/>
      </c>
      <c r="Q88" s="3" t="str">
        <f>IF(F88="","",IF(COUNTIF(J88:O88,"D")&gt;0,"Desiste",IF(IFERROR(P88,0)&gt;=Parametros!$B$1,"Aprueba","No aprueba")))</f>
        <v/>
      </c>
      <c r="R88" s="19"/>
      <c r="T88" t="str">
        <f>IF($Q88="Aprueba",COUNTIF($Q$2:$Q88,"Aprueba"),"")</f>
        <v/>
      </c>
    </row>
    <row r="89" spans="1:20" ht="15" customHeight="1">
      <c r="A89" s="18" t="str">
        <f t="shared" si="2"/>
        <v/>
      </c>
      <c r="B89" s="19"/>
      <c r="C89" s="20"/>
      <c r="D89" s="19"/>
      <c r="E89" s="22"/>
      <c r="F89" s="19"/>
      <c r="G89" s="19"/>
      <c r="H89" s="30"/>
      <c r="I89" s="19"/>
      <c r="J89" s="25"/>
      <c r="K89" s="25"/>
      <c r="L89" s="25"/>
      <c r="M89" s="25"/>
      <c r="N89" s="25"/>
      <c r="O89" s="25"/>
      <c r="P89" s="31" t="str">
        <f>IF(F89="","",(J89*Parametros!$K$4+K89*Parametros!$K$5+M89*Parametros!$K$6+N89*Parametros!$K$7+O89*Parametros!$K$8)/Parametros!$B$2)</f>
        <v/>
      </c>
      <c r="Q89" s="3" t="str">
        <f>IF(F89="","",IF(COUNTIF(J89:O89,"D")&gt;0,"Desiste",IF(IFERROR(P89,0)&gt;=Parametros!$B$1,"Aprueba","No aprueba")))</f>
        <v/>
      </c>
      <c r="R89" s="19"/>
      <c r="T89" t="str">
        <f>IF($Q89="Aprueba",COUNTIF($Q$2:$Q89,"Aprueba"),"")</f>
        <v/>
      </c>
    </row>
    <row r="90" spans="1:20" ht="15" customHeight="1">
      <c r="A90" s="18" t="str">
        <f t="shared" si="2"/>
        <v/>
      </c>
      <c r="B90" s="19"/>
      <c r="C90" s="20"/>
      <c r="D90" s="19"/>
      <c r="E90" s="22"/>
      <c r="F90" s="19"/>
      <c r="G90" s="19"/>
      <c r="H90" s="30"/>
      <c r="I90" s="19"/>
      <c r="J90" s="25"/>
      <c r="K90" s="25"/>
      <c r="L90" s="25"/>
      <c r="M90" s="25"/>
      <c r="N90" s="25"/>
      <c r="O90" s="25"/>
      <c r="P90" s="31" t="str">
        <f>IF(F90="","",(J90*Parametros!$K$4+K90*Parametros!$K$5+M90*Parametros!$K$6+N90*Parametros!$K$7+O90*Parametros!$K$8)/Parametros!$B$2)</f>
        <v/>
      </c>
      <c r="Q90" s="3" t="str">
        <f>IF(F90="","",IF(COUNTIF(J90:O90,"D")&gt;0,"Desiste",IF(IFERROR(P90,0)&gt;=Parametros!$B$1,"Aprueba","No aprueba")))</f>
        <v/>
      </c>
      <c r="R90" s="19"/>
      <c r="T90" t="str">
        <f>IF($Q90="Aprueba",COUNTIF($Q$2:$Q90,"Aprueba"),"")</f>
        <v/>
      </c>
    </row>
    <row r="91" spans="1:20" ht="15" customHeight="1">
      <c r="A91" s="18" t="str">
        <f t="shared" si="2"/>
        <v/>
      </c>
      <c r="B91" s="19"/>
      <c r="C91" s="20"/>
      <c r="D91" s="19"/>
      <c r="E91" s="22"/>
      <c r="F91" s="19"/>
      <c r="G91" s="19"/>
      <c r="H91" s="30"/>
      <c r="I91" s="19"/>
      <c r="J91" s="25"/>
      <c r="K91" s="25"/>
      <c r="L91" s="25"/>
      <c r="M91" s="25"/>
      <c r="N91" s="25"/>
      <c r="O91" s="25"/>
      <c r="P91" s="31" t="str">
        <f>IF(F91="","",(J91*Parametros!$K$4+K91*Parametros!$K$5+M91*Parametros!$K$6+N91*Parametros!$K$7+O91*Parametros!$K$8)/Parametros!$B$2)</f>
        <v/>
      </c>
      <c r="Q91" s="3" t="str">
        <f>IF(F91="","",IF(COUNTIF(J91:O91,"D")&gt;0,"Desiste",IF(IFERROR(P91,0)&gt;=Parametros!$B$1,"Aprueba","No aprueba")))</f>
        <v/>
      </c>
      <c r="R91" s="19"/>
      <c r="T91" t="str">
        <f>IF($Q91="Aprueba",COUNTIF($Q$2:$Q91,"Aprueba"),"")</f>
        <v/>
      </c>
    </row>
    <row r="92" spans="1:20" ht="15" customHeight="1">
      <c r="A92" s="18" t="str">
        <f t="shared" si="2"/>
        <v/>
      </c>
      <c r="B92" s="19"/>
      <c r="C92" s="20"/>
      <c r="D92" s="19"/>
      <c r="E92" s="22"/>
      <c r="F92" s="19"/>
      <c r="G92" s="19"/>
      <c r="H92" s="30"/>
      <c r="I92" s="19"/>
      <c r="J92" s="25"/>
      <c r="K92" s="25"/>
      <c r="L92" s="25"/>
      <c r="M92" s="25"/>
      <c r="N92" s="25"/>
      <c r="O92" s="25"/>
      <c r="P92" s="31" t="str">
        <f>IF(F92="","",(J92*Parametros!$K$4+K92*Parametros!$K$5+M92*Parametros!$K$6+N92*Parametros!$K$7+O92*Parametros!$K$8)/Parametros!$B$2)</f>
        <v/>
      </c>
      <c r="Q92" s="3" t="str">
        <f>IF(F92="","",IF(COUNTIF(J92:O92,"D")&gt;0,"Desiste",IF(IFERROR(P92,0)&gt;=Parametros!$B$1,"Aprueba","No aprueba")))</f>
        <v/>
      </c>
      <c r="R92" s="19"/>
      <c r="T92" t="str">
        <f>IF($Q92="Aprueba",COUNTIF($Q$2:$Q92,"Aprueba"),"")</f>
        <v/>
      </c>
    </row>
    <row r="93" spans="1:20" ht="15" customHeight="1">
      <c r="A93" s="18" t="str">
        <f t="shared" si="2"/>
        <v/>
      </c>
      <c r="B93" s="19"/>
      <c r="C93" s="20"/>
      <c r="D93" s="19"/>
      <c r="E93" s="22"/>
      <c r="F93" s="19"/>
      <c r="G93" s="19"/>
      <c r="H93" s="30"/>
      <c r="I93" s="19"/>
      <c r="J93" s="25"/>
      <c r="K93" s="25"/>
      <c r="L93" s="25"/>
      <c r="M93" s="25"/>
      <c r="N93" s="25"/>
      <c r="O93" s="25"/>
      <c r="P93" s="31" t="str">
        <f>IF(F93="","",(J93*Parametros!$K$4+K93*Parametros!$K$5+M93*Parametros!$K$6+N93*Parametros!$K$7+O93*Parametros!$K$8)/Parametros!$B$2)</f>
        <v/>
      </c>
      <c r="Q93" s="3" t="str">
        <f>IF(F93="","",IF(COUNTIF(J93:O93,"D")&gt;0,"Desiste",IF(IFERROR(P93,0)&gt;=Parametros!$B$1,"Aprueba","No aprueba")))</f>
        <v/>
      </c>
      <c r="R93" s="19"/>
      <c r="T93" t="str">
        <f>IF($Q93="Aprueba",COUNTIF($Q$2:$Q93,"Aprueba"),"")</f>
        <v/>
      </c>
    </row>
    <row r="94" spans="1:20" ht="15" customHeight="1">
      <c r="A94" s="18" t="str">
        <f t="shared" si="2"/>
        <v/>
      </c>
      <c r="B94" s="19"/>
      <c r="C94" s="20"/>
      <c r="D94" s="19"/>
      <c r="E94" s="22"/>
      <c r="F94" s="19"/>
      <c r="G94" s="19"/>
      <c r="H94" s="30"/>
      <c r="I94" s="19"/>
      <c r="J94" s="25"/>
      <c r="K94" s="25"/>
      <c r="L94" s="25"/>
      <c r="M94" s="25"/>
      <c r="N94" s="25"/>
      <c r="O94" s="25"/>
      <c r="P94" s="31" t="str">
        <f>IF(F94="","",(J94*Parametros!$K$4+K94*Parametros!$K$5+M94*Parametros!$K$6+N94*Parametros!$K$7+O94*Parametros!$K$8)/Parametros!$B$2)</f>
        <v/>
      </c>
      <c r="Q94" s="3" t="str">
        <f>IF(F94="","",IF(COUNTIF(J94:O94,"D")&gt;0,"Desiste",IF(IFERROR(P94,0)&gt;=Parametros!$B$1,"Aprueba","No aprueba")))</f>
        <v/>
      </c>
      <c r="R94" s="19"/>
      <c r="T94" t="str">
        <f>IF($Q94="Aprueba",COUNTIF($Q$2:$Q94,"Aprueba"),"")</f>
        <v/>
      </c>
    </row>
    <row r="95" spans="1:20" ht="15" customHeight="1">
      <c r="A95" s="18" t="str">
        <f t="shared" si="2"/>
        <v/>
      </c>
      <c r="B95" s="19"/>
      <c r="C95" s="20"/>
      <c r="D95" s="19"/>
      <c r="E95" s="22"/>
      <c r="F95" s="19"/>
      <c r="G95" s="19"/>
      <c r="H95" s="30"/>
      <c r="I95" s="19"/>
      <c r="J95" s="25"/>
      <c r="K95" s="25"/>
      <c r="L95" s="25"/>
      <c r="M95" s="25"/>
      <c r="N95" s="25"/>
      <c r="O95" s="25"/>
      <c r="P95" s="31" t="str">
        <f>IF(F95="","",(J95*Parametros!$K$4+K95*Parametros!$K$5+M95*Parametros!$K$6+N95*Parametros!$K$7+O95*Parametros!$K$8)/Parametros!$B$2)</f>
        <v/>
      </c>
      <c r="Q95" s="3" t="str">
        <f>IF(F95="","",IF(COUNTIF(J95:O95,"D")&gt;0,"Desiste",IF(IFERROR(P95,0)&gt;=Parametros!$B$1,"Aprueba","No aprueba")))</f>
        <v/>
      </c>
      <c r="R95" s="19"/>
      <c r="T95" t="str">
        <f>IF($Q95="Aprueba",COUNTIF($Q$2:$Q95,"Aprueba"),"")</f>
        <v/>
      </c>
    </row>
    <row r="96" spans="1:20" ht="15" customHeight="1">
      <c r="A96" s="18" t="str">
        <f t="shared" si="2"/>
        <v/>
      </c>
      <c r="B96" s="19"/>
      <c r="C96" s="20"/>
      <c r="D96" s="19"/>
      <c r="E96" s="22"/>
      <c r="F96" s="19"/>
      <c r="G96" s="19"/>
      <c r="H96" s="30"/>
      <c r="I96" s="19"/>
      <c r="J96" s="25"/>
      <c r="K96" s="25"/>
      <c r="L96" s="25"/>
      <c r="M96" s="25"/>
      <c r="N96" s="25"/>
      <c r="O96" s="25"/>
      <c r="P96" s="31" t="str">
        <f>IF(F96="","",(J96*Parametros!$K$4+K96*Parametros!$K$5+M96*Parametros!$K$6+N96*Parametros!$K$7+O96*Parametros!$K$8)/Parametros!$B$2)</f>
        <v/>
      </c>
      <c r="Q96" s="3" t="str">
        <f>IF(F96="","",IF(COUNTIF(J96:O96,"D")&gt;0,"Desiste",IF(IFERROR(P96,0)&gt;=Parametros!$B$1,"Aprueba","No aprueba")))</f>
        <v/>
      </c>
      <c r="R96" s="19"/>
      <c r="T96" t="str">
        <f>IF($Q96="Aprueba",COUNTIF($Q$2:$Q96,"Aprueba"),"")</f>
        <v/>
      </c>
    </row>
    <row r="97" spans="17:20" ht="14.25" customHeight="1">
      <c r="Q97" t="str">
        <f>IF(F97="","",IF(COUNTIF(J97:O97,"D")&gt;0,"Desiste",IF(IFERROR(P97,0)&gt;=Parametros!$B$1,"Aprueba","No aprueba")))</f>
        <v/>
      </c>
      <c r="T97" t="str">
        <f>IF($Q97="Aprueba",COUNTIF($Q$2:$Q97,"Aprueba"),"")</f>
        <v/>
      </c>
    </row>
    <row r="98" spans="17:20" ht="14.25" customHeight="1">
      <c r="Q98" t="str">
        <f>IF(F98="","",IF(COUNTIF(J98:O98,"D")&gt;0,"Desiste",IF(IFERROR(P98,0)&gt;=Parametros!$B$1,"Aprueba","No aprueba")))</f>
        <v/>
      </c>
      <c r="T98" t="str">
        <f>IF($Q98="Aprueba",COUNTIF($Q$2:$Q98,"Aprueba"),"")</f>
        <v/>
      </c>
    </row>
    <row r="99" spans="17:20" ht="14.25" customHeight="1">
      <c r="Q99" t="str">
        <f>IF(F99="","",IF(COUNTIF(J99:O99,"D")&gt;0,"Desiste",IF(IFERROR(P99,0)&gt;=Parametros!$B$1,"Aprueba","No aprueba")))</f>
        <v/>
      </c>
      <c r="T99" t="str">
        <f>IF($Q99="Aprueba",COUNTIF($Q$2:$Q99,"Aprueba"),"")</f>
        <v/>
      </c>
    </row>
    <row r="100" spans="17:20" ht="14.25" customHeight="1">
      <c r="Q100" t="str">
        <f>IF(F100="","",IF(COUNTIF(J100:O100,"D")&gt;0,"Desiste",IF(IFERROR(P100,0)&gt;=Parametros!$B$1,"Aprueba","No aprueba")))</f>
        <v/>
      </c>
      <c r="T100" t="str">
        <f>IF($Q100="Aprueba",COUNTIF($Q$2:$Q100,"Aprueba"),"")</f>
        <v/>
      </c>
    </row>
    <row r="101" spans="17:20" ht="14.25" customHeight="1">
      <c r="Q101" t="str">
        <f>IF(F101="","",IF(COUNTIF(J101:O101,"D")&gt;0,"Desiste",IF(IFERROR(P101,0)&gt;=Parametros!$B$1,"Aprueba","No aprueba")))</f>
        <v/>
      </c>
      <c r="T101" t="str">
        <f>IF($Q101="Aprueba",COUNTIF($Q$2:$Q101,"Aprueba"),"")</f>
        <v/>
      </c>
    </row>
    <row r="102" spans="17:20" ht="14.25" customHeight="1">
      <c r="Q102" t="str">
        <f>IF(F102="","",IF(COUNTIF(J102:O102,"D")&gt;0,"Desiste",IF(IFERROR(P102,0)&gt;=Parametros!$B$1,"Aprueba","No aprueba")))</f>
        <v/>
      </c>
      <c r="T102" t="str">
        <f>IF($Q102="Aprueba",COUNTIF($Q$2:$Q102,"Aprueba"),"")</f>
        <v/>
      </c>
    </row>
    <row r="103" spans="17:20" ht="14.25" customHeight="1">
      <c r="Q103" t="str">
        <f>IF(F103="","",IF(COUNTIF(J103:O103,"D")&gt;0,"Desiste",IF(IFERROR(P103,0)&gt;=Parametros!$B$1,"Aprueba","No aprueba")))</f>
        <v/>
      </c>
      <c r="T103" t="str">
        <f>IF($Q103="Aprueba",COUNTIF($Q$2:$Q103,"Aprueba"),"")</f>
        <v/>
      </c>
    </row>
    <row r="104" spans="17:20" ht="14.25" customHeight="1">
      <c r="Q104" t="str">
        <f>IF(F104="","",IF(COUNTIF(J104:O104,"D")&gt;0,"Desiste",IF(IFERROR(P104,0)&gt;=Parametros!$B$1,"Aprueba","No aprueba")))</f>
        <v/>
      </c>
      <c r="T104" t="str">
        <f>IF($Q104="Aprueba",COUNTIF($Q$2:$Q104,"Aprueba"),"")</f>
        <v/>
      </c>
    </row>
    <row r="105" spans="17:20" ht="14.25" customHeight="1">
      <c r="Q105" t="str">
        <f>IF(F105="","",IF(COUNTIF(J105:O105,"D")&gt;0,"Desiste",IF(IFERROR(P105,0)&gt;=Parametros!$B$1,"Aprueba","No aprueba")))</f>
        <v/>
      </c>
      <c r="T105" t="str">
        <f>IF($Q105="Aprueba",COUNTIF($Q$2:$Q105,"Aprueba"),"")</f>
        <v/>
      </c>
    </row>
    <row r="106" spans="17:20" ht="14.25" customHeight="1">
      <c r="Q106" t="str">
        <f>IF(F106="","",IF(COUNTIF(J106:O106,"D")&gt;0,"Desiste",IF(IFERROR(P106,0)&gt;=Parametros!$B$1,"Aprueba","No aprueba")))</f>
        <v/>
      </c>
      <c r="T106" t="str">
        <f>IF($Q106="Aprueba",COUNTIF($Q$2:$Q106,"Aprueba"),"")</f>
        <v/>
      </c>
    </row>
    <row r="107" spans="17:20" ht="14.25" customHeight="1">
      <c r="Q107" t="str">
        <f>IF(F107="","",IF(COUNTIF(J107:O107,"D")&gt;0,"Desiste",IF(IFERROR(P107,0)&gt;=Parametros!$B$1,"Aprueba","No aprueba")))</f>
        <v/>
      </c>
      <c r="T107" t="str">
        <f>IF($Q107="Aprueba",COUNTIF($Q$2:$Q107,"Aprueba"),"")</f>
        <v/>
      </c>
    </row>
    <row r="108" spans="17:20" ht="14.25" customHeight="1">
      <c r="Q108" t="str">
        <f>IF(F108="","",IF(COUNTIF(J108:O108,"D")&gt;0,"Desiste",IF(IFERROR(P108,0)&gt;=Parametros!$B$1,"Aprueba","No aprueba")))</f>
        <v/>
      </c>
      <c r="T108" t="str">
        <f>IF($Q108="Aprueba",COUNTIF($Q$2:$Q108,"Aprueba"),"")</f>
        <v/>
      </c>
    </row>
    <row r="109" spans="17:20" ht="14.25" customHeight="1">
      <c r="Q109" t="str">
        <f>IF(F109="","",IF(COUNTIF(J109:O109,"D")&gt;0,"Desiste",IF(IFERROR(P109,0)&gt;=Parametros!$B$1,"Aprueba","No aprueba")))</f>
        <v/>
      </c>
      <c r="T109" t="str">
        <f>IF($Q109="Aprueba",COUNTIF($Q$2:$Q109,"Aprueba"),"")</f>
        <v/>
      </c>
    </row>
    <row r="110" spans="17:20" ht="14.25" customHeight="1">
      <c r="Q110" t="str">
        <f>IF(F110="","",IF(COUNTIF(J110:O110,"D")&gt;0,"Desiste",IF(IFERROR(P110,0)&gt;=Parametros!$B$1,"Aprueba","No aprueba")))</f>
        <v/>
      </c>
      <c r="T110" t="str">
        <f>IF($Q110="Aprueba",COUNTIF($Q$2:$Q110,"Aprueba"),"")</f>
        <v/>
      </c>
    </row>
    <row r="111" spans="17:20" ht="14.25" customHeight="1">
      <c r="Q111" t="str">
        <f>IF(F111="","",IF(COUNTIF(J111:O111,"D")&gt;0,"Desiste",IF(IFERROR(P111,0)&gt;=Parametros!$B$1,"Aprueba","No aprueba")))</f>
        <v/>
      </c>
      <c r="T111" t="str">
        <f>IF($Q111="Aprueba",COUNTIF($Q$2:$Q111,"Aprueba"),"")</f>
        <v/>
      </c>
    </row>
    <row r="112" spans="17:20" ht="14.25" customHeight="1">
      <c r="Q112" t="str">
        <f>IF(F112="","",IF(COUNTIF(J112:O112,"D")&gt;0,"Desiste",IF(IFERROR(P112,0)&gt;=Parametros!$B$1,"Aprueba","No aprueba")))</f>
        <v/>
      </c>
      <c r="T112" t="str">
        <f>IF($Q112="Aprueba",COUNTIF($Q$2:$Q112,"Aprueba"),"")</f>
        <v/>
      </c>
    </row>
    <row r="113" spans="17:20" ht="14.25" customHeight="1">
      <c r="Q113" t="str">
        <f>IF(F113="","",IF(COUNTIF(J113:O113,"D")&gt;0,"Desiste",IF(IFERROR(P113,0)&gt;=Parametros!$B$1,"Aprueba","No aprueba")))</f>
        <v/>
      </c>
      <c r="T113" t="str">
        <f>IF($Q113="Aprueba",COUNTIF($Q$2:$Q113,"Aprueba"),"")</f>
        <v/>
      </c>
    </row>
    <row r="114" spans="17:20" ht="14.25" customHeight="1">
      <c r="Q114" t="str">
        <f>IF(F114="","",IF(COUNTIF(J114:O114,"D")&gt;0,"Desiste",IF(IFERROR(P114,0)&gt;=Parametros!$B$1,"Aprueba","No aprueba")))</f>
        <v/>
      </c>
      <c r="T114" t="str">
        <f>IF($Q114="Aprueba",COUNTIF($Q$2:$Q114,"Aprueba"),"")</f>
        <v/>
      </c>
    </row>
    <row r="115" spans="17:20" ht="14.25" customHeight="1">
      <c r="Q115" t="str">
        <f>IF(F115="","",IF(COUNTIF(J115:O115,"D")&gt;0,"Desiste",IF(IFERROR(P115,0)&gt;=Parametros!$B$1,"Aprueba","No aprueba")))</f>
        <v/>
      </c>
      <c r="T115" t="str">
        <f>IF($Q115="Aprueba",COUNTIF($Q$2:$Q115,"Aprueba"),"")</f>
        <v/>
      </c>
    </row>
    <row r="116" spans="17:20" ht="14.25" customHeight="1">
      <c r="Q116" t="str">
        <f>IF(F116="","",IF(COUNTIF(J116:O116,"D")&gt;0,"Desiste",IF(IFERROR(P116,0)&gt;=Parametros!$B$1,"Aprueba","No aprueba")))</f>
        <v/>
      </c>
      <c r="T116" t="str">
        <f>IF($Q116="Aprueba",COUNTIF($Q$2:$Q116,"Aprueba"),"")</f>
        <v/>
      </c>
    </row>
    <row r="117" spans="17:20" ht="14.25" customHeight="1">
      <c r="Q117" t="str">
        <f>IF(F117="","",IF(COUNTIF(J117:O117,"D")&gt;0,"Desiste",IF(IFERROR(P117,0)&gt;=Parametros!$B$1,"Aprueba","No aprueba")))</f>
        <v/>
      </c>
      <c r="T117" t="str">
        <f>IF($Q117="Aprueba",COUNTIF($Q$2:$Q117,"Aprueba"),"")</f>
        <v/>
      </c>
    </row>
    <row r="118" spans="17:20" ht="14.25" customHeight="1">
      <c r="Q118" t="str">
        <f>IF(F118="","",IF(COUNTIF(J118:O118,"D")&gt;0,"Desiste",IF(IFERROR(P118,0)&gt;=Parametros!$B$1,"Aprueba","No aprueba")))</f>
        <v/>
      </c>
      <c r="T118" t="str">
        <f>IF($Q118="Aprueba",COUNTIF($Q$2:$Q118,"Aprueba"),"")</f>
        <v/>
      </c>
    </row>
    <row r="119" spans="17:20" ht="14.25" customHeight="1">
      <c r="Q119" t="str">
        <f>IF(F119="","",IF(COUNTIF(J119:O119,"D")&gt;0,"Desiste",IF(IFERROR(P119,0)&gt;=Parametros!$B$1,"Aprueba","No aprueba")))</f>
        <v/>
      </c>
      <c r="T119" t="str">
        <f>IF($Q119="Aprueba",COUNTIF($Q$2:$Q119,"Aprueba"),"")</f>
        <v/>
      </c>
    </row>
    <row r="120" spans="17:20" ht="14.25" customHeight="1">
      <c r="Q120" t="str">
        <f>IF(F120="","",IF(COUNTIF(J120:O120,"D")&gt;0,"Desiste",IF(IFERROR(P120,0)&gt;=Parametros!$B$1,"Aprueba","No aprueba")))</f>
        <v/>
      </c>
      <c r="T120" t="str">
        <f>IF($Q120="Aprueba",COUNTIF($Q$2:$Q120,"Aprueba"),"")</f>
        <v/>
      </c>
    </row>
    <row r="121" spans="17:20" ht="14.25" customHeight="1">
      <c r="Q121" t="str">
        <f>IF(F121="","",IF(COUNTIF(J121:O121,"D")&gt;0,"Desiste",IF(IFERROR(P121,0)&gt;=Parametros!$B$1,"Aprueba","No aprueba")))</f>
        <v/>
      </c>
      <c r="T121" t="str">
        <f>IF($Q121="Aprueba",COUNTIF($Q$2:$Q121,"Aprueba"),"")</f>
        <v/>
      </c>
    </row>
    <row r="122" spans="17:20" ht="14.25" customHeight="1">
      <c r="Q122" t="str">
        <f>IF(F122="","",IF(COUNTIF(J122:O122,"D")&gt;0,"Desiste",IF(IFERROR(P122,0)&gt;=Parametros!$B$1,"Aprueba","No aprueba")))</f>
        <v/>
      </c>
      <c r="T122" t="str">
        <f>IF($Q122="Aprueba",COUNTIF($Q$2:$Q122,"Aprueba"),"")</f>
        <v/>
      </c>
    </row>
    <row r="123" spans="17:20" ht="14.25" customHeight="1">
      <c r="Q123" t="str">
        <f>IF(F123="","",IF(COUNTIF(J123:O123,"D")&gt;0,"Desiste",IF(IFERROR(P123,0)&gt;=Parametros!$B$1,"Aprueba","No aprueba")))</f>
        <v/>
      </c>
      <c r="T123" t="str">
        <f>IF($Q123="Aprueba",COUNTIF($Q$2:$Q123,"Aprueba"),"")</f>
        <v/>
      </c>
    </row>
    <row r="124" spans="17:20" ht="14.25" customHeight="1">
      <c r="Q124" t="str">
        <f>IF(F124="","",IF(COUNTIF(J124:O124,"D")&gt;0,"Desiste",IF(IFERROR(P124,0)&gt;=Parametros!$B$1,"Aprueba","No aprueba")))</f>
        <v/>
      </c>
      <c r="T124" t="str">
        <f>IF($Q124="Aprueba",COUNTIF($Q$2:$Q124,"Aprueba"),"")</f>
        <v/>
      </c>
    </row>
    <row r="125" spans="17:20" ht="14.25" customHeight="1">
      <c r="Q125" t="str">
        <f>IF(F125="","",IF(COUNTIF(J125:O125,"D")&gt;0,"Desiste",IF(IFERROR(P125,0)&gt;=Parametros!$B$1,"Aprueba","No aprueba")))</f>
        <v/>
      </c>
      <c r="T125" t="str">
        <f>IF($Q125="Aprueba",COUNTIF($Q$2:$Q125,"Aprueba"),"")</f>
        <v/>
      </c>
    </row>
    <row r="126" spans="17:20" ht="14.25" customHeight="1">
      <c r="Q126" t="str">
        <f>IF(F126="","",IF(COUNTIF(J126:O126,"D")&gt;0,"Desiste",IF(IFERROR(P126,0)&gt;=Parametros!$B$1,"Aprueba","No aprueba")))</f>
        <v/>
      </c>
      <c r="T126" t="str">
        <f>IF($Q126="Aprueba",COUNTIF($Q$2:$Q126,"Aprueba"),"")</f>
        <v/>
      </c>
    </row>
    <row r="127" spans="17:20" ht="14.25" customHeight="1">
      <c r="Q127" t="str">
        <f>IF(F127="","",IF(COUNTIF(J127:O127,"D")&gt;0,"Desiste",IF(IFERROR(P127,0)&gt;=Parametros!$B$1,"Aprueba","No aprueba")))</f>
        <v/>
      </c>
      <c r="T127" t="str">
        <f>IF($Q127="Aprueba",COUNTIF($Q$2:$Q127,"Aprueba"),"")</f>
        <v/>
      </c>
    </row>
    <row r="128" spans="17:20" ht="14.25" customHeight="1">
      <c r="Q128" t="str">
        <f>IF(F128="","",IF(COUNTIF(J128:O128,"D")&gt;0,"Desiste",IF(IFERROR(P128,0)&gt;=Parametros!$B$1,"Aprueba","No aprueba")))</f>
        <v/>
      </c>
      <c r="T128" t="str">
        <f>IF($Q128="Aprueba",COUNTIF($Q$2:$Q128,"Aprueba"),"")</f>
        <v/>
      </c>
    </row>
    <row r="129" spans="17:20" ht="14.25" customHeight="1">
      <c r="Q129" t="str">
        <f>IF(F129="","",IF(COUNTIF(J129:O129,"D")&gt;0,"Desiste",IF(IFERROR(P129,0)&gt;=Parametros!$B$1,"Aprueba","No aprueba")))</f>
        <v/>
      </c>
      <c r="T129" t="str">
        <f>IF($Q129="Aprueba",COUNTIF($Q$2:$Q129,"Aprueba"),"")</f>
        <v/>
      </c>
    </row>
    <row r="130" spans="17:20" ht="14.25" customHeight="1">
      <c r="Q130" t="str">
        <f>IF(F130="","",IF(COUNTIF(J130:O130,"D")&gt;0,"Desiste",IF(IFERROR(P130,0)&gt;=Parametros!$B$1,"Aprueba","No aprueba")))</f>
        <v/>
      </c>
      <c r="T130" t="str">
        <f>IF($Q130="Aprueba",COUNTIF($Q$2:$Q130,"Aprueba"),"")</f>
        <v/>
      </c>
    </row>
    <row r="131" spans="17:20" ht="14.25" customHeight="1">
      <c r="Q131" t="str">
        <f>IF(F131="","",IF(COUNTIF(J131:O131,"D")&gt;0,"Desiste",IF(IFERROR(P131,0)&gt;=Parametros!$B$1,"Aprueba","No aprueba")))</f>
        <v/>
      </c>
      <c r="T131" t="str">
        <f>IF($Q131="Aprueba",COUNTIF($Q$2:$Q131,"Aprueba"),"")</f>
        <v/>
      </c>
    </row>
    <row r="132" spans="17:20" ht="14.25" customHeight="1">
      <c r="Q132" t="str">
        <f>IF(F132="","",IF(COUNTIF(J132:O132,"D")&gt;0,"Desiste",IF(IFERROR(P132,0)&gt;=Parametros!$B$1,"Aprueba","No aprueba")))</f>
        <v/>
      </c>
      <c r="T132" t="str">
        <f>IF($Q132="Aprueba",COUNTIF($Q$2:$Q132,"Aprueba"),"")</f>
        <v/>
      </c>
    </row>
    <row r="133" spans="17:20" ht="14.25" customHeight="1">
      <c r="Q133" t="str">
        <f>IF(F133="","",IF(COUNTIF(J133:O133,"D")&gt;0,"Desiste",IF(IFERROR(P133,0)&gt;=Parametros!$B$1,"Aprueba","No aprueba")))</f>
        <v/>
      </c>
      <c r="T133" t="str">
        <f>IF($Q133="Aprueba",COUNTIF($Q$2:$Q133,"Aprueba"),"")</f>
        <v/>
      </c>
    </row>
    <row r="134" spans="17:20" ht="14.25" customHeight="1">
      <c r="Q134" t="str">
        <f>IF(F134="","",IF(COUNTIF(J134:O134,"D")&gt;0,"Desiste",IF(IFERROR(P134,0)&gt;=Parametros!$B$1,"Aprueba","No aprueba")))</f>
        <v/>
      </c>
      <c r="T134" t="str">
        <f>IF($Q134="Aprueba",COUNTIF($Q$2:$Q134,"Aprueba"),"")</f>
        <v/>
      </c>
    </row>
    <row r="135" spans="17:20" ht="14.25" customHeight="1">
      <c r="Q135" t="str">
        <f>IF(F135="","",IF(COUNTIF(J135:O135,"D")&gt;0,"Desiste",IF(IFERROR(P135,0)&gt;=Parametros!$B$1,"Aprueba","No aprueba")))</f>
        <v/>
      </c>
      <c r="T135" t="str">
        <f>IF($Q135="Aprueba",COUNTIF($Q$2:$Q135,"Aprueba"),"")</f>
        <v/>
      </c>
    </row>
    <row r="136" spans="17:20" ht="14.25" customHeight="1">
      <c r="Q136" t="str">
        <f>IF(F136="","",IF(COUNTIF(J136:O136,"D")&gt;0,"Desiste",IF(IFERROR(P136,0)&gt;=Parametros!$B$1,"Aprueba","No aprueba")))</f>
        <v/>
      </c>
      <c r="T136" t="str">
        <f>IF($Q136="Aprueba",COUNTIF($Q$2:$Q136,"Aprueba"),"")</f>
        <v/>
      </c>
    </row>
    <row r="137" spans="17:20" ht="14.25" customHeight="1">
      <c r="Q137" t="str">
        <f>IF(F137="","",IF(COUNTIF(J137:O137,"D")&gt;0,"Desiste",IF(IFERROR(P137,0)&gt;=Parametros!$B$1,"Aprueba","No aprueba")))</f>
        <v/>
      </c>
      <c r="T137" t="str">
        <f>IF($Q137="Aprueba",COUNTIF($Q$2:$Q137,"Aprueba"),"")</f>
        <v/>
      </c>
    </row>
    <row r="138" spans="17:20" ht="14.25" customHeight="1">
      <c r="Q138" t="str">
        <f>IF(F138="","",IF(COUNTIF(J138:O138,"D")&gt;0,"Desiste",IF(IFERROR(P138,0)&gt;=Parametros!$B$1,"Aprueba","No aprueba")))</f>
        <v/>
      </c>
      <c r="T138" t="str">
        <f>IF($Q138="Aprueba",COUNTIF($Q$2:$Q138,"Aprueba"),"")</f>
        <v/>
      </c>
    </row>
    <row r="139" spans="17:20" ht="14.25" customHeight="1">
      <c r="Q139" t="str">
        <f>IF(F139="","",IF(COUNTIF(J139:O139,"D")&gt;0,"Desiste",IF(IFERROR(P139,0)&gt;=Parametros!$B$1,"Aprueba","No aprueba")))</f>
        <v/>
      </c>
      <c r="T139" t="str">
        <f>IF($Q139="Aprueba",COUNTIF($Q$2:$Q139,"Aprueba"),"")</f>
        <v/>
      </c>
    </row>
    <row r="140" spans="17:20" ht="14.25" customHeight="1">
      <c r="Q140" t="str">
        <f>IF(F140="","",IF(COUNTIF(J140:O140,"D")&gt;0,"Desiste",IF(IFERROR(P140,0)&gt;=Parametros!$B$1,"Aprueba","No aprueba")))</f>
        <v/>
      </c>
      <c r="T140" t="str">
        <f>IF($Q140="Aprueba",COUNTIF($Q$2:$Q140,"Aprueba"),"")</f>
        <v/>
      </c>
    </row>
    <row r="141" spans="17:20" ht="14.25" customHeight="1">
      <c r="Q141" t="str">
        <f>IF(F141="","",IF(COUNTIF(J141:O141,"D")&gt;0,"Desiste",IF(IFERROR(P141,0)&gt;=Parametros!$B$1,"Aprueba","No aprueba")))</f>
        <v/>
      </c>
      <c r="T141" t="str">
        <f>IF($Q141="Aprueba",COUNTIF($Q$2:$Q141,"Aprueba"),"")</f>
        <v/>
      </c>
    </row>
    <row r="142" spans="17:20" ht="14.25" customHeight="1">
      <c r="Q142" t="str">
        <f>IF(F142="","",IF(COUNTIF(J142:O142,"D")&gt;0,"Desiste",IF(IFERROR(P142,0)&gt;=Parametros!$B$1,"Aprueba","No aprueba")))</f>
        <v/>
      </c>
      <c r="T142" t="str">
        <f>IF($Q142="Aprueba",COUNTIF($Q$2:$Q142,"Aprueba"),"")</f>
        <v/>
      </c>
    </row>
    <row r="143" spans="17:20" ht="14.25" customHeight="1">
      <c r="Q143" t="str">
        <f>IF(F143="","",IF(COUNTIF(J143:O143,"D")&gt;0,"Desiste",IF(IFERROR(P143,0)&gt;=Parametros!$B$1,"Aprueba","No aprueba")))</f>
        <v/>
      </c>
      <c r="T143" t="str">
        <f>IF($Q143="Aprueba",COUNTIF($Q$2:$Q143,"Aprueba"),"")</f>
        <v/>
      </c>
    </row>
    <row r="144" spans="17:20" ht="14.25" customHeight="1">
      <c r="Q144" t="str">
        <f>IF(F144="","",IF(COUNTIF(J144:O144,"D")&gt;0,"Desiste",IF(IFERROR(P144,0)&gt;=Parametros!$B$1,"Aprueba","No aprueba")))</f>
        <v/>
      </c>
      <c r="T144" t="str">
        <f>IF($Q144="Aprueba",COUNTIF($Q$2:$Q144,"Aprueba"),"")</f>
        <v/>
      </c>
    </row>
    <row r="145" spans="17:20" ht="14.25" customHeight="1">
      <c r="Q145" t="str">
        <f>IF(F145="","",IF(COUNTIF(J145:O145,"D")&gt;0,"Desiste",IF(IFERROR(P145,0)&gt;=Parametros!$B$1,"Aprueba","No aprueba")))</f>
        <v/>
      </c>
      <c r="T145" t="str">
        <f>IF($Q145="Aprueba",COUNTIF($Q$2:$Q145,"Aprueba"),"")</f>
        <v/>
      </c>
    </row>
    <row r="146" spans="17:20" ht="14.25" customHeight="1">
      <c r="Q146" t="str">
        <f>IF(F146="","",IF(COUNTIF(J146:O146,"D")&gt;0,"Desiste",IF(IFERROR(P146,0)&gt;=Parametros!$B$1,"Aprueba","No aprueba")))</f>
        <v/>
      </c>
      <c r="T146" t="str">
        <f>IF($Q146="Aprueba",COUNTIF($Q$2:$Q146,"Aprueba"),"")</f>
        <v/>
      </c>
    </row>
    <row r="147" spans="17:20" ht="14.25" customHeight="1">
      <c r="Q147" t="str">
        <f>IF(F147="","",IF(COUNTIF(J147:O147,"D")&gt;0,"Desiste",IF(IFERROR(P147,0)&gt;=Parametros!$B$1,"Aprueba","No aprueba")))</f>
        <v/>
      </c>
      <c r="T147" t="str">
        <f>IF($Q147="Aprueba",COUNTIF($Q$2:$Q147,"Aprueba"),"")</f>
        <v/>
      </c>
    </row>
    <row r="148" spans="17:20" ht="14.25" customHeight="1">
      <c r="Q148" t="str">
        <f>IF(F148="","",IF(COUNTIF(J148:O148,"D")&gt;0,"Desiste",IF(IFERROR(P148,0)&gt;=Parametros!$B$1,"Aprueba","No aprueba")))</f>
        <v/>
      </c>
      <c r="T148" t="str">
        <f>IF($Q148="Aprueba",COUNTIF($Q$2:$Q148,"Aprueba"),"")</f>
        <v/>
      </c>
    </row>
    <row r="149" spans="17:20" ht="14.25" customHeight="1">
      <c r="Q149" t="str">
        <f>IF(F149="","",IF(COUNTIF(J149:O149,"D")&gt;0,"Desiste",IF(IFERROR(P149,0)&gt;=Parametros!$B$1,"Aprueba","No aprueba")))</f>
        <v/>
      </c>
      <c r="T149" t="str">
        <f>IF($Q149="Aprueba",COUNTIF($Q$2:$Q149,"Aprueba"),"")</f>
        <v/>
      </c>
    </row>
    <row r="150" spans="17:20" ht="14.25" customHeight="1">
      <c r="Q150" t="str">
        <f>IF(F150="","",IF(COUNTIF(J150:O150,"D")&gt;0,"Desiste",IF(IFERROR(P150,0)&gt;=Parametros!$B$1,"Aprueba","No aprueba")))</f>
        <v/>
      </c>
      <c r="T150" t="str">
        <f>IF($Q150="Aprueba",COUNTIF($Q$2:$Q150,"Aprueba"),"")</f>
        <v/>
      </c>
    </row>
    <row r="151" spans="17:20" ht="14.25" customHeight="1">
      <c r="Q151" t="str">
        <f>IF(F151="","",IF(COUNTIF(J151:O151,"D")&gt;0,"Desiste",IF(IFERROR(P151,0)&gt;=Parametros!$B$1,"Aprueba","No aprueba")))</f>
        <v/>
      </c>
      <c r="T151" t="str">
        <f>IF($Q151="Aprueba",COUNTIF($Q$2:$Q151,"Aprueba"),"")</f>
        <v/>
      </c>
    </row>
    <row r="152" spans="17:20" ht="14.25" customHeight="1">
      <c r="Q152" t="str">
        <f>IF(F152="","",IF(COUNTIF(J152:O152,"D")&gt;0,"Desiste",IF(IFERROR(P152,0)&gt;=Parametros!$B$1,"Aprueba","No aprueba")))</f>
        <v/>
      </c>
      <c r="T152" t="str">
        <f>IF($Q152="Aprueba",COUNTIF($Q$2:$Q152,"Aprueba"),"")</f>
        <v/>
      </c>
    </row>
    <row r="153" spans="17:20" ht="14.25" customHeight="1">
      <c r="Q153" t="str">
        <f>IF(F153="","",IF(COUNTIF(J153:O153,"D")&gt;0,"Desiste",IF(IFERROR(P153,0)&gt;=Parametros!$B$1,"Aprueba","No aprueba")))</f>
        <v/>
      </c>
      <c r="T153" t="str">
        <f>IF($Q153="Aprueba",COUNTIF($Q$2:$Q153,"Aprueba"),"")</f>
        <v/>
      </c>
    </row>
    <row r="154" spans="17:20" ht="14.25" customHeight="1">
      <c r="Q154" t="str">
        <f>IF(F154="","",IF(COUNTIF(J154:O154,"D")&gt;0,"Desiste",IF(IFERROR(P154,0)&gt;=Parametros!$B$1,"Aprueba","No aprueba")))</f>
        <v/>
      </c>
      <c r="T154" t="str">
        <f>IF($Q154="Aprueba",COUNTIF($Q$2:$Q154,"Aprueba"),"")</f>
        <v/>
      </c>
    </row>
    <row r="155" spans="17:20" ht="14.25" customHeight="1">
      <c r="Q155" t="str">
        <f>IF(F155="","",IF(COUNTIF(J155:O155,"D")&gt;0,"Desiste",IF(IFERROR(P155,0)&gt;=Parametros!$B$1,"Aprueba","No aprueba")))</f>
        <v/>
      </c>
      <c r="T155" t="str">
        <f>IF($Q155="Aprueba",COUNTIF($Q$2:$Q155,"Aprueba"),"")</f>
        <v/>
      </c>
    </row>
    <row r="156" spans="17:20" ht="14.25" customHeight="1">
      <c r="Q156" t="str">
        <f>IF(F156="","",IF(COUNTIF(J156:O156,"D")&gt;0,"Desiste",IF(IFERROR(P156,0)&gt;=Parametros!$B$1,"Aprueba","No aprueba")))</f>
        <v/>
      </c>
      <c r="T156" t="str">
        <f>IF($Q156="Aprueba",COUNTIF($Q$2:$Q156,"Aprueba"),"")</f>
        <v/>
      </c>
    </row>
    <row r="157" spans="17:20" ht="14.25" customHeight="1">
      <c r="Q157" t="str">
        <f>IF(F157="","",IF(COUNTIF(J157:O157,"D")&gt;0,"Desiste",IF(IFERROR(P157,0)&gt;=Parametros!$B$1,"Aprueba","No aprueba")))</f>
        <v/>
      </c>
      <c r="T157" t="str">
        <f>IF($Q157="Aprueba",COUNTIF($Q$2:$Q157,"Aprueba"),"")</f>
        <v/>
      </c>
    </row>
    <row r="158" spans="17:20" ht="14.25" customHeight="1">
      <c r="Q158" t="str">
        <f>IF(F158="","",IF(COUNTIF(J158:O158,"D")&gt;0,"Desiste",IF(IFERROR(P158,0)&gt;=Parametros!$B$1,"Aprueba","No aprueba")))</f>
        <v/>
      </c>
      <c r="T158" t="str">
        <f>IF($Q158="Aprueba",COUNTIF($Q$2:$Q158,"Aprueba"),"")</f>
        <v/>
      </c>
    </row>
    <row r="159" spans="17:20" ht="14.25" customHeight="1">
      <c r="Q159" t="str">
        <f>IF(F159="","",IF(COUNTIF(J159:O159,"D")&gt;0,"Desiste",IF(IFERROR(P159,0)&gt;=Parametros!$B$1,"Aprueba","No aprueba")))</f>
        <v/>
      </c>
      <c r="T159" t="str">
        <f>IF($Q159="Aprueba",COUNTIF($Q$2:$Q159,"Aprueba"),"")</f>
        <v/>
      </c>
    </row>
    <row r="160" spans="17:20" ht="14.25" customHeight="1">
      <c r="Q160" t="str">
        <f>IF(F160="","",IF(COUNTIF(J160:O160,"D")&gt;0,"Desiste",IF(IFERROR(P160,0)&gt;=Parametros!$B$1,"Aprueba","No aprueba")))</f>
        <v/>
      </c>
      <c r="T160" t="str">
        <f>IF($Q160="Aprueba",COUNTIF($Q$2:$Q160,"Aprueba"),"")</f>
        <v/>
      </c>
    </row>
    <row r="161" spans="17:20" ht="14.25" customHeight="1">
      <c r="Q161" t="str">
        <f>IF(F161="","",IF(COUNTIF(J161:O161,"D")&gt;0,"Desiste",IF(IFERROR(P161,0)&gt;=Parametros!$B$1,"Aprueba","No aprueba")))</f>
        <v/>
      </c>
      <c r="T161" t="str">
        <f>IF($Q161="Aprueba",COUNTIF($Q$2:$Q161,"Aprueba"),"")</f>
        <v/>
      </c>
    </row>
    <row r="162" spans="17:20" ht="14.25" customHeight="1">
      <c r="Q162" t="str">
        <f>IF(F162="","",IF(COUNTIF(J162:O162,"D")&gt;0,"Desiste",IF(IFERROR(P162,0)&gt;=Parametros!$B$1,"Aprueba","No aprueba")))</f>
        <v/>
      </c>
      <c r="T162" t="str">
        <f>IF($Q162="Aprueba",COUNTIF($Q$2:$Q162,"Aprueba"),"")</f>
        <v/>
      </c>
    </row>
    <row r="163" spans="17:20" ht="14.25" customHeight="1">
      <c r="Q163" t="str">
        <f>IF(F163="","",IF(COUNTIF(J163:O163,"D")&gt;0,"Desiste",IF(IFERROR(P163,0)&gt;=Parametros!$B$1,"Aprueba","No aprueba")))</f>
        <v/>
      </c>
      <c r="T163" t="str">
        <f>IF($Q163="Aprueba",COUNTIF($Q$2:$Q163,"Aprueba"),"")</f>
        <v/>
      </c>
    </row>
    <row r="164" spans="17:20" ht="14.25" customHeight="1">
      <c r="Q164" t="str">
        <f>IF(F164="","",IF(COUNTIF(J164:O164,"D")&gt;0,"Desiste",IF(IFERROR(P164,0)&gt;=Parametros!$B$1,"Aprueba","No aprueba")))</f>
        <v/>
      </c>
      <c r="T164" t="str">
        <f>IF($Q164="Aprueba",COUNTIF($Q$2:$Q164,"Aprueba"),"")</f>
        <v/>
      </c>
    </row>
    <row r="165" spans="17:20" ht="14.25" customHeight="1">
      <c r="Q165" t="str">
        <f>IF(F165="","",IF(COUNTIF(J165:O165,"D")&gt;0,"Desiste",IF(IFERROR(P165,0)&gt;=Parametros!$B$1,"Aprueba","No aprueba")))</f>
        <v/>
      </c>
      <c r="T165" t="str">
        <f>IF($Q165="Aprueba",COUNTIF($Q$2:$Q165,"Aprueba"),"")</f>
        <v/>
      </c>
    </row>
    <row r="166" spans="17:20" ht="14.25" customHeight="1">
      <c r="Q166" t="str">
        <f>IF(F166="","",IF(COUNTIF(J166:O166,"D")&gt;0,"Desiste",IF(IFERROR(P166,0)&gt;=Parametros!$B$1,"Aprueba","No aprueba")))</f>
        <v/>
      </c>
      <c r="T166" t="str">
        <f>IF($Q166="Aprueba",COUNTIF($Q$2:$Q166,"Aprueba"),"")</f>
        <v/>
      </c>
    </row>
    <row r="167" spans="17:20" ht="14.25" customHeight="1">
      <c r="Q167" t="str">
        <f>IF(F167="","",IF(COUNTIF(J167:O167,"D")&gt;0,"Desiste",IF(IFERROR(P167,0)&gt;=Parametros!$B$1,"Aprueba","No aprueba")))</f>
        <v/>
      </c>
      <c r="T167" t="str">
        <f>IF($Q167="Aprueba",COUNTIF($Q$2:$Q167,"Aprueba"),"")</f>
        <v/>
      </c>
    </row>
    <row r="168" spans="17:20" ht="14.25" customHeight="1">
      <c r="Q168" t="str">
        <f>IF(F168="","",IF(COUNTIF(J168:O168,"D")&gt;0,"Desiste",IF(IFERROR(P168,0)&gt;=Parametros!$B$1,"Aprueba","No aprueba")))</f>
        <v/>
      </c>
      <c r="T168" t="str">
        <f>IF($Q168="Aprueba",COUNTIF($Q$2:$Q168,"Aprueba"),"")</f>
        <v/>
      </c>
    </row>
    <row r="169" spans="17:20" ht="14.25" customHeight="1">
      <c r="Q169" t="str">
        <f>IF(F169="","",IF(COUNTIF(J169:O169,"D")&gt;0,"Desiste",IF(IFERROR(P169,0)&gt;=Parametros!$B$1,"Aprueba","No aprueba")))</f>
        <v/>
      </c>
      <c r="T169" t="str">
        <f>IF($Q169="Aprueba",COUNTIF($Q$2:$Q169,"Aprueba"),"")</f>
        <v/>
      </c>
    </row>
    <row r="170" spans="17:20" ht="14.25" customHeight="1">
      <c r="Q170" t="str">
        <f>IF(F170="","",IF(COUNTIF(J170:O170,"D")&gt;0,"Desiste",IF(IFERROR(P170,0)&gt;=Parametros!$B$1,"Aprueba","No aprueba")))</f>
        <v/>
      </c>
      <c r="T170" t="str">
        <f>IF($Q170="Aprueba",COUNTIF($Q$2:$Q170,"Aprueba"),"")</f>
        <v/>
      </c>
    </row>
    <row r="171" spans="17:20" ht="14.25" customHeight="1">
      <c r="Q171" t="str">
        <f>IF(F171="","",IF(COUNTIF(J171:O171,"D")&gt;0,"Desiste",IF(IFERROR(P171,0)&gt;=Parametros!$B$1,"Aprueba","No aprueba")))</f>
        <v/>
      </c>
      <c r="T171" t="str">
        <f>IF($Q171="Aprueba",COUNTIF($Q$2:$Q171,"Aprueba"),"")</f>
        <v/>
      </c>
    </row>
    <row r="172" spans="17:20" ht="14.25" customHeight="1">
      <c r="Q172" t="str">
        <f>IF(F172="","",IF(COUNTIF(J172:O172,"D")&gt;0,"Desiste",IF(IFERROR(P172,0)&gt;=Parametros!$B$1,"Aprueba","No aprueba")))</f>
        <v/>
      </c>
      <c r="T172" t="str">
        <f>IF($Q172="Aprueba",COUNTIF($Q$2:$Q172,"Aprueba"),"")</f>
        <v/>
      </c>
    </row>
    <row r="173" spans="17:20" ht="14.25" customHeight="1">
      <c r="Q173" t="str">
        <f>IF(F173="","",IF(COUNTIF(J173:O173,"D")&gt;0,"Desiste",IF(IFERROR(P173,0)&gt;=Parametros!$B$1,"Aprueba","No aprueba")))</f>
        <v/>
      </c>
      <c r="T173" t="str">
        <f>IF($Q173="Aprueba",COUNTIF($Q$2:$Q173,"Aprueba"),"")</f>
        <v/>
      </c>
    </row>
    <row r="174" spans="17:20" ht="14.25" customHeight="1">
      <c r="Q174" t="str">
        <f>IF(F174="","",IF(COUNTIF(J174:O174,"D")&gt;0,"Desiste",IF(IFERROR(P174,0)&gt;=Parametros!$B$1,"Aprueba","No aprueba")))</f>
        <v/>
      </c>
      <c r="T174" t="str">
        <f>IF($Q174="Aprueba",COUNTIF($Q$2:$Q174,"Aprueba"),"")</f>
        <v/>
      </c>
    </row>
    <row r="175" spans="17:20" ht="14.25" customHeight="1">
      <c r="Q175" t="str">
        <f>IF(F175="","",IF(COUNTIF(J175:O175,"D")&gt;0,"Desiste",IF(IFERROR(P175,0)&gt;=Parametros!$B$1,"Aprueba","No aprueba")))</f>
        <v/>
      </c>
      <c r="T175" t="str">
        <f>IF($Q175="Aprueba",COUNTIF($Q$2:$Q175,"Aprueba"),"")</f>
        <v/>
      </c>
    </row>
    <row r="176" spans="17:20" ht="14.25" customHeight="1">
      <c r="Q176" t="str">
        <f>IF(F176="","",IF(COUNTIF(J176:O176,"D")&gt;0,"Desiste",IF(IFERROR(P176,0)&gt;=Parametros!$B$1,"Aprueba","No aprueba")))</f>
        <v/>
      </c>
      <c r="T176" t="str">
        <f>IF($Q176="Aprueba",COUNTIF($Q$2:$Q176,"Aprueba"),"")</f>
        <v/>
      </c>
    </row>
    <row r="177" spans="17:20" ht="14.25" customHeight="1">
      <c r="Q177" t="str">
        <f>IF(F177="","",IF(COUNTIF(J177:O177,"D")&gt;0,"Desiste",IF(IFERROR(P177,0)&gt;=Parametros!$B$1,"Aprueba","No aprueba")))</f>
        <v/>
      </c>
      <c r="T177" t="str">
        <f>IF($Q177="Aprueba",COUNTIF($Q$2:$Q177,"Aprueba"),"")</f>
        <v/>
      </c>
    </row>
    <row r="178" spans="17:20" ht="14.25" customHeight="1">
      <c r="Q178" t="str">
        <f>IF(F178="","",IF(COUNTIF(J178:O178,"D")&gt;0,"Desiste",IF(IFERROR(P178,0)&gt;=Parametros!$B$1,"Aprueba","No aprueba")))</f>
        <v/>
      </c>
      <c r="T178" t="str">
        <f>IF($Q178="Aprueba",COUNTIF($Q$2:$Q178,"Aprueba"),"")</f>
        <v/>
      </c>
    </row>
    <row r="179" spans="17:20" ht="14.25" customHeight="1">
      <c r="Q179" t="str">
        <f>IF(F179="","",IF(COUNTIF(J179:O179,"D")&gt;0,"Desiste",IF(IFERROR(P179,0)&gt;=Parametros!$B$1,"Aprueba","No aprueba")))</f>
        <v/>
      </c>
      <c r="T179" t="str">
        <f>IF($Q179="Aprueba",COUNTIF($Q$2:$Q179,"Aprueba"),"")</f>
        <v/>
      </c>
    </row>
    <row r="180" spans="17:20" ht="14.25" customHeight="1">
      <c r="Q180" t="str">
        <f>IF(F180="","",IF(COUNTIF(J180:O180,"D")&gt;0,"Desiste",IF(IFERROR(P180,0)&gt;=Parametros!$B$1,"Aprueba","No aprueba")))</f>
        <v/>
      </c>
      <c r="T180" t="str">
        <f>IF($Q180="Aprueba",COUNTIF($Q$2:$Q180,"Aprueba"),"")</f>
        <v/>
      </c>
    </row>
    <row r="181" spans="17:20" ht="14.25" customHeight="1">
      <c r="Q181" t="str">
        <f>IF(F181="","",IF(COUNTIF(J181:O181,"D")&gt;0,"Desiste",IF(IFERROR(P181,0)&gt;=Parametros!$B$1,"Aprueba","No aprueba")))</f>
        <v/>
      </c>
      <c r="T181" t="str">
        <f>IF($Q181="Aprueba",COUNTIF($Q$2:$Q181,"Aprueba"),"")</f>
        <v/>
      </c>
    </row>
    <row r="182" spans="17:20" ht="14.25" customHeight="1">
      <c r="Q182" t="str">
        <f>IF(F182="","",IF(COUNTIF(J182:O182,"D")&gt;0,"Desiste",IF(IFERROR(P182,0)&gt;=Parametros!$B$1,"Aprueba","No aprueba")))</f>
        <v/>
      </c>
      <c r="T182" t="str">
        <f>IF($Q182="Aprueba",COUNTIF($Q$2:$Q182,"Aprueba"),"")</f>
        <v/>
      </c>
    </row>
    <row r="183" spans="17:20" ht="14.25" customHeight="1">
      <c r="Q183" t="str">
        <f>IF(F183="","",IF(COUNTIF(J183:O183,"D")&gt;0,"Desiste",IF(IFERROR(P183,0)&gt;=Parametros!$B$1,"Aprueba","No aprueba")))</f>
        <v/>
      </c>
      <c r="T183" t="str">
        <f>IF($Q183="Aprueba",COUNTIF($Q$2:$Q183,"Aprueba"),"")</f>
        <v/>
      </c>
    </row>
    <row r="184" spans="17:20" ht="14.25" customHeight="1">
      <c r="Q184" t="str">
        <f>IF(F184="","",IF(COUNTIF(J184:O184,"D")&gt;0,"Desiste",IF(IFERROR(P184,0)&gt;=Parametros!$B$1,"Aprueba","No aprueba")))</f>
        <v/>
      </c>
      <c r="T184" t="str">
        <f>IF($Q184="Aprueba",COUNTIF($Q$2:$Q184,"Aprueba"),"")</f>
        <v/>
      </c>
    </row>
    <row r="185" spans="17:20" ht="14.25" customHeight="1">
      <c r="Q185" t="str">
        <f>IF(F185="","",IF(COUNTIF(J185:O185,"D")&gt;0,"Desiste",IF(IFERROR(P185,0)&gt;=Parametros!$B$1,"Aprueba","No aprueba")))</f>
        <v/>
      </c>
      <c r="T185" t="str">
        <f>IF($Q185="Aprueba",COUNTIF($Q$2:$Q185,"Aprueba"),"")</f>
        <v/>
      </c>
    </row>
    <row r="186" spans="17:20" ht="14.25" customHeight="1">
      <c r="Q186" t="str">
        <f>IF(F186="","",IF(COUNTIF(J186:O186,"D")&gt;0,"Desiste",IF(IFERROR(P186,0)&gt;=Parametros!$B$1,"Aprueba","No aprueba")))</f>
        <v/>
      </c>
      <c r="T186" t="str">
        <f>IF($Q186="Aprueba",COUNTIF($Q$2:$Q186,"Aprueba"),"")</f>
        <v/>
      </c>
    </row>
    <row r="187" spans="17:20" ht="14.25" customHeight="1">
      <c r="Q187" t="str">
        <f>IF(F187="","",IF(COUNTIF(J187:O187,"D")&gt;0,"Desiste",IF(IFERROR(P187,0)&gt;=Parametros!$B$1,"Aprueba","No aprueba")))</f>
        <v/>
      </c>
      <c r="T187" t="str">
        <f>IF($Q187="Aprueba",COUNTIF($Q$2:$Q187,"Aprueba"),"")</f>
        <v/>
      </c>
    </row>
    <row r="188" spans="17:20" ht="14.25" customHeight="1">
      <c r="Q188" t="str">
        <f>IF(F188="","",IF(COUNTIF(J188:O188,"D")&gt;0,"Desiste",IF(IFERROR(P188,0)&gt;=Parametros!$B$1,"Aprueba","No aprueba")))</f>
        <v/>
      </c>
      <c r="T188" t="str">
        <f>IF($Q188="Aprueba",COUNTIF($Q$2:$Q188,"Aprueba"),"")</f>
        <v/>
      </c>
    </row>
    <row r="189" spans="17:20" ht="14.25" customHeight="1">
      <c r="Q189" t="str">
        <f>IF(F189="","",IF(COUNTIF(J189:O189,"D")&gt;0,"Desiste",IF(IFERROR(P189,0)&gt;=Parametros!$B$1,"Aprueba","No aprueba")))</f>
        <v/>
      </c>
      <c r="T189" t="str">
        <f>IF($Q189="Aprueba",COUNTIF($Q$2:$Q189,"Aprueba"),"")</f>
        <v/>
      </c>
    </row>
    <row r="190" spans="17:20" ht="14.25" customHeight="1">
      <c r="Q190" t="str">
        <f>IF(F190="","",IF(COUNTIF(J190:O190,"D")&gt;0,"Desiste",IF(IFERROR(P190,0)&gt;=Parametros!$B$1,"Aprueba","No aprueba")))</f>
        <v/>
      </c>
      <c r="T190" t="str">
        <f>IF($Q190="Aprueba",COUNTIF($Q$2:$Q190,"Aprueba"),"")</f>
        <v/>
      </c>
    </row>
    <row r="191" spans="17:20" ht="14.25" customHeight="1">
      <c r="Q191" t="str">
        <f>IF(F191="","",IF(COUNTIF(J191:O191,"D")&gt;0,"Desiste",IF(IFERROR(P191,0)&gt;=Parametros!$B$1,"Aprueba","No aprueba")))</f>
        <v/>
      </c>
      <c r="T191" t="str">
        <f>IF($Q191="Aprueba",COUNTIF($Q$2:$Q191,"Aprueba"),"")</f>
        <v/>
      </c>
    </row>
    <row r="192" spans="17:20" ht="14.25" customHeight="1">
      <c r="Q192" t="str">
        <f>IF(F192="","",IF(COUNTIF(J192:O192,"D")&gt;0,"Desiste",IF(IFERROR(P192,0)&gt;=Parametros!$B$1,"Aprueba","No aprueba")))</f>
        <v/>
      </c>
      <c r="T192" t="str">
        <f>IF($Q192="Aprueba",COUNTIF($Q$2:$Q192,"Aprueba"),"")</f>
        <v/>
      </c>
    </row>
    <row r="193" spans="17:20" ht="14.25" customHeight="1">
      <c r="Q193" t="str">
        <f>IF(F193="","",IF(COUNTIF(J193:O193,"D")&gt;0,"Desiste",IF(IFERROR(P193,0)&gt;=Parametros!$B$1,"Aprueba","No aprueba")))</f>
        <v/>
      </c>
      <c r="T193" t="str">
        <f>IF($Q193="Aprueba",COUNTIF($Q$2:$Q193,"Aprueba"),"")</f>
        <v/>
      </c>
    </row>
    <row r="194" spans="17:20" ht="14.25" customHeight="1">
      <c r="Q194" t="str">
        <f>IF(F194="","",IF(COUNTIF(J194:O194,"D")&gt;0,"Desiste",IF(IFERROR(P194,0)&gt;=Parametros!$B$1,"Aprueba","No aprueba")))</f>
        <v/>
      </c>
      <c r="T194" t="str">
        <f>IF($Q194="Aprueba",COUNTIF($Q$2:$Q194,"Aprueba"),"")</f>
        <v/>
      </c>
    </row>
    <row r="195" spans="17:20" ht="14.25" customHeight="1">
      <c r="Q195" t="str">
        <f>IF(F195="","",IF(COUNTIF(J195:O195,"D")&gt;0,"Desiste",IF(IFERROR(P195,0)&gt;=Parametros!$B$1,"Aprueba","No aprueba")))</f>
        <v/>
      </c>
      <c r="T195" t="str">
        <f>IF($Q195="Aprueba",COUNTIF($Q$2:$Q195,"Aprueba"),"")</f>
        <v/>
      </c>
    </row>
    <row r="196" spans="17:20" ht="14.25" customHeight="1">
      <c r="Q196" t="str">
        <f>IF(F196="","",IF(COUNTIF(J196:O196,"D")&gt;0,"Desiste",IF(IFERROR(P196,0)&gt;=Parametros!$B$1,"Aprueba","No aprueba")))</f>
        <v/>
      </c>
      <c r="T196" t="str">
        <f>IF($Q196="Aprueba",COUNTIF($Q$2:$Q196,"Aprueba"),"")</f>
        <v/>
      </c>
    </row>
    <row r="197" spans="17:20" ht="14.25" customHeight="1">
      <c r="Q197" t="str">
        <f>IF(F197="","",IF(COUNTIF(J197:O197,"D")&gt;0,"Desiste",IF(IFERROR(P197,0)&gt;=Parametros!$B$1,"Aprueba","No aprueba")))</f>
        <v/>
      </c>
      <c r="T197" t="str">
        <f>IF($Q197="Aprueba",COUNTIF($Q$2:$Q197,"Aprueba"),"")</f>
        <v/>
      </c>
    </row>
    <row r="198" spans="17:20" ht="14.25" customHeight="1">
      <c r="Q198" t="str">
        <f>IF(F198="","",IF(COUNTIF(J198:O198,"D")&gt;0,"Desiste",IF(IFERROR(P198,0)&gt;=Parametros!$B$1,"Aprueba","No aprueba")))</f>
        <v/>
      </c>
      <c r="T198" t="str">
        <f>IF($Q198="Aprueba",COUNTIF($Q$2:$Q198,"Aprueba"),"")</f>
        <v/>
      </c>
    </row>
    <row r="199" spans="17:20" ht="14.25" customHeight="1">
      <c r="Q199" t="str">
        <f>IF(F199="","",IF(COUNTIF(J199:O199,"D")&gt;0,"Desiste",IF(IFERROR(P199,0)&gt;=Parametros!$B$1,"Aprueba","No aprueba")))</f>
        <v/>
      </c>
      <c r="T199" t="str">
        <f>IF($Q199="Aprueba",COUNTIF($Q$2:$Q199,"Aprueba"),"")</f>
        <v/>
      </c>
    </row>
    <row r="200" spans="17:20" ht="14.25" customHeight="1">
      <c r="Q200" t="str">
        <f>IF(F200="","",IF(COUNTIF(J200:O200,"D")&gt;0,"Desiste",IF(IFERROR(P200,0)&gt;=Parametros!$B$1,"Aprueba","No aprueba")))</f>
        <v/>
      </c>
      <c r="T200" t="str">
        <f>IF($Q200="Aprueba",COUNTIF($Q$2:$Q200,"Aprueba"),"")</f>
        <v/>
      </c>
    </row>
    <row r="201" spans="17:20" ht="14.25" customHeight="1">
      <c r="Q201" t="str">
        <f>IF(F201="","",IF(COUNTIF(J201:O201,"D")&gt;0,"Desiste",IF(IFERROR(P201,0)&gt;=Parametros!$B$1,"Aprueba","No aprueba")))</f>
        <v/>
      </c>
      <c r="T201" t="str">
        <f>IF($Q201="Aprueba",COUNTIF($Q$2:$Q201,"Aprueba"),"")</f>
        <v/>
      </c>
    </row>
    <row r="202" spans="17:20" ht="14.25" customHeight="1">
      <c r="Q202" t="str">
        <f>IF(F202="","",IF(COUNTIF(J202:O202,"D")&gt;0,"Desiste",IF(IFERROR(P202,0)&gt;=Parametros!$B$1,"Aprueba","No aprueba")))</f>
        <v/>
      </c>
      <c r="T202" t="str">
        <f>IF($Q202="Aprueba",COUNTIF($Q$2:$Q202,"Aprueba"),"")</f>
        <v/>
      </c>
    </row>
    <row r="203" spans="17:20" ht="14.25" customHeight="1">
      <c r="Q203" t="str">
        <f>IF(F203="","",IF(COUNTIF(J203:O203,"D")&gt;0,"Desiste",IF(IFERROR(P203,0)&gt;=Parametros!$B$1,"Aprueba","No aprueba")))</f>
        <v/>
      </c>
      <c r="T203" t="str">
        <f>IF($Q203="Aprueba",COUNTIF($Q$2:$Q203,"Aprueba"),"")</f>
        <v/>
      </c>
    </row>
    <row r="204" spans="17:20" ht="14.25" customHeight="1">
      <c r="Q204" t="str">
        <f>IF(F204="","",IF(COUNTIF(J204:O204,"D")&gt;0,"Desiste",IF(IFERROR(P204,0)&gt;=Parametros!$B$1,"Aprueba","No aprueba")))</f>
        <v/>
      </c>
      <c r="T204" t="str">
        <f>IF($Q204="Aprueba",COUNTIF($Q$2:$Q204,"Aprueba"),"")</f>
        <v/>
      </c>
    </row>
    <row r="205" spans="17:20" ht="14.25" customHeight="1">
      <c r="Q205" t="str">
        <f>IF(F205="","",IF(COUNTIF(J205:O205,"D")&gt;0,"Desiste",IF(IFERROR(P205,0)&gt;=Parametros!$B$1,"Aprueba","No aprueba")))</f>
        <v/>
      </c>
      <c r="T205" t="str">
        <f>IF($Q205="Aprueba",COUNTIF($Q$2:$Q205,"Aprueba"),"")</f>
        <v/>
      </c>
    </row>
    <row r="206" spans="17:20" ht="14.25" customHeight="1">
      <c r="Q206" t="str">
        <f>IF(F206="","",IF(COUNTIF(J206:O206,"D")&gt;0,"Desiste",IF(IFERROR(P206,0)&gt;=Parametros!$B$1,"Aprueba","No aprueba")))</f>
        <v/>
      </c>
      <c r="T206" t="str">
        <f>IF($Q206="Aprueba",COUNTIF($Q$2:$Q206,"Aprueba"),"")</f>
        <v/>
      </c>
    </row>
    <row r="207" spans="17:20" ht="14.25" customHeight="1">
      <c r="Q207" t="str">
        <f>IF(F207="","",IF(COUNTIF(J207:O207,"D")&gt;0,"Desiste",IF(IFERROR(P207,0)&gt;=Parametros!$B$1,"Aprueba","No aprueba")))</f>
        <v/>
      </c>
      <c r="T207" t="str">
        <f>IF($Q207="Aprueba",COUNTIF($Q$2:$Q207,"Aprueba"),"")</f>
        <v/>
      </c>
    </row>
    <row r="208" spans="17:20" ht="14.25" customHeight="1">
      <c r="Q208" t="str">
        <f>IF(F208="","",IF(COUNTIF(J208:O208,"D")&gt;0,"Desiste",IF(IFERROR(P208,0)&gt;=Parametros!$B$1,"Aprueba","No aprueba")))</f>
        <v/>
      </c>
      <c r="T208" t="str">
        <f>IF($Q208="Aprueba",COUNTIF($Q$2:$Q208,"Aprueba"),"")</f>
        <v/>
      </c>
    </row>
    <row r="209" spans="17:20" ht="14.25" customHeight="1">
      <c r="Q209" t="str">
        <f>IF(F209="","",IF(COUNTIF(J209:O209,"D")&gt;0,"Desiste",IF(IFERROR(P209,0)&gt;=Parametros!$B$1,"Aprueba","No aprueba")))</f>
        <v/>
      </c>
      <c r="T209" t="str">
        <f>IF($Q209="Aprueba",COUNTIF($Q$2:$Q209,"Aprueba"),"")</f>
        <v/>
      </c>
    </row>
    <row r="210" spans="17:20" ht="14.25" customHeight="1">
      <c r="Q210" t="str">
        <f>IF(F210="","",IF(COUNTIF(J210:O210,"D")&gt;0,"Desiste",IF(IFERROR(P210,0)&gt;=Parametros!$B$1,"Aprueba","No aprueba")))</f>
        <v/>
      </c>
      <c r="T210" t="str">
        <f>IF($Q210="Aprueba",COUNTIF($Q$2:$Q210,"Aprueba"),"")</f>
        <v/>
      </c>
    </row>
    <row r="211" spans="17:20" ht="14.25" customHeight="1">
      <c r="Q211" t="str">
        <f>IF(F211="","",IF(COUNTIF(J211:O211,"D")&gt;0,"Desiste",IF(IFERROR(P211,0)&gt;=Parametros!$B$1,"Aprueba","No aprueba")))</f>
        <v/>
      </c>
      <c r="T211" t="str">
        <f>IF($Q211="Aprueba",COUNTIF($Q$2:$Q211,"Aprueba"),"")</f>
        <v/>
      </c>
    </row>
    <row r="212" spans="17:20" ht="14.25" customHeight="1">
      <c r="Q212" t="str">
        <f>IF(F212="","",IF(COUNTIF(J212:O212,"D")&gt;0,"Desiste",IF(IFERROR(P212,0)&gt;=Parametros!$B$1,"Aprueba","No aprueba")))</f>
        <v/>
      </c>
      <c r="T212" t="str">
        <f>IF($Q212="Aprueba",COUNTIF($Q$2:$Q212,"Aprueba"),"")</f>
        <v/>
      </c>
    </row>
    <row r="213" spans="17:20" ht="14.25" customHeight="1">
      <c r="Q213" t="str">
        <f>IF(F213="","",IF(COUNTIF(J213:O213,"D")&gt;0,"Desiste",IF(IFERROR(P213,0)&gt;=Parametros!$B$1,"Aprueba","No aprueba")))</f>
        <v/>
      </c>
      <c r="T213" t="str">
        <f>IF($Q213="Aprueba",COUNTIF($Q$2:$Q213,"Aprueba"),"")</f>
        <v/>
      </c>
    </row>
    <row r="214" spans="17:20" ht="14.25" customHeight="1">
      <c r="Q214" t="str">
        <f>IF(F214="","",IF(COUNTIF(J214:O214,"D")&gt;0,"Desiste",IF(IFERROR(P214,0)&gt;=Parametros!$B$1,"Aprueba","No aprueba")))</f>
        <v/>
      </c>
      <c r="T214" t="str">
        <f>IF($Q214="Aprueba",COUNTIF($Q$2:$Q214,"Aprueba"),"")</f>
        <v/>
      </c>
    </row>
    <row r="215" spans="17:20" ht="14.25" customHeight="1">
      <c r="Q215" t="str">
        <f>IF(F215="","",IF(COUNTIF(J215:O215,"D")&gt;0,"Desiste",IF(IFERROR(P215,0)&gt;=Parametros!$B$1,"Aprueba","No aprueba")))</f>
        <v/>
      </c>
      <c r="T215" t="str">
        <f>IF($Q215="Aprueba",COUNTIF($Q$2:$Q215,"Aprueba"),"")</f>
        <v/>
      </c>
    </row>
    <row r="216" spans="17:20" ht="14.25" customHeight="1">
      <c r="Q216" t="str">
        <f>IF(F216="","",IF(COUNTIF(J216:O216,"D")&gt;0,"Desiste",IF(IFERROR(P216,0)&gt;=Parametros!$B$1,"Aprueba","No aprueba")))</f>
        <v/>
      </c>
      <c r="T216" t="str">
        <f>IF($Q216="Aprueba",COUNTIF($Q$2:$Q216,"Aprueba"),"")</f>
        <v/>
      </c>
    </row>
    <row r="217" spans="17:20" ht="14.25" customHeight="1">
      <c r="Q217" t="str">
        <f>IF(F217="","",IF(COUNTIF(J217:O217,"D")&gt;0,"Desiste",IF(IFERROR(P217,0)&gt;=Parametros!$B$1,"Aprueba","No aprueba")))</f>
        <v/>
      </c>
      <c r="T217" t="str">
        <f>IF($Q217="Aprueba",COUNTIF($Q$2:$Q217,"Aprueba"),"")</f>
        <v/>
      </c>
    </row>
    <row r="218" spans="17:20" ht="14.25" customHeight="1">
      <c r="Q218" t="str">
        <f>IF(F218="","",IF(COUNTIF(J218:O218,"D")&gt;0,"Desiste",IF(IFERROR(P218,0)&gt;=Parametros!$B$1,"Aprueba","No aprueba")))</f>
        <v/>
      </c>
      <c r="T218" t="str">
        <f>IF($Q218="Aprueba",COUNTIF($Q$2:$Q218,"Aprueba"),"")</f>
        <v/>
      </c>
    </row>
    <row r="219" spans="17:20" ht="14.25" customHeight="1">
      <c r="Q219" t="str">
        <f>IF(F219="","",IF(COUNTIF(J219:O219,"D")&gt;0,"Desiste",IF(IFERROR(P219,0)&gt;=Parametros!$B$1,"Aprueba","No aprueba")))</f>
        <v/>
      </c>
      <c r="T219" t="str">
        <f>IF($Q219="Aprueba",COUNTIF($Q$2:$Q219,"Aprueba"),"")</f>
        <v/>
      </c>
    </row>
    <row r="220" spans="17:20" ht="14.25" customHeight="1">
      <c r="Q220" t="str">
        <f>IF(F220="","",IF(COUNTIF(J220:O220,"D")&gt;0,"Desiste",IF(IFERROR(P220,0)&gt;=Parametros!$B$1,"Aprueba","No aprueba")))</f>
        <v/>
      </c>
      <c r="T220" t="str">
        <f>IF($Q220="Aprueba",COUNTIF($Q$2:$Q220,"Aprueba"),"")</f>
        <v/>
      </c>
    </row>
    <row r="221" spans="17:20" ht="14.25" customHeight="1">
      <c r="Q221" t="str">
        <f>IF(F221="","",IF(COUNTIF(J221:O221,"D")&gt;0,"Desiste",IF(IFERROR(P221,0)&gt;=Parametros!$B$1,"Aprueba","No aprueba")))</f>
        <v/>
      </c>
      <c r="T221" t="str">
        <f>IF($Q221="Aprueba",COUNTIF($Q$2:$Q221,"Aprueba"),"")</f>
        <v/>
      </c>
    </row>
    <row r="222" spans="17:20" ht="14.25" customHeight="1">
      <c r="Q222" t="str">
        <f>IF(F222="","",IF(COUNTIF(J222:O222,"D")&gt;0,"Desiste",IF(IFERROR(P222,0)&gt;=Parametros!$B$1,"Aprueba","No aprueba")))</f>
        <v/>
      </c>
      <c r="T222" t="str">
        <f>IF($Q222="Aprueba",COUNTIF($Q$2:$Q222,"Aprueba"),"")</f>
        <v/>
      </c>
    </row>
    <row r="223" spans="17:20" ht="14.25" customHeight="1">
      <c r="Q223" t="str">
        <f>IF(F223="","",IF(COUNTIF(J223:O223,"D")&gt;0,"Desiste",IF(IFERROR(P223,0)&gt;=Parametros!$B$1,"Aprueba","No aprueba")))</f>
        <v/>
      </c>
      <c r="T223" t="str">
        <f>IF($Q223="Aprueba",COUNTIF($Q$2:$Q223,"Aprueba"),"")</f>
        <v/>
      </c>
    </row>
    <row r="224" spans="17:20" ht="14.25" customHeight="1">
      <c r="Q224" t="str">
        <f>IF(F224="","",IF(COUNTIF(J224:O224,"D")&gt;0,"Desiste",IF(IFERROR(P224,0)&gt;=Parametros!$B$1,"Aprueba","No aprueba")))</f>
        <v/>
      </c>
      <c r="T224" t="str">
        <f>IF($Q224="Aprueba",COUNTIF($Q$2:$Q224,"Aprueba"),"")</f>
        <v/>
      </c>
    </row>
    <row r="225" spans="17:20" ht="14.25" customHeight="1">
      <c r="Q225" t="str">
        <f>IF(F225="","",IF(COUNTIF(J225:O225,"D")&gt;0,"Desiste",IF(IFERROR(P225,0)&gt;=Parametros!$B$1,"Aprueba","No aprueba")))</f>
        <v/>
      </c>
      <c r="T225" t="str">
        <f>IF($Q225="Aprueba",COUNTIF($Q$2:$Q225,"Aprueba"),"")</f>
        <v/>
      </c>
    </row>
    <row r="226" spans="17:20" ht="14.25" customHeight="1">
      <c r="Q226" t="str">
        <f>IF(F226="","",IF(COUNTIF(J226:O226,"D")&gt;0,"Desiste",IF(IFERROR(P226,0)&gt;=Parametros!$B$1,"Aprueba","No aprueba")))</f>
        <v/>
      </c>
      <c r="T226" t="str">
        <f>IF($Q226="Aprueba",COUNTIF($Q$2:$Q226,"Aprueba"),"")</f>
        <v/>
      </c>
    </row>
    <row r="227" spans="17:20" ht="14.25" customHeight="1">
      <c r="Q227" t="str">
        <f>IF(F227="","",IF(COUNTIF(J227:O227,"D")&gt;0,"Desiste",IF(IFERROR(P227,0)&gt;=Parametros!$B$1,"Aprueba","No aprueba")))</f>
        <v/>
      </c>
      <c r="T227" t="str">
        <f>IF($Q227="Aprueba",COUNTIF($Q$2:$Q227,"Aprueba"),"")</f>
        <v/>
      </c>
    </row>
    <row r="228" spans="17:20" ht="14.25" customHeight="1">
      <c r="Q228" t="str">
        <f>IF(F228="","",IF(COUNTIF(J228:O228,"D")&gt;0,"Desiste",IF(IFERROR(P228,0)&gt;=Parametros!$B$1,"Aprueba","No aprueba")))</f>
        <v/>
      </c>
      <c r="T228" t="str">
        <f>IF($Q228="Aprueba",COUNTIF($Q$2:$Q228,"Aprueba"),"")</f>
        <v/>
      </c>
    </row>
    <row r="229" spans="17:20" ht="14.25" customHeight="1">
      <c r="Q229" t="str">
        <f>IF(F229="","",IF(COUNTIF(J229:O229,"D")&gt;0,"Desiste",IF(IFERROR(P229,0)&gt;=Parametros!$B$1,"Aprueba","No aprueba")))</f>
        <v/>
      </c>
      <c r="T229" t="str">
        <f>IF($Q229="Aprueba",COUNTIF($Q$2:$Q229,"Aprueba"),"")</f>
        <v/>
      </c>
    </row>
    <row r="230" spans="17:20" ht="14.25" customHeight="1">
      <c r="Q230" t="str">
        <f>IF(F230="","",IF(COUNTIF(J230:O230,"D")&gt;0,"Desiste",IF(IFERROR(P230,0)&gt;=Parametros!$B$1,"Aprueba","No aprueba")))</f>
        <v/>
      </c>
      <c r="T230" t="str">
        <f>IF($Q230="Aprueba",COUNTIF($Q$2:$Q230,"Aprueba"),"")</f>
        <v/>
      </c>
    </row>
    <row r="231" spans="17:20" ht="14.25" customHeight="1">
      <c r="Q231" t="str">
        <f>IF(F231="","",IF(COUNTIF(J231:O231,"D")&gt;0,"Desiste",IF(IFERROR(P231,0)&gt;=Parametros!$B$1,"Aprueba","No aprueba")))</f>
        <v/>
      </c>
      <c r="T231" t="str">
        <f>IF($Q231="Aprueba",COUNTIF($Q$2:$Q231,"Aprueba"),"")</f>
        <v/>
      </c>
    </row>
    <row r="232" spans="17:20" ht="14.25" customHeight="1">
      <c r="Q232" t="str">
        <f>IF(F232="","",IF(COUNTIF(J232:O232,"D")&gt;0,"Desiste",IF(IFERROR(P232,0)&gt;=Parametros!$B$1,"Aprueba","No aprueba")))</f>
        <v/>
      </c>
      <c r="T232" t="str">
        <f>IF($Q232="Aprueba",COUNTIF($Q$2:$Q232,"Aprueba"),"")</f>
        <v/>
      </c>
    </row>
    <row r="233" spans="17:20" ht="14.25" customHeight="1">
      <c r="Q233" t="str">
        <f>IF(F233="","",IF(COUNTIF(J233:O233,"D")&gt;0,"Desiste",IF(IFERROR(P233,0)&gt;=Parametros!$B$1,"Aprueba","No aprueba")))</f>
        <v/>
      </c>
      <c r="T233" t="str">
        <f>IF($Q233="Aprueba",COUNTIF($Q$2:$Q233,"Aprueba"),"")</f>
        <v/>
      </c>
    </row>
    <row r="234" spans="17:20" ht="14.25" customHeight="1">
      <c r="Q234" t="str">
        <f>IF(F234="","",IF(COUNTIF(J234:O234,"D")&gt;0,"Desiste",IF(IFERROR(P234,0)&gt;=Parametros!$B$1,"Aprueba","No aprueba")))</f>
        <v/>
      </c>
      <c r="T234" t="str">
        <f>IF($Q234="Aprueba",COUNTIF($Q$2:$Q234,"Aprueba"),"")</f>
        <v/>
      </c>
    </row>
    <row r="235" spans="17:20" ht="14.25" customHeight="1">
      <c r="Q235" t="str">
        <f>IF(F235="","",IF(COUNTIF(J235:O235,"D")&gt;0,"Desiste",IF(IFERROR(P235,0)&gt;=Parametros!$B$1,"Aprueba","No aprueba")))</f>
        <v/>
      </c>
      <c r="T235" t="str">
        <f>IF($Q235="Aprueba",COUNTIF($Q$2:$Q235,"Aprueba"),"")</f>
        <v/>
      </c>
    </row>
    <row r="236" spans="17:20" ht="14.25" customHeight="1">
      <c r="Q236" t="str">
        <f>IF(F236="","",IF(COUNTIF(J236:O236,"D")&gt;0,"Desiste",IF(IFERROR(P236,0)&gt;=Parametros!$B$1,"Aprueba","No aprueba")))</f>
        <v/>
      </c>
      <c r="T236" t="str">
        <f>IF($Q236="Aprueba",COUNTIF($Q$2:$Q236,"Aprueba"),"")</f>
        <v/>
      </c>
    </row>
    <row r="237" spans="17:20" ht="14.25" customHeight="1">
      <c r="Q237" t="str">
        <f>IF(F237="","",IF(COUNTIF(J237:O237,"D")&gt;0,"Desiste",IF(IFERROR(P237,0)&gt;=Parametros!$B$1,"Aprueba","No aprueba")))</f>
        <v/>
      </c>
      <c r="T237" t="str">
        <f>IF($Q237="Aprueba",COUNTIF($Q$2:$Q237,"Aprueba"),"")</f>
        <v/>
      </c>
    </row>
    <row r="238" spans="17:20" ht="14.25" customHeight="1">
      <c r="Q238" t="str">
        <f>IF(F238="","",IF(COUNTIF(J238:O238,"D")&gt;0,"Desiste",IF(IFERROR(P238,0)&gt;=Parametros!$B$1,"Aprueba","No aprueba")))</f>
        <v/>
      </c>
      <c r="T238" t="str">
        <f>IF($Q238="Aprueba",COUNTIF($Q$2:$Q238,"Aprueba"),"")</f>
        <v/>
      </c>
    </row>
    <row r="239" spans="17:20" ht="14.25" customHeight="1">
      <c r="Q239" t="str">
        <f>IF(F239="","",IF(COUNTIF(J239:O239,"D")&gt;0,"Desiste",IF(IFERROR(P239,0)&gt;=Parametros!$B$1,"Aprueba","No aprueba")))</f>
        <v/>
      </c>
      <c r="T239" t="str">
        <f>IF($Q239="Aprueba",COUNTIF($Q$2:$Q239,"Aprueba"),"")</f>
        <v/>
      </c>
    </row>
    <row r="240" spans="17:20" ht="14.25" customHeight="1">
      <c r="Q240" t="str">
        <f>IF(F240="","",IF(COUNTIF(J240:O240,"D")&gt;0,"Desiste",IF(IFERROR(P240,0)&gt;=Parametros!$B$1,"Aprueba","No aprueba")))</f>
        <v/>
      </c>
      <c r="T240" t="str">
        <f>IF($Q240="Aprueba",COUNTIF($Q$2:$Q240,"Aprueba"),"")</f>
        <v/>
      </c>
    </row>
    <row r="241" spans="17:20" ht="14.25" customHeight="1">
      <c r="Q241" t="str">
        <f>IF(F241="","",IF(COUNTIF(J241:O241,"D")&gt;0,"Desiste",IF(IFERROR(P241,0)&gt;=Parametros!$B$1,"Aprueba","No aprueba")))</f>
        <v/>
      </c>
      <c r="T241" t="str">
        <f>IF($Q241="Aprueba",COUNTIF($Q$2:$Q241,"Aprueba"),"")</f>
        <v/>
      </c>
    </row>
    <row r="242" spans="17:20" ht="14.25" customHeight="1">
      <c r="Q242" t="str">
        <f>IF(F242="","",IF(COUNTIF(J242:O242,"D")&gt;0,"Desiste",IF(IFERROR(P242,0)&gt;=Parametros!$B$1,"Aprueba","No aprueba")))</f>
        <v/>
      </c>
      <c r="T242" t="str">
        <f>IF($Q242="Aprueba",COUNTIF($Q$2:$Q242,"Aprueba"),"")</f>
        <v/>
      </c>
    </row>
    <row r="243" spans="17:20" ht="14.25" customHeight="1">
      <c r="Q243" t="str">
        <f>IF(F243="","",IF(COUNTIF(J243:O243,"D")&gt;0,"Desiste",IF(IFERROR(P243,0)&gt;=Parametros!$B$1,"Aprueba","No aprueba")))</f>
        <v/>
      </c>
      <c r="T243" t="str">
        <f>IF($Q243="Aprueba",COUNTIF($Q$2:$Q243,"Aprueba"),"")</f>
        <v/>
      </c>
    </row>
    <row r="244" spans="17:20" ht="14.25" customHeight="1">
      <c r="Q244" t="str">
        <f>IF(F244="","",IF(COUNTIF(J244:O244,"D")&gt;0,"Desiste",IF(IFERROR(P244,0)&gt;=Parametros!$B$1,"Aprueba","No aprueba")))</f>
        <v/>
      </c>
      <c r="T244" t="str">
        <f>IF($Q244="Aprueba",COUNTIF($Q$2:$Q244,"Aprueba"),"")</f>
        <v/>
      </c>
    </row>
    <row r="245" spans="17:20" ht="14.25" customHeight="1">
      <c r="Q245" t="str">
        <f>IF(F245="","",IF(COUNTIF(J245:O245,"D")&gt;0,"Desiste",IF(IFERROR(P245,0)&gt;=Parametros!$B$1,"Aprueba","No aprueba")))</f>
        <v/>
      </c>
      <c r="T245" t="str">
        <f>IF($Q245="Aprueba",COUNTIF($Q$2:$Q245,"Aprueba"),"")</f>
        <v/>
      </c>
    </row>
    <row r="246" spans="17:20" ht="14.25" customHeight="1">
      <c r="Q246" t="str">
        <f>IF(F246="","",IF(COUNTIF(J246:O246,"D")&gt;0,"Desiste",IF(IFERROR(P246,0)&gt;=Parametros!$B$1,"Aprueba","No aprueba")))</f>
        <v/>
      </c>
      <c r="T246" t="str">
        <f>IF($Q246="Aprueba",COUNTIF($Q$2:$Q246,"Aprueba"),"")</f>
        <v/>
      </c>
    </row>
    <row r="247" spans="17:20" ht="14.25" customHeight="1">
      <c r="Q247" t="str">
        <f>IF(F247="","",IF(COUNTIF(J247:O247,"D")&gt;0,"Desiste",IF(IFERROR(P247,0)&gt;=Parametros!$B$1,"Aprueba","No aprueba")))</f>
        <v/>
      </c>
      <c r="T247" t="str">
        <f>IF($Q247="Aprueba",COUNTIF($Q$2:$Q247,"Aprueba"),"")</f>
        <v/>
      </c>
    </row>
    <row r="248" spans="17:20" ht="14.25" customHeight="1">
      <c r="Q248" t="str">
        <f>IF(F248="","",IF(COUNTIF(J248:O248,"D")&gt;0,"Desiste",IF(IFERROR(P248,0)&gt;=Parametros!$B$1,"Aprueba","No aprueba")))</f>
        <v/>
      </c>
      <c r="T248" t="str">
        <f>IF($Q248="Aprueba",COUNTIF($Q$2:$Q248,"Aprueba"),"")</f>
        <v/>
      </c>
    </row>
    <row r="249" spans="17:20" ht="14.25" customHeight="1">
      <c r="Q249" t="str">
        <f>IF(F249="","",IF(COUNTIF(J249:O249,"D")&gt;0,"Desiste",IF(IFERROR(P249,0)&gt;=Parametros!$B$1,"Aprueba","No aprueba")))</f>
        <v/>
      </c>
      <c r="T249" t="str">
        <f>IF($Q249="Aprueba",COUNTIF($Q$2:$Q249,"Aprueba"),"")</f>
        <v/>
      </c>
    </row>
    <row r="250" spans="17:20" ht="14.25" customHeight="1">
      <c r="Q250" t="str">
        <f>IF(F250="","",IF(COUNTIF(J250:O250,"D")&gt;0,"Desiste",IF(IFERROR(P250,0)&gt;=Parametros!$B$1,"Aprueba","No aprueba")))</f>
        <v/>
      </c>
      <c r="T250" t="str">
        <f>IF($Q250="Aprueba",COUNTIF($Q$2:$Q250,"Aprueba"),"")</f>
        <v/>
      </c>
    </row>
    <row r="251" spans="17:20" ht="14.25" customHeight="1">
      <c r="Q251" t="str">
        <f>IF(F251="","",IF(COUNTIF(J251:O251,"D")&gt;0,"Desiste",IF(IFERROR(P251,0)&gt;=Parametros!$B$1,"Aprueba","No aprueba")))</f>
        <v/>
      </c>
      <c r="T251" t="str">
        <f>IF($Q251="Aprueba",COUNTIF($Q$2:$Q251,"Aprueba"),"")</f>
        <v/>
      </c>
    </row>
    <row r="252" spans="17:20" ht="14.25" customHeight="1">
      <c r="Q252" t="str">
        <f>IF(F252="","",IF(COUNTIF(J252:O252,"D")&gt;0,"Desiste",IF(IFERROR(P252,0)&gt;=Parametros!$B$1,"Aprueba","No aprueba")))</f>
        <v/>
      </c>
      <c r="T252" t="str">
        <f>IF($Q252="Aprueba",COUNTIF($Q$2:$Q252,"Aprueba"),"")</f>
        <v/>
      </c>
    </row>
    <row r="253" spans="17:20" ht="14.25" customHeight="1">
      <c r="Q253" t="str">
        <f>IF(F253="","",IF(COUNTIF(J253:O253,"D")&gt;0,"Desiste",IF(IFERROR(P253,0)&gt;=Parametros!$B$1,"Aprueba","No aprueba")))</f>
        <v/>
      </c>
      <c r="T253" t="str">
        <f>IF($Q253="Aprueba",COUNTIF($Q$2:$Q253,"Aprueba"),"")</f>
        <v/>
      </c>
    </row>
    <row r="254" spans="17:20" ht="14.25" customHeight="1">
      <c r="Q254" t="str">
        <f>IF(F254="","",IF(COUNTIF(J254:O254,"D")&gt;0,"Desiste",IF(IFERROR(P254,0)&gt;=Parametros!$B$1,"Aprueba","No aprueba")))</f>
        <v/>
      </c>
      <c r="T254" t="str">
        <f>IF($Q254="Aprueba",COUNTIF($Q$2:$Q254,"Aprueba"),"")</f>
        <v/>
      </c>
    </row>
    <row r="255" spans="17:20" ht="14.25" customHeight="1">
      <c r="Q255" t="str">
        <f>IF(F255="","",IF(COUNTIF(J255:O255,"D")&gt;0,"Desiste",IF(IFERROR(P255,0)&gt;=Parametros!$B$1,"Aprueba","No aprueba")))</f>
        <v/>
      </c>
      <c r="T255" t="str">
        <f>IF($Q255="Aprueba",COUNTIF($Q$2:$Q255,"Aprueba"),"")</f>
        <v/>
      </c>
    </row>
    <row r="256" spans="17:20" ht="14.25" customHeight="1">
      <c r="Q256" t="str">
        <f>IF(F256="","",IF(COUNTIF(J256:O256,"D")&gt;0,"Desiste",IF(IFERROR(P256,0)&gt;=Parametros!$B$1,"Aprueba","No aprueba")))</f>
        <v/>
      </c>
      <c r="T256" t="str">
        <f>IF($Q256="Aprueba",COUNTIF($Q$2:$Q256,"Aprueba"),"")</f>
        <v/>
      </c>
    </row>
    <row r="257" spans="17:20" ht="14.25" customHeight="1">
      <c r="Q257" t="str">
        <f>IF(F257="","",IF(COUNTIF(J257:O257,"D")&gt;0,"Desiste",IF(IFERROR(P257,0)&gt;=Parametros!$B$1,"Aprueba","No aprueba")))</f>
        <v/>
      </c>
      <c r="T257" t="str">
        <f>IF($Q257="Aprueba",COUNTIF($Q$2:$Q257,"Aprueba"),"")</f>
        <v/>
      </c>
    </row>
    <row r="258" spans="17:20" ht="14.25" customHeight="1">
      <c r="Q258" t="str">
        <f>IF(F258="","",IF(COUNTIF(J258:O258,"D")&gt;0,"Desiste",IF(IFERROR(P258,0)&gt;=Parametros!$B$1,"Aprueba","No aprueba")))</f>
        <v/>
      </c>
      <c r="T258" t="str">
        <f>IF($Q258="Aprueba",COUNTIF($Q$2:$Q258,"Aprueba"),"")</f>
        <v/>
      </c>
    </row>
    <row r="259" spans="17:20" ht="14.25" customHeight="1">
      <c r="Q259" t="str">
        <f>IF(F259="","",IF(COUNTIF(J259:O259,"D")&gt;0,"Desiste",IF(IFERROR(P259,0)&gt;=Parametros!$B$1,"Aprueba","No aprueba")))</f>
        <v/>
      </c>
      <c r="T259" t="str">
        <f>IF($Q259="Aprueba",COUNTIF($Q$2:$Q259,"Aprueba"),"")</f>
        <v/>
      </c>
    </row>
    <row r="260" spans="17:20" ht="14.25" customHeight="1">
      <c r="Q260" t="str">
        <f>IF(F260="","",IF(COUNTIF(J260:O260,"D")&gt;0,"Desiste",IF(IFERROR(P260,0)&gt;=Parametros!$B$1,"Aprueba","No aprueba")))</f>
        <v/>
      </c>
      <c r="T260" t="str">
        <f>IF($Q260="Aprueba",COUNTIF($Q$2:$Q260,"Aprueba"),"")</f>
        <v/>
      </c>
    </row>
    <row r="261" spans="17:20" ht="14.25" customHeight="1">
      <c r="Q261" t="str">
        <f>IF(F261="","",IF(COUNTIF(J261:O261,"D")&gt;0,"Desiste",IF(IFERROR(P261,0)&gt;=Parametros!$B$1,"Aprueba","No aprueba")))</f>
        <v/>
      </c>
      <c r="T261" t="str">
        <f>IF($Q261="Aprueba",COUNTIF($Q$2:$Q261,"Aprueba"),"")</f>
        <v/>
      </c>
    </row>
    <row r="262" spans="17:20" ht="14.25" customHeight="1">
      <c r="Q262" t="str">
        <f>IF(F262="","",IF(COUNTIF(J262:O262,"D")&gt;0,"Desiste",IF(IFERROR(P262,0)&gt;=Parametros!$B$1,"Aprueba","No aprueba")))</f>
        <v/>
      </c>
      <c r="T262" t="str">
        <f>IF($Q262="Aprueba",COUNTIF($Q$2:$Q262,"Aprueba"),"")</f>
        <v/>
      </c>
    </row>
    <row r="263" spans="17:20" ht="14.25" customHeight="1">
      <c r="Q263" t="str">
        <f>IF(F263="","",IF(COUNTIF(J263:O263,"D")&gt;0,"Desiste",IF(IFERROR(P263,0)&gt;=Parametros!$B$1,"Aprueba","No aprueba")))</f>
        <v/>
      </c>
      <c r="T263" t="str">
        <f>IF($Q263="Aprueba",COUNTIF($Q$2:$Q263,"Aprueba"),"")</f>
        <v/>
      </c>
    </row>
    <row r="264" spans="17:20" ht="14.25" customHeight="1">
      <c r="Q264" t="str">
        <f>IF(F264="","",IF(COUNTIF(J264:O264,"D")&gt;0,"Desiste",IF(IFERROR(P264,0)&gt;=Parametros!$B$1,"Aprueba","No aprueba")))</f>
        <v/>
      </c>
      <c r="T264" t="str">
        <f>IF($Q264="Aprueba",COUNTIF($Q$2:$Q264,"Aprueba"),"")</f>
        <v/>
      </c>
    </row>
    <row r="265" spans="17:20" ht="14.25" customHeight="1">
      <c r="Q265" t="str">
        <f>IF(F265="","",IF(COUNTIF(J265:O265,"D")&gt;0,"Desiste",IF(IFERROR(P265,0)&gt;=Parametros!$B$1,"Aprueba","No aprueba")))</f>
        <v/>
      </c>
      <c r="T265" t="str">
        <f>IF($Q265="Aprueba",COUNTIF($Q$2:$Q265,"Aprueba"),"")</f>
        <v/>
      </c>
    </row>
    <row r="266" spans="17:20" ht="14.25" customHeight="1">
      <c r="Q266" t="str">
        <f>IF(F266="","",IF(COUNTIF(J266:O266,"D")&gt;0,"Desiste",IF(IFERROR(P266,0)&gt;=Parametros!$B$1,"Aprueba","No aprueba")))</f>
        <v/>
      </c>
      <c r="T266" t="str">
        <f>IF($Q266="Aprueba",COUNTIF($Q$2:$Q266,"Aprueba"),"")</f>
        <v/>
      </c>
    </row>
    <row r="267" spans="17:20" ht="14.25" customHeight="1">
      <c r="Q267" t="str">
        <f>IF(F267="","",IF(COUNTIF(J267:O267,"D")&gt;0,"Desiste",IF(IFERROR(P267,0)&gt;=Parametros!$B$1,"Aprueba","No aprueba")))</f>
        <v/>
      </c>
      <c r="T267" t="str">
        <f>IF($Q267="Aprueba",COUNTIF($Q$2:$Q267,"Aprueba"),"")</f>
        <v/>
      </c>
    </row>
    <row r="268" spans="17:20" ht="14.25" customHeight="1">
      <c r="Q268" t="str">
        <f>IF(F268="","",IF(COUNTIF(J268:O268,"D")&gt;0,"Desiste",IF(IFERROR(P268,0)&gt;=Parametros!$B$1,"Aprueba","No aprueba")))</f>
        <v/>
      </c>
      <c r="T268" t="str">
        <f>IF($Q268="Aprueba",COUNTIF($Q$2:$Q268,"Aprueba"),"")</f>
        <v/>
      </c>
    </row>
    <row r="269" spans="17:20" ht="14.25" customHeight="1">
      <c r="Q269" t="str">
        <f>IF(F269="","",IF(COUNTIF(J269:O269,"D")&gt;0,"Desiste",IF(IFERROR(P269,0)&gt;=Parametros!$B$1,"Aprueba","No aprueba")))</f>
        <v/>
      </c>
      <c r="T269" t="str">
        <f>IF($Q269="Aprueba",COUNTIF($Q$2:$Q269,"Aprueba"),"")</f>
        <v/>
      </c>
    </row>
    <row r="270" spans="17:20" ht="14.25" customHeight="1">
      <c r="Q270" t="str">
        <f>IF(F270="","",IF(COUNTIF(J270:O270,"D")&gt;0,"Desiste",IF(IFERROR(P270,0)&gt;=Parametros!$B$1,"Aprueba","No aprueba")))</f>
        <v/>
      </c>
      <c r="T270" t="str">
        <f>IF($Q270="Aprueba",COUNTIF($Q$2:$Q270,"Aprueba"),"")</f>
        <v/>
      </c>
    </row>
    <row r="271" spans="17:20" ht="14.25" customHeight="1">
      <c r="Q271" t="str">
        <f>IF(F271="","",IF(COUNTIF(J271:O271,"D")&gt;0,"Desiste",IF(IFERROR(P271,0)&gt;=Parametros!$B$1,"Aprueba","No aprueba")))</f>
        <v/>
      </c>
      <c r="T271" t="str">
        <f>IF($Q271="Aprueba",COUNTIF($Q$2:$Q271,"Aprueba"),"")</f>
        <v/>
      </c>
    </row>
    <row r="272" spans="17:20" ht="14.25" customHeight="1">
      <c r="Q272" t="str">
        <f>IF(F272="","",IF(COUNTIF(J272:O272,"D")&gt;0,"Desiste",IF(IFERROR(P272,0)&gt;=Parametros!$B$1,"Aprueba","No aprueba")))</f>
        <v/>
      </c>
      <c r="T272" t="str">
        <f>IF($Q272="Aprueba",COUNTIF($Q$2:$Q272,"Aprueba"),"")</f>
        <v/>
      </c>
    </row>
    <row r="273" spans="17:20" ht="14.25" customHeight="1">
      <c r="Q273" t="str">
        <f>IF(F273="","",IF(COUNTIF(J273:O273,"D")&gt;0,"Desiste",IF(IFERROR(P273,0)&gt;=Parametros!$B$1,"Aprueba","No aprueba")))</f>
        <v/>
      </c>
      <c r="T273" t="str">
        <f>IF($Q273="Aprueba",COUNTIF($Q$2:$Q273,"Aprueba"),"")</f>
        <v/>
      </c>
    </row>
    <row r="274" spans="17:20" ht="14.25" customHeight="1">
      <c r="Q274" t="str">
        <f>IF(F274="","",IF(COUNTIF(J274:O274,"D")&gt;0,"Desiste",IF(IFERROR(P274,0)&gt;=Parametros!$B$1,"Aprueba","No aprueba")))</f>
        <v/>
      </c>
      <c r="T274" t="str">
        <f>IF($Q274="Aprueba",COUNTIF($Q$2:$Q274,"Aprueba"),"")</f>
        <v/>
      </c>
    </row>
    <row r="275" spans="17:20" ht="14.25" customHeight="1">
      <c r="Q275" t="str">
        <f>IF(F275="","",IF(COUNTIF(J275:O275,"D")&gt;0,"Desiste",IF(IFERROR(P275,0)&gt;=Parametros!$B$1,"Aprueba","No aprueba")))</f>
        <v/>
      </c>
      <c r="T275" t="str">
        <f>IF($Q275="Aprueba",COUNTIF($Q$2:$Q275,"Aprueba"),"")</f>
        <v/>
      </c>
    </row>
    <row r="276" spans="17:20" ht="14.25" customHeight="1">
      <c r="Q276" t="str">
        <f>IF(F276="","",IF(COUNTIF(J276:O276,"D")&gt;0,"Desiste",IF(IFERROR(P276,0)&gt;=Parametros!$B$1,"Aprueba","No aprueba")))</f>
        <v/>
      </c>
      <c r="T276" t="str">
        <f>IF($Q276="Aprueba",COUNTIF($Q$2:$Q276,"Aprueba"),"")</f>
        <v/>
      </c>
    </row>
    <row r="277" spans="17:20" ht="14.25" customHeight="1">
      <c r="Q277" t="str">
        <f>IF(F277="","",IF(COUNTIF(J277:O277,"D")&gt;0,"Desiste",IF(IFERROR(P277,0)&gt;=Parametros!$B$1,"Aprueba","No aprueba")))</f>
        <v/>
      </c>
      <c r="T277" t="str">
        <f>IF($Q277="Aprueba",COUNTIF($Q$2:$Q277,"Aprueba"),"")</f>
        <v/>
      </c>
    </row>
    <row r="278" spans="17:20" ht="14.25" customHeight="1">
      <c r="Q278" t="str">
        <f>IF(F278="","",IF(COUNTIF(J278:O278,"D")&gt;0,"Desiste",IF(IFERROR(P278,0)&gt;=Parametros!$B$1,"Aprueba","No aprueba")))</f>
        <v/>
      </c>
      <c r="T278" t="str">
        <f>IF($Q278="Aprueba",COUNTIF($Q$2:$Q278,"Aprueba"),"")</f>
        <v/>
      </c>
    </row>
    <row r="279" spans="17:20" ht="14.25" customHeight="1">
      <c r="Q279" t="str">
        <f>IF(F279="","",IF(COUNTIF(J279:O279,"D")&gt;0,"Desiste",IF(IFERROR(P279,0)&gt;=Parametros!$B$1,"Aprueba","No aprueba")))</f>
        <v/>
      </c>
      <c r="T279" t="str">
        <f>IF($Q279="Aprueba",COUNTIF($Q$2:$Q279,"Aprueba"),"")</f>
        <v/>
      </c>
    </row>
    <row r="280" spans="17:20" ht="14.25" customHeight="1">
      <c r="Q280" t="str">
        <f>IF(F280="","",IF(COUNTIF(J280:O280,"D")&gt;0,"Desiste",IF(IFERROR(P280,0)&gt;=Parametros!$B$1,"Aprueba","No aprueba")))</f>
        <v/>
      </c>
      <c r="T280" t="str">
        <f>IF($Q280="Aprueba",COUNTIF($Q$2:$Q280,"Aprueba"),"")</f>
        <v/>
      </c>
    </row>
    <row r="281" spans="17:20" ht="14.25" customHeight="1">
      <c r="Q281" t="str">
        <f>IF(F281="","",IF(COUNTIF(J281:O281,"D")&gt;0,"Desiste",IF(IFERROR(P281,0)&gt;=Parametros!$B$1,"Aprueba","No aprueba")))</f>
        <v/>
      </c>
      <c r="T281" t="str">
        <f>IF($Q281="Aprueba",COUNTIF($Q$2:$Q281,"Aprueba"),"")</f>
        <v/>
      </c>
    </row>
    <row r="282" spans="17:20" ht="14.25" customHeight="1">
      <c r="Q282" t="str">
        <f>IF(F282="","",IF(COUNTIF(J282:O282,"D")&gt;0,"Desiste",IF(IFERROR(P282,0)&gt;=Parametros!$B$1,"Aprueba","No aprueba")))</f>
        <v/>
      </c>
      <c r="T282" t="str">
        <f>IF($Q282="Aprueba",COUNTIF($Q$2:$Q282,"Aprueba"),"")</f>
        <v/>
      </c>
    </row>
    <row r="283" spans="17:20" ht="14.25" customHeight="1">
      <c r="Q283" t="str">
        <f>IF(F283="","",IF(COUNTIF(J283:O283,"D")&gt;0,"Desiste",IF(IFERROR(P283,0)&gt;=Parametros!$B$1,"Aprueba","No aprueba")))</f>
        <v/>
      </c>
      <c r="T283" t="str">
        <f>IF($Q283="Aprueba",COUNTIF($Q$2:$Q283,"Aprueba"),"")</f>
        <v/>
      </c>
    </row>
    <row r="284" spans="17:20" ht="14.25" customHeight="1">
      <c r="Q284" t="str">
        <f>IF(F284="","",IF(COUNTIF(J284:O284,"D")&gt;0,"Desiste",IF(IFERROR(P284,0)&gt;=Parametros!$B$1,"Aprueba","No aprueba")))</f>
        <v/>
      </c>
      <c r="T284" t="str">
        <f>IF($Q284="Aprueba",COUNTIF($Q$2:$Q284,"Aprueba"),"")</f>
        <v/>
      </c>
    </row>
    <row r="285" spans="17:20" ht="14.25" customHeight="1">
      <c r="Q285" t="str">
        <f>IF(F285="","",IF(COUNTIF(J285:O285,"D")&gt;0,"Desiste",IF(IFERROR(P285,0)&gt;=Parametros!$B$1,"Aprueba","No aprueba")))</f>
        <v/>
      </c>
      <c r="T285" t="str">
        <f>IF($Q285="Aprueba",COUNTIF($Q$2:$Q285,"Aprueba"),"")</f>
        <v/>
      </c>
    </row>
    <row r="286" spans="17:20" ht="14.25" customHeight="1">
      <c r="Q286" t="str">
        <f>IF(F286="","",IF(COUNTIF(J286:O286,"D")&gt;0,"Desiste",IF(IFERROR(P286,0)&gt;=Parametros!$B$1,"Aprueba","No aprueba")))</f>
        <v/>
      </c>
      <c r="T286" t="str">
        <f>IF($Q286="Aprueba",COUNTIF($Q$2:$Q286,"Aprueba"),"")</f>
        <v/>
      </c>
    </row>
    <row r="287" spans="17:20" ht="14.25" customHeight="1">
      <c r="Q287" t="str">
        <f>IF(F287="","",IF(COUNTIF(J287:O287,"D")&gt;0,"Desiste",IF(IFERROR(P287,0)&gt;=Parametros!$B$1,"Aprueba","No aprueba")))</f>
        <v/>
      </c>
      <c r="T287" t="str">
        <f>IF($Q287="Aprueba",COUNTIF($Q$2:$Q287,"Aprueba"),"")</f>
        <v/>
      </c>
    </row>
    <row r="288" spans="17:20" ht="14.25" customHeight="1">
      <c r="Q288" t="str">
        <f>IF(F288="","",IF(COUNTIF(J288:O288,"D")&gt;0,"Desiste",IF(IFERROR(P288,0)&gt;=Parametros!$B$1,"Aprueba","No aprueba")))</f>
        <v/>
      </c>
      <c r="T288" t="str">
        <f>IF($Q288="Aprueba",COUNTIF($Q$2:$Q288,"Aprueba"),"")</f>
        <v/>
      </c>
    </row>
    <row r="289" spans="17:20" ht="14.25" customHeight="1">
      <c r="Q289" t="str">
        <f>IF(F289="","",IF(COUNTIF(J289:O289,"D")&gt;0,"Desiste",IF(IFERROR(P289,0)&gt;=Parametros!$B$1,"Aprueba","No aprueba")))</f>
        <v/>
      </c>
      <c r="T289" t="str">
        <f>IF($Q289="Aprueba",COUNTIF($Q$2:$Q289,"Aprueba"),"")</f>
        <v/>
      </c>
    </row>
    <row r="290" spans="17:20" ht="14.25" customHeight="1">
      <c r="Q290" t="str">
        <f>IF(F290="","",IF(COUNTIF(J290:O290,"D")&gt;0,"Desiste",IF(IFERROR(P290,0)&gt;=Parametros!$B$1,"Aprueba","No aprueba")))</f>
        <v/>
      </c>
      <c r="T290" t="str">
        <f>IF($Q290="Aprueba",COUNTIF($Q$2:$Q290,"Aprueba"),"")</f>
        <v/>
      </c>
    </row>
    <row r="291" spans="17:20" ht="14.25" customHeight="1">
      <c r="Q291" t="str">
        <f>IF(F291="","",IF(COUNTIF(J291:O291,"D")&gt;0,"Desiste",IF(IFERROR(P291,0)&gt;=Parametros!$B$1,"Aprueba","No aprueba")))</f>
        <v/>
      </c>
      <c r="T291" t="str">
        <f>IF($Q291="Aprueba",COUNTIF($Q$2:$Q291,"Aprueba"),"")</f>
        <v/>
      </c>
    </row>
    <row r="292" spans="17:20" ht="14.25" customHeight="1">
      <c r="Q292" t="str">
        <f>IF(F292="","",IF(COUNTIF(J292:O292,"D")&gt;0,"Desiste",IF(IFERROR(P292,0)&gt;=Parametros!$B$1,"Aprueba","No aprueba")))</f>
        <v/>
      </c>
      <c r="T292" t="str">
        <f>IF($Q292="Aprueba",COUNTIF($Q$2:$Q292,"Aprueba"),"")</f>
        <v/>
      </c>
    </row>
    <row r="293" spans="17:20" ht="14.25" customHeight="1">
      <c r="Q293" t="str">
        <f>IF(F293="","",IF(COUNTIF(J293:O293,"D")&gt;0,"Desiste",IF(IFERROR(P293,0)&gt;=Parametros!$B$1,"Aprueba","No aprueba")))</f>
        <v/>
      </c>
      <c r="T293" t="str">
        <f>IF($Q293="Aprueba",COUNTIF($Q$2:$Q293,"Aprueba"),"")</f>
        <v/>
      </c>
    </row>
    <row r="294" spans="17:20" ht="14.25" customHeight="1">
      <c r="Q294" t="str">
        <f>IF(F294="","",IF(COUNTIF(J294:O294,"D")&gt;0,"Desiste",IF(IFERROR(P294,0)&gt;=Parametros!$B$1,"Aprueba","No aprueba")))</f>
        <v/>
      </c>
      <c r="T294" t="str">
        <f>IF($Q294="Aprueba",COUNTIF($Q$2:$Q294,"Aprueba"),"")</f>
        <v/>
      </c>
    </row>
    <row r="295" spans="17:20" ht="14.25" customHeight="1">
      <c r="Q295" t="str">
        <f>IF(F295="","",IF(COUNTIF(J295:O295,"D")&gt;0,"Desiste",IF(IFERROR(P295,0)&gt;=Parametros!$B$1,"Aprueba","No aprueba")))</f>
        <v/>
      </c>
      <c r="T295" t="str">
        <f>IF($Q295="Aprueba",COUNTIF($Q$2:$Q295,"Aprueba"),"")</f>
        <v/>
      </c>
    </row>
    <row r="296" spans="17:20" ht="14.25" customHeight="1">
      <c r="Q296" t="str">
        <f>IF(F296="","",IF(COUNTIF(J296:O296,"D")&gt;0,"Desiste",IF(IFERROR(P296,0)&gt;=Parametros!$B$1,"Aprueba","No aprueba")))</f>
        <v/>
      </c>
      <c r="T296" t="str">
        <f>IF($Q296="Aprueba",COUNTIF($Q$2:$Q296,"Aprueba"),"")</f>
        <v/>
      </c>
    </row>
    <row r="297" spans="17:20" ht="14.25" customHeight="1">
      <c r="Q297" t="str">
        <f>IF(F297="","",IF(COUNTIF(J297:O297,"D")&gt;0,"Desiste",IF(IFERROR(P297,0)&gt;=Parametros!$B$1,"Aprueba","No aprueba")))</f>
        <v/>
      </c>
      <c r="T297" t="str">
        <f>IF($Q297="Aprueba",COUNTIF($Q$2:$Q297,"Aprueba"),"")</f>
        <v/>
      </c>
    </row>
    <row r="298" spans="17:20" ht="14.25" customHeight="1">
      <c r="Q298" t="str">
        <f>IF(F298="","",IF(COUNTIF(J298:O298,"D")&gt;0,"Desiste",IF(IFERROR(P298,0)&gt;=Parametros!$B$1,"Aprueba","No aprueba")))</f>
        <v/>
      </c>
      <c r="T298" t="str">
        <f>IF($Q298="Aprueba",COUNTIF($Q$2:$Q298,"Aprueba"),"")</f>
        <v/>
      </c>
    </row>
    <row r="299" spans="17:20" ht="14.25" customHeight="1">
      <c r="Q299" t="str">
        <f>IF(F299="","",IF(COUNTIF(J299:O299,"D")&gt;0,"Desiste",IF(IFERROR(P299,0)&gt;=Parametros!$B$1,"Aprueba","No aprueba")))</f>
        <v/>
      </c>
      <c r="T299" t="str">
        <f>IF($Q299="Aprueba",COUNTIF($Q$2:$Q299,"Aprueba"),"")</f>
        <v/>
      </c>
    </row>
    <row r="300" spans="17:20" ht="14.25" customHeight="1">
      <c r="Q300" t="str">
        <f>IF(F300="","",IF(COUNTIF(J300:O300,"D")&gt;0,"Desiste",IF(IFERROR(P300,0)&gt;=Parametros!$B$1,"Aprueba","No aprueba")))</f>
        <v/>
      </c>
      <c r="T300" t="str">
        <f>IF($Q300="Aprueba",COUNTIF($Q$2:$Q300,"Aprueba"),"")</f>
        <v/>
      </c>
    </row>
    <row r="301" spans="17:20" ht="14.25" customHeight="1">
      <c r="Q301" t="str">
        <f>IF(F301="","",IF(COUNTIF(J301:O301,"D")&gt;0,"Desiste",IF(IFERROR(P301,0)&gt;=Parametros!$B$1,"Aprueba","No aprueba")))</f>
        <v/>
      </c>
      <c r="T301" t="str">
        <f>IF($Q301="Aprueba",COUNTIF($Q$2:$Q301,"Aprueba"),"")</f>
        <v/>
      </c>
    </row>
    <row r="302" spans="17:20" ht="14.25" customHeight="1">
      <c r="Q302" t="str">
        <f>IF(F302="","",IF(COUNTIF(J302:O302,"D")&gt;0,"Desiste",IF(IFERROR(P302,0)&gt;=Parametros!$B$1,"Aprueba","No aprueba")))</f>
        <v/>
      </c>
      <c r="T302" t="str">
        <f>IF($Q302="Aprueba",COUNTIF($Q$2:$Q302,"Aprueba"),"")</f>
        <v/>
      </c>
    </row>
    <row r="303" spans="17:20" ht="14.25" customHeight="1">
      <c r="Q303" t="str">
        <f>IF(F303="","",IF(COUNTIF(J303:O303,"D")&gt;0,"Desiste",IF(IFERROR(P303,0)&gt;=Parametros!$B$1,"Aprueba","No aprueba")))</f>
        <v/>
      </c>
      <c r="T303" t="str">
        <f>IF($Q303="Aprueba",COUNTIF($Q$2:$Q303,"Aprueba"),"")</f>
        <v/>
      </c>
    </row>
    <row r="304" spans="17:20" ht="14.25" customHeight="1">
      <c r="Q304" t="str">
        <f>IF(F304="","",IF(COUNTIF(J304:O304,"D")&gt;0,"Desiste",IF(IFERROR(P304,0)&gt;=Parametros!$B$1,"Aprueba","No aprueba")))</f>
        <v/>
      </c>
      <c r="T304" t="str">
        <f>IF($Q304="Aprueba",COUNTIF($Q$2:$Q304,"Aprueba"),"")</f>
        <v/>
      </c>
    </row>
    <row r="305" spans="17:20" ht="14.25" customHeight="1">
      <c r="Q305" t="str">
        <f>IF(F305="","",IF(COUNTIF(J305:O305,"D")&gt;0,"Desiste",IF(IFERROR(P305,0)&gt;=Parametros!$B$1,"Aprueba","No aprueba")))</f>
        <v/>
      </c>
      <c r="T305" t="str">
        <f>IF($Q305="Aprueba",COUNTIF($Q$2:$Q305,"Aprueba"),"")</f>
        <v/>
      </c>
    </row>
    <row r="306" spans="17:20" ht="14.25" customHeight="1">
      <c r="Q306" t="str">
        <f>IF(F306="","",IF(COUNTIF(J306:O306,"D")&gt;0,"Desiste",IF(IFERROR(P306,0)&gt;=Parametros!$B$1,"Aprueba","No aprueba")))</f>
        <v/>
      </c>
      <c r="T306" t="str">
        <f>IF($Q306="Aprueba",COUNTIF($Q$2:$Q306,"Aprueba"),"")</f>
        <v/>
      </c>
    </row>
    <row r="307" spans="17:20" ht="14.25" customHeight="1">
      <c r="Q307" t="str">
        <f>IF(F307="","",IF(COUNTIF(J307:O307,"D")&gt;0,"Desiste",IF(IFERROR(P307,0)&gt;=Parametros!$B$1,"Aprueba","No aprueba")))</f>
        <v/>
      </c>
      <c r="T307" t="str">
        <f>IF($Q307="Aprueba",COUNTIF($Q$2:$Q307,"Aprueba"),"")</f>
        <v/>
      </c>
    </row>
    <row r="308" spans="17:20" ht="14.25" customHeight="1">
      <c r="Q308" t="str">
        <f>IF(F308="","",IF(COUNTIF(J308:O308,"D")&gt;0,"Desiste",IF(IFERROR(P308,0)&gt;=Parametros!$B$1,"Aprueba","No aprueba")))</f>
        <v/>
      </c>
      <c r="T308" t="str">
        <f>IF($Q308="Aprueba",COUNTIF($Q$2:$Q308,"Aprueba"),"")</f>
        <v/>
      </c>
    </row>
    <row r="309" spans="17:20" ht="14.25" customHeight="1">
      <c r="Q309" t="str">
        <f>IF(F309="","",IF(COUNTIF(J309:O309,"D")&gt;0,"Desiste",IF(IFERROR(P309,0)&gt;=Parametros!$B$1,"Aprueba","No aprueba")))</f>
        <v/>
      </c>
      <c r="T309" t="str">
        <f>IF($Q309="Aprueba",COUNTIF($Q$2:$Q309,"Aprueba"),"")</f>
        <v/>
      </c>
    </row>
    <row r="310" spans="17:20" ht="14.25" customHeight="1">
      <c r="Q310" t="str">
        <f>IF(F310="","",IF(COUNTIF(J310:O310,"D")&gt;0,"Desiste",IF(IFERROR(P310,0)&gt;=Parametros!$B$1,"Aprueba","No aprueba")))</f>
        <v/>
      </c>
      <c r="T310" t="str">
        <f>IF($Q310="Aprueba",COUNTIF($Q$2:$Q310,"Aprueba"),"")</f>
        <v/>
      </c>
    </row>
    <row r="311" spans="17:20" ht="14.25" customHeight="1">
      <c r="Q311" t="str">
        <f>IF(F311="","",IF(COUNTIF(J311:O311,"D")&gt;0,"Desiste",IF(IFERROR(P311,0)&gt;=Parametros!$B$1,"Aprueba","No aprueba")))</f>
        <v/>
      </c>
      <c r="T311" t="str">
        <f>IF($Q311="Aprueba",COUNTIF($Q$2:$Q311,"Aprueba"),"")</f>
        <v/>
      </c>
    </row>
    <row r="312" spans="17:20" ht="14.25" customHeight="1">
      <c r="Q312" t="str">
        <f>IF(F312="","",IF(COUNTIF(J312:O312,"D")&gt;0,"Desiste",IF(IFERROR(P312,0)&gt;=Parametros!$B$1,"Aprueba","No aprueba")))</f>
        <v/>
      </c>
      <c r="T312" t="str">
        <f>IF($Q312="Aprueba",COUNTIF($Q$2:$Q312,"Aprueba"),"")</f>
        <v/>
      </c>
    </row>
    <row r="313" spans="17:20" ht="14.25" customHeight="1">
      <c r="Q313" t="str">
        <f>IF(F313="","",IF(COUNTIF(J313:O313,"D")&gt;0,"Desiste",IF(IFERROR(P313,0)&gt;=Parametros!$B$1,"Aprueba","No aprueba")))</f>
        <v/>
      </c>
      <c r="T313" t="str">
        <f>IF($Q313="Aprueba",COUNTIF($Q$2:$Q313,"Aprueba"),"")</f>
        <v/>
      </c>
    </row>
    <row r="314" spans="17:20" ht="14.25" customHeight="1">
      <c r="Q314" t="str">
        <f>IF(F314="","",IF(COUNTIF(J314:O314,"D")&gt;0,"Desiste",IF(IFERROR(P314,0)&gt;=Parametros!$B$1,"Aprueba","No aprueba")))</f>
        <v/>
      </c>
      <c r="T314" t="str">
        <f>IF($Q314="Aprueba",COUNTIF($Q$2:$Q314,"Aprueba"),"")</f>
        <v/>
      </c>
    </row>
    <row r="315" spans="17:20" ht="14.25" customHeight="1">
      <c r="Q315" t="str">
        <f>IF(F315="","",IF(COUNTIF(J315:O315,"D")&gt;0,"Desiste",IF(IFERROR(P315,0)&gt;=Parametros!$B$1,"Aprueba","No aprueba")))</f>
        <v/>
      </c>
      <c r="T315" t="str">
        <f>IF($Q315="Aprueba",COUNTIF($Q$2:$Q315,"Aprueba"),"")</f>
        <v/>
      </c>
    </row>
    <row r="316" spans="17:20" ht="14.25" customHeight="1">
      <c r="Q316" t="str">
        <f>IF(F316="","",IF(COUNTIF(J316:O316,"D")&gt;0,"Desiste",IF(IFERROR(P316,0)&gt;=Parametros!$B$1,"Aprueba","No aprueba")))</f>
        <v/>
      </c>
      <c r="T316" t="str">
        <f>IF($Q316="Aprueba",COUNTIF($Q$2:$Q316,"Aprueba"),"")</f>
        <v/>
      </c>
    </row>
    <row r="317" spans="17:20" ht="14.25" customHeight="1">
      <c r="Q317" t="str">
        <f>IF(F317="","",IF(COUNTIF(J317:O317,"D")&gt;0,"Desiste",IF(IFERROR(P317,0)&gt;=Parametros!$B$1,"Aprueba","No aprueba")))</f>
        <v/>
      </c>
      <c r="T317" t="str">
        <f>IF($Q317="Aprueba",COUNTIF($Q$2:$Q317,"Aprueba"),"")</f>
        <v/>
      </c>
    </row>
    <row r="318" spans="17:20" ht="14.25" customHeight="1">
      <c r="Q318" t="str">
        <f>IF(F318="","",IF(COUNTIF(J318:O318,"D")&gt;0,"Desiste",IF(IFERROR(P318,0)&gt;=Parametros!$B$1,"Aprueba","No aprueba")))</f>
        <v/>
      </c>
      <c r="T318" t="str">
        <f>IF($Q318="Aprueba",COUNTIF($Q$2:$Q318,"Aprueba"),"")</f>
        <v/>
      </c>
    </row>
    <row r="319" spans="17:20" ht="14.25" customHeight="1">
      <c r="Q319" t="str">
        <f>IF(F319="","",IF(COUNTIF(J319:O319,"D")&gt;0,"Desiste",IF(IFERROR(P319,0)&gt;=Parametros!$B$1,"Aprueba","No aprueba")))</f>
        <v/>
      </c>
      <c r="T319" t="str">
        <f>IF($Q319="Aprueba",COUNTIF($Q$2:$Q319,"Aprueba"),"")</f>
        <v/>
      </c>
    </row>
    <row r="320" spans="17:20" ht="14.25" customHeight="1">
      <c r="Q320" t="str">
        <f>IF(F320="","",IF(COUNTIF(J320:O320,"D")&gt;0,"Desiste",IF(IFERROR(P320,0)&gt;=Parametros!$B$1,"Aprueba","No aprueba")))</f>
        <v/>
      </c>
      <c r="T320" t="str">
        <f>IF($Q320="Aprueba",COUNTIF($Q$2:$Q320,"Aprueba"),"")</f>
        <v/>
      </c>
    </row>
    <row r="321" spans="17:20" ht="14.25" customHeight="1">
      <c r="Q321" t="str">
        <f>IF(F321="","",IF(COUNTIF(J321:O321,"D")&gt;0,"Desiste",IF(IFERROR(P321,0)&gt;=Parametros!$B$1,"Aprueba","No aprueba")))</f>
        <v/>
      </c>
      <c r="T321" t="str">
        <f>IF($Q321="Aprueba",COUNTIF($Q$2:$Q321,"Aprueba"),"")</f>
        <v/>
      </c>
    </row>
    <row r="322" spans="17:20" ht="14.25" customHeight="1">
      <c r="Q322" t="str">
        <f>IF(F322="","",IF(COUNTIF(J322:O322,"D")&gt;0,"Desiste",IF(IFERROR(P322,0)&gt;=Parametros!$B$1,"Aprueba","No aprueba")))</f>
        <v/>
      </c>
      <c r="T322" t="str">
        <f>IF($Q322="Aprueba",COUNTIF($Q$2:$Q322,"Aprueba"),"")</f>
        <v/>
      </c>
    </row>
    <row r="323" spans="17:20" ht="14.25" customHeight="1">
      <c r="Q323" t="str">
        <f>IF(F323="","",IF(COUNTIF(J323:O323,"D")&gt;0,"Desiste",IF(IFERROR(P323,0)&gt;=Parametros!$B$1,"Aprueba","No aprueba")))</f>
        <v/>
      </c>
      <c r="T323" t="str">
        <f>IF($Q323="Aprueba",COUNTIF($Q$2:$Q323,"Aprueba"),"")</f>
        <v/>
      </c>
    </row>
    <row r="324" spans="17:20" ht="14.25" customHeight="1">
      <c r="Q324" t="str">
        <f>IF(F324="","",IF(COUNTIF(J324:O324,"D")&gt;0,"Desiste",IF(IFERROR(P324,0)&gt;=Parametros!$B$1,"Aprueba","No aprueba")))</f>
        <v/>
      </c>
      <c r="T324" t="str">
        <f>IF($Q324="Aprueba",COUNTIF($Q$2:$Q324,"Aprueba"),"")</f>
        <v/>
      </c>
    </row>
    <row r="325" spans="17:20" ht="14.25" customHeight="1">
      <c r="Q325" t="str">
        <f>IF(F325="","",IF(COUNTIF(J325:O325,"D")&gt;0,"Desiste",IF(IFERROR(P325,0)&gt;=Parametros!$B$1,"Aprueba","No aprueba")))</f>
        <v/>
      </c>
      <c r="T325" t="str">
        <f>IF($Q325="Aprueba",COUNTIF($Q$2:$Q325,"Aprueba"),"")</f>
        <v/>
      </c>
    </row>
    <row r="326" spans="17:20" ht="14.25" customHeight="1">
      <c r="Q326" t="str">
        <f>IF(F326="","",IF(COUNTIF(J326:O326,"D")&gt;0,"Desiste",IF(IFERROR(P326,0)&gt;=Parametros!$B$1,"Aprueba","No aprueba")))</f>
        <v/>
      </c>
      <c r="T326" t="str">
        <f>IF($Q326="Aprueba",COUNTIF($Q$2:$Q326,"Aprueba"),"")</f>
        <v/>
      </c>
    </row>
    <row r="327" spans="17:20" ht="14.25" customHeight="1">
      <c r="Q327" t="str">
        <f>IF(F327="","",IF(COUNTIF(J327:O327,"D")&gt;0,"Desiste",IF(IFERROR(P327,0)&gt;=Parametros!$B$1,"Aprueba","No aprueba")))</f>
        <v/>
      </c>
      <c r="T327" t="str">
        <f>IF($Q327="Aprueba",COUNTIF($Q$2:$Q327,"Aprueba"),"")</f>
        <v/>
      </c>
    </row>
    <row r="328" spans="17:20" ht="14.25" customHeight="1">
      <c r="Q328" t="str">
        <f>IF(F328="","",IF(COUNTIF(J328:O328,"D")&gt;0,"Desiste",IF(IFERROR(P328,0)&gt;=Parametros!$B$1,"Aprueba","No aprueba")))</f>
        <v/>
      </c>
      <c r="T328" t="str">
        <f>IF($Q328="Aprueba",COUNTIF($Q$2:$Q328,"Aprueba"),"")</f>
        <v/>
      </c>
    </row>
    <row r="329" spans="17:20" ht="14.25" customHeight="1">
      <c r="Q329" t="str">
        <f>IF(F329="","",IF(COUNTIF(J329:O329,"D")&gt;0,"Desiste",IF(IFERROR(P329,0)&gt;=Parametros!$B$1,"Aprueba","No aprueba")))</f>
        <v/>
      </c>
      <c r="T329" t="str">
        <f>IF($Q329="Aprueba",COUNTIF($Q$2:$Q329,"Aprueba"),"")</f>
        <v/>
      </c>
    </row>
    <row r="330" spans="17:20" ht="14.25" customHeight="1">
      <c r="Q330" t="str">
        <f>IF(F330="","",IF(COUNTIF(J330:O330,"D")&gt;0,"Desiste",IF(IFERROR(P330,0)&gt;=Parametros!$B$1,"Aprueba","No aprueba")))</f>
        <v/>
      </c>
      <c r="T330" t="str">
        <f>IF($Q330="Aprueba",COUNTIF($Q$2:$Q330,"Aprueba"),"")</f>
        <v/>
      </c>
    </row>
    <row r="331" spans="17:20" ht="14.25" customHeight="1">
      <c r="Q331" t="str">
        <f>IF(F331="","",IF(COUNTIF(J331:O331,"D")&gt;0,"Desiste",IF(IFERROR(P331,0)&gt;=Parametros!$B$1,"Aprueba","No aprueba")))</f>
        <v/>
      </c>
      <c r="T331" t="str">
        <f>IF($Q331="Aprueba",COUNTIF($Q$2:$Q331,"Aprueba"),"")</f>
        <v/>
      </c>
    </row>
    <row r="332" spans="17:20" ht="14.25" customHeight="1">
      <c r="Q332" t="str">
        <f>IF(F332="","",IF(COUNTIF(J332:O332,"D")&gt;0,"Desiste",IF(IFERROR(P332,0)&gt;=Parametros!$B$1,"Aprueba","No aprueba")))</f>
        <v/>
      </c>
      <c r="T332" t="str">
        <f>IF($Q332="Aprueba",COUNTIF($Q$2:$Q332,"Aprueba"),"")</f>
        <v/>
      </c>
    </row>
    <row r="333" spans="17:20" ht="14.25" customHeight="1">
      <c r="Q333" t="str">
        <f>IF(F333="","",IF(COUNTIF(J333:O333,"D")&gt;0,"Desiste",IF(IFERROR(P333,0)&gt;=Parametros!$B$1,"Aprueba","No aprueba")))</f>
        <v/>
      </c>
      <c r="T333" t="str">
        <f>IF($Q333="Aprueba",COUNTIF($Q$2:$Q333,"Aprueba"),"")</f>
        <v/>
      </c>
    </row>
    <row r="334" spans="17:20" ht="14.25" customHeight="1">
      <c r="Q334" t="str">
        <f>IF(F334="","",IF(COUNTIF(J334:O334,"D")&gt;0,"Desiste",IF(IFERROR(P334,0)&gt;=Parametros!$B$1,"Aprueba","No aprueba")))</f>
        <v/>
      </c>
      <c r="T334" t="str">
        <f>IF($Q334="Aprueba",COUNTIF($Q$2:$Q334,"Aprueba"),"")</f>
        <v/>
      </c>
    </row>
    <row r="335" spans="17:20" ht="14.25" customHeight="1">
      <c r="Q335" t="str">
        <f>IF(F335="","",IF(COUNTIF(J335:O335,"D")&gt;0,"Desiste",IF(IFERROR(P335,0)&gt;=Parametros!$B$1,"Aprueba","No aprueba")))</f>
        <v/>
      </c>
      <c r="T335" t="str">
        <f>IF($Q335="Aprueba",COUNTIF($Q$2:$Q335,"Aprueba"),"")</f>
        <v/>
      </c>
    </row>
    <row r="336" spans="17:20" ht="14.25" customHeight="1">
      <c r="Q336" t="str">
        <f>IF(F336="","",IF(COUNTIF(J336:O336,"D")&gt;0,"Desiste",IF(IFERROR(P336,0)&gt;=Parametros!$B$1,"Aprueba","No aprueba")))</f>
        <v/>
      </c>
      <c r="T336" t="str">
        <f>IF($Q336="Aprueba",COUNTIF($Q$2:$Q336,"Aprueba"),"")</f>
        <v/>
      </c>
    </row>
    <row r="337" spans="17:20" ht="14.25" customHeight="1">
      <c r="Q337" t="str">
        <f>IF(F337="","",IF(COUNTIF(J337:O337,"D")&gt;0,"Desiste",IF(IFERROR(P337,0)&gt;=Parametros!$B$1,"Aprueba","No aprueba")))</f>
        <v/>
      </c>
      <c r="T337" t="str">
        <f>IF($Q337="Aprueba",COUNTIF($Q$2:$Q337,"Aprueba"),"")</f>
        <v/>
      </c>
    </row>
    <row r="338" spans="17:20" ht="14.25" customHeight="1">
      <c r="Q338" t="str">
        <f>IF(F338="","",IF(COUNTIF(J338:O338,"D")&gt;0,"Desiste",IF(IFERROR(P338,0)&gt;=Parametros!$B$1,"Aprueba","No aprueba")))</f>
        <v/>
      </c>
      <c r="T338" t="str">
        <f>IF($Q338="Aprueba",COUNTIF($Q$2:$Q338,"Aprueba"),"")</f>
        <v/>
      </c>
    </row>
    <row r="339" spans="17:20" ht="14.25" customHeight="1">
      <c r="Q339" t="str">
        <f>IF(F339="","",IF(COUNTIF(J339:O339,"D")&gt;0,"Desiste",IF(IFERROR(P339,0)&gt;=Parametros!$B$1,"Aprueba","No aprueba")))</f>
        <v/>
      </c>
      <c r="T339" t="str">
        <f>IF($Q339="Aprueba",COUNTIF($Q$2:$Q339,"Aprueba"),"")</f>
        <v/>
      </c>
    </row>
    <row r="340" spans="17:20" ht="14.25" customHeight="1">
      <c r="Q340" t="str">
        <f>IF(F340="","",IF(COUNTIF(J340:O340,"D")&gt;0,"Desiste",IF(IFERROR(P340,0)&gt;=Parametros!$B$1,"Aprueba","No aprueba")))</f>
        <v/>
      </c>
      <c r="T340" t="str">
        <f>IF($Q340="Aprueba",COUNTIF($Q$2:$Q340,"Aprueba"),"")</f>
        <v/>
      </c>
    </row>
    <row r="341" spans="17:20" ht="14.25" customHeight="1">
      <c r="Q341" t="str">
        <f>IF(F341="","",IF(COUNTIF(J341:O341,"D")&gt;0,"Desiste",IF(IFERROR(P341,0)&gt;=Parametros!$B$1,"Aprueba","No aprueba")))</f>
        <v/>
      </c>
      <c r="T341" t="str">
        <f>IF($Q341="Aprueba",COUNTIF($Q$2:$Q341,"Aprueba"),"")</f>
        <v/>
      </c>
    </row>
    <row r="342" spans="17:20" ht="14.25" customHeight="1">
      <c r="Q342" t="str">
        <f>IF(F342="","",IF(COUNTIF(J342:O342,"D")&gt;0,"Desiste",IF(IFERROR(P342,0)&gt;=Parametros!$B$1,"Aprueba","No aprueba")))</f>
        <v/>
      </c>
      <c r="T342" t="str">
        <f>IF($Q342="Aprueba",COUNTIF($Q$2:$Q342,"Aprueba"),"")</f>
        <v/>
      </c>
    </row>
    <row r="343" spans="17:20" ht="14.25" customHeight="1">
      <c r="Q343" t="str">
        <f>IF(F343="","",IF(COUNTIF(J343:O343,"D")&gt;0,"Desiste",IF(IFERROR(P343,0)&gt;=Parametros!$B$1,"Aprueba","No aprueba")))</f>
        <v/>
      </c>
      <c r="T343" t="str">
        <f>IF($Q343="Aprueba",COUNTIF($Q$2:$Q343,"Aprueba"),"")</f>
        <v/>
      </c>
    </row>
    <row r="344" spans="17:20" ht="14.25" customHeight="1">
      <c r="Q344" t="str">
        <f>IF(F344="","",IF(COUNTIF(J344:O344,"D")&gt;0,"Desiste",IF(IFERROR(P344,0)&gt;=Parametros!$B$1,"Aprueba","No aprueba")))</f>
        <v/>
      </c>
      <c r="T344" t="str">
        <f>IF($Q344="Aprueba",COUNTIF($Q$2:$Q344,"Aprueba"),"")</f>
        <v/>
      </c>
    </row>
    <row r="345" spans="17:20" ht="14.25" customHeight="1">
      <c r="Q345" t="str">
        <f>IF(F345="","",IF(COUNTIF(J345:O345,"D")&gt;0,"Desiste",IF(IFERROR(P345,0)&gt;=Parametros!$B$1,"Aprueba","No aprueba")))</f>
        <v/>
      </c>
      <c r="T345" t="str">
        <f>IF($Q345="Aprueba",COUNTIF($Q$2:$Q345,"Aprueba"),"")</f>
        <v/>
      </c>
    </row>
    <row r="346" spans="17:20" ht="14.25" customHeight="1">
      <c r="Q346" t="str">
        <f>IF(F346="","",IF(COUNTIF(J346:O346,"D")&gt;0,"Desiste",IF(IFERROR(P346,0)&gt;=Parametros!$B$1,"Aprueba","No aprueba")))</f>
        <v/>
      </c>
      <c r="T346" t="str">
        <f>IF($Q346="Aprueba",COUNTIF($Q$2:$Q346,"Aprueba"),"")</f>
        <v/>
      </c>
    </row>
    <row r="347" spans="17:20" ht="14.25" customHeight="1">
      <c r="Q347" t="str">
        <f>IF(F347="","",IF(COUNTIF(J347:O347,"D")&gt;0,"Desiste",IF(IFERROR(P347,0)&gt;=Parametros!$B$1,"Aprueba","No aprueba")))</f>
        <v/>
      </c>
      <c r="T347" t="str">
        <f>IF($Q347="Aprueba",COUNTIF($Q$2:$Q347,"Aprueba"),"")</f>
        <v/>
      </c>
    </row>
    <row r="348" spans="17:20" ht="14.25" customHeight="1">
      <c r="Q348" t="str">
        <f>IF(F348="","",IF(COUNTIF(J348:O348,"D")&gt;0,"Desiste",IF(IFERROR(P348,0)&gt;=Parametros!$B$1,"Aprueba","No aprueba")))</f>
        <v/>
      </c>
      <c r="T348" t="str">
        <f>IF($Q348="Aprueba",COUNTIF($Q$2:$Q348,"Aprueba"),"")</f>
        <v/>
      </c>
    </row>
    <row r="349" spans="17:20" ht="14.25" customHeight="1">
      <c r="Q349" t="str">
        <f>IF(F349="","",IF(COUNTIF(J349:O349,"D")&gt;0,"Desiste",IF(IFERROR(P349,0)&gt;=Parametros!$B$1,"Aprueba","No aprueba")))</f>
        <v/>
      </c>
      <c r="T349" t="str">
        <f>IF($Q349="Aprueba",COUNTIF($Q$2:$Q349,"Aprueba"),"")</f>
        <v/>
      </c>
    </row>
    <row r="350" spans="17:20" ht="14.25" customHeight="1">
      <c r="Q350" t="str">
        <f>IF(F350="","",IF(COUNTIF(J350:O350,"D")&gt;0,"Desiste",IF(IFERROR(P350,0)&gt;=Parametros!$B$1,"Aprueba","No aprueba")))</f>
        <v/>
      </c>
      <c r="T350" t="str">
        <f>IF($Q350="Aprueba",COUNTIF($Q$2:$Q350,"Aprueba"),"")</f>
        <v/>
      </c>
    </row>
    <row r="351" spans="17:20" ht="14.25" customHeight="1">
      <c r="Q351" t="str">
        <f>IF(F351="","",IF(COUNTIF(J351:O351,"D")&gt;0,"Desiste",IF(IFERROR(P351,0)&gt;=Parametros!$B$1,"Aprueba","No aprueba")))</f>
        <v/>
      </c>
      <c r="T351" t="str">
        <f>IF($Q351="Aprueba",COUNTIF($Q$2:$Q351,"Aprueba"),"")</f>
        <v/>
      </c>
    </row>
    <row r="352" spans="17:20" ht="14.25" customHeight="1">
      <c r="Q352" t="str">
        <f>IF(F352="","",IF(COUNTIF(J352:O352,"D")&gt;0,"Desiste",IF(IFERROR(P352,0)&gt;=Parametros!$B$1,"Aprueba","No aprueba")))</f>
        <v/>
      </c>
      <c r="T352" t="str">
        <f>IF($Q352="Aprueba",COUNTIF($Q$2:$Q352,"Aprueba"),"")</f>
        <v/>
      </c>
    </row>
    <row r="353" spans="17:20" ht="14.25" customHeight="1">
      <c r="Q353" t="str">
        <f>IF(F353="","",IF(COUNTIF(J353:O353,"D")&gt;0,"Desiste",IF(IFERROR(P353,0)&gt;=Parametros!$B$1,"Aprueba","No aprueba")))</f>
        <v/>
      </c>
      <c r="T353" t="str">
        <f>IF($Q353="Aprueba",COUNTIF($Q$2:$Q353,"Aprueba"),"")</f>
        <v/>
      </c>
    </row>
    <row r="354" spans="17:20" ht="14.25" customHeight="1">
      <c r="Q354" t="str">
        <f>IF(F354="","",IF(COUNTIF(J354:O354,"D")&gt;0,"Desiste",IF(IFERROR(P354,0)&gt;=Parametros!$B$1,"Aprueba","No aprueba")))</f>
        <v/>
      </c>
      <c r="T354" t="str">
        <f>IF($Q354="Aprueba",COUNTIF($Q$2:$Q354,"Aprueba"),"")</f>
        <v/>
      </c>
    </row>
    <row r="355" spans="17:20" ht="14.25" customHeight="1">
      <c r="Q355" t="str">
        <f>IF(F355="","",IF(COUNTIF(J355:O355,"D")&gt;0,"Desiste",IF(IFERROR(P355,0)&gt;=Parametros!$B$1,"Aprueba","No aprueba")))</f>
        <v/>
      </c>
      <c r="T355" t="str">
        <f>IF($Q355="Aprueba",COUNTIF($Q$2:$Q355,"Aprueba"),"")</f>
        <v/>
      </c>
    </row>
    <row r="356" spans="17:20" ht="14.25" customHeight="1">
      <c r="Q356" t="str">
        <f>IF(F356="","",IF(COUNTIF(J356:O356,"D")&gt;0,"Desiste",IF(IFERROR(P356,0)&gt;=Parametros!$B$1,"Aprueba","No aprueba")))</f>
        <v/>
      </c>
      <c r="T356" t="str">
        <f>IF($Q356="Aprueba",COUNTIF($Q$2:$Q356,"Aprueba"),"")</f>
        <v/>
      </c>
    </row>
    <row r="357" spans="17:20" ht="14.25" customHeight="1">
      <c r="Q357" t="str">
        <f>IF(F357="","",IF(COUNTIF(J357:O357,"D")&gt;0,"Desiste",IF(IFERROR(P357,0)&gt;=Parametros!$B$1,"Aprueba","No aprueba")))</f>
        <v/>
      </c>
      <c r="T357" t="str">
        <f>IF($Q357="Aprueba",COUNTIF($Q$2:$Q357,"Aprueba"),"")</f>
        <v/>
      </c>
    </row>
    <row r="358" spans="17:20" ht="14.25" customHeight="1">
      <c r="Q358" t="str">
        <f>IF(F358="","",IF(COUNTIF(J358:O358,"D")&gt;0,"Desiste",IF(IFERROR(P358,0)&gt;=Parametros!$B$1,"Aprueba","No aprueba")))</f>
        <v/>
      </c>
      <c r="T358" t="str">
        <f>IF($Q358="Aprueba",COUNTIF($Q$2:$Q358,"Aprueba"),"")</f>
        <v/>
      </c>
    </row>
    <row r="359" spans="17:20" ht="14.25" customHeight="1">
      <c r="Q359" t="str">
        <f>IF(F359="","",IF(COUNTIF(J359:O359,"D")&gt;0,"Desiste",IF(IFERROR(P359,0)&gt;=Parametros!$B$1,"Aprueba","No aprueba")))</f>
        <v/>
      </c>
      <c r="T359" t="str">
        <f>IF($Q359="Aprueba",COUNTIF($Q$2:$Q359,"Aprueba"),"")</f>
        <v/>
      </c>
    </row>
    <row r="360" spans="17:20" ht="14.25" customHeight="1">
      <c r="Q360" t="str">
        <f>IF(F360="","",IF(COUNTIF(J360:O360,"D")&gt;0,"Desiste",IF(IFERROR(P360,0)&gt;=Parametros!$B$1,"Aprueba","No aprueba")))</f>
        <v/>
      </c>
      <c r="T360" t="str">
        <f>IF($Q360="Aprueba",COUNTIF($Q$2:$Q360,"Aprueba"),"")</f>
        <v/>
      </c>
    </row>
    <row r="361" spans="17:20" ht="14.25" customHeight="1">
      <c r="Q361" t="str">
        <f>IF(F361="","",IF(COUNTIF(J361:O361,"D")&gt;0,"Desiste",IF(IFERROR(P361,0)&gt;=Parametros!$B$1,"Aprueba","No aprueba")))</f>
        <v/>
      </c>
      <c r="T361" t="str">
        <f>IF($Q361="Aprueba",COUNTIF($Q$2:$Q361,"Aprueba"),"")</f>
        <v/>
      </c>
    </row>
    <row r="362" spans="17:20" ht="14.25" customHeight="1">
      <c r="Q362" t="str">
        <f>IF(F362="","",IF(COUNTIF(J362:O362,"D")&gt;0,"Desiste",IF(IFERROR(P362,0)&gt;=Parametros!$B$1,"Aprueba","No aprueba")))</f>
        <v/>
      </c>
      <c r="T362" t="str">
        <f>IF($Q362="Aprueba",COUNTIF($Q$2:$Q362,"Aprueba"),"")</f>
        <v/>
      </c>
    </row>
    <row r="363" spans="17:20" ht="14.25" customHeight="1">
      <c r="Q363" t="str">
        <f>IF(F363="","",IF(COUNTIF(J363:O363,"D")&gt;0,"Desiste",IF(IFERROR(P363,0)&gt;=Parametros!$B$1,"Aprueba","No aprueba")))</f>
        <v/>
      </c>
      <c r="T363" t="str">
        <f>IF($Q363="Aprueba",COUNTIF($Q$2:$Q363,"Aprueba"),"")</f>
        <v/>
      </c>
    </row>
    <row r="364" spans="17:20" ht="14.25" customHeight="1">
      <c r="Q364" t="str">
        <f>IF(F364="","",IF(COUNTIF(J364:O364,"D")&gt;0,"Desiste",IF(IFERROR(P364,0)&gt;=Parametros!$B$1,"Aprueba","No aprueba")))</f>
        <v/>
      </c>
      <c r="T364" t="str">
        <f>IF($Q364="Aprueba",COUNTIF($Q$2:$Q364,"Aprueba"),"")</f>
        <v/>
      </c>
    </row>
    <row r="365" spans="17:20" ht="14.25" customHeight="1">
      <c r="Q365" t="str">
        <f>IF(F365="","",IF(COUNTIF(J365:O365,"D")&gt;0,"Desiste",IF(IFERROR(P365,0)&gt;=Parametros!$B$1,"Aprueba","No aprueba")))</f>
        <v/>
      </c>
      <c r="T365" t="str">
        <f>IF($Q365="Aprueba",COUNTIF($Q$2:$Q365,"Aprueba"),"")</f>
        <v/>
      </c>
    </row>
    <row r="366" spans="17:20" ht="14.25" customHeight="1">
      <c r="Q366" t="str">
        <f>IF(F366="","",IF(COUNTIF(J366:O366,"D")&gt;0,"Desiste",IF(IFERROR(P366,0)&gt;=Parametros!$B$1,"Aprueba","No aprueba")))</f>
        <v/>
      </c>
      <c r="T366" t="str">
        <f>IF($Q366="Aprueba",COUNTIF($Q$2:$Q366,"Aprueba"),"")</f>
        <v/>
      </c>
    </row>
    <row r="367" spans="17:20" ht="14.25" customHeight="1">
      <c r="Q367" t="str">
        <f>IF(F367="","",IF(COUNTIF(J367:O367,"D")&gt;0,"Desiste",IF(IFERROR(P367,0)&gt;=Parametros!$B$1,"Aprueba","No aprueba")))</f>
        <v/>
      </c>
      <c r="T367" t="str">
        <f>IF($Q367="Aprueba",COUNTIF($Q$2:$Q367,"Aprueba"),"")</f>
        <v/>
      </c>
    </row>
    <row r="368" spans="17:20" ht="14.25" customHeight="1">
      <c r="Q368" t="str">
        <f>IF(F368="","",IF(COUNTIF(J368:O368,"D")&gt;0,"Desiste",IF(IFERROR(P368,0)&gt;=Parametros!$B$1,"Aprueba","No aprueba")))</f>
        <v/>
      </c>
      <c r="T368" t="str">
        <f>IF($Q368="Aprueba",COUNTIF($Q$2:$Q368,"Aprueba"),"")</f>
        <v/>
      </c>
    </row>
    <row r="369" spans="17:20" ht="14.25" customHeight="1">
      <c r="Q369" t="str">
        <f>IF(F369="","",IF(COUNTIF(J369:O369,"D")&gt;0,"Desiste",IF(IFERROR(P369,0)&gt;=Parametros!$B$1,"Aprueba","No aprueba")))</f>
        <v/>
      </c>
      <c r="T369" t="str">
        <f>IF($Q369="Aprueba",COUNTIF($Q$2:$Q369,"Aprueba"),"")</f>
        <v/>
      </c>
    </row>
    <row r="370" spans="17:20" ht="14.25" customHeight="1">
      <c r="Q370" t="str">
        <f>IF(F370="","",IF(COUNTIF(J370:O370,"D")&gt;0,"Desiste",IF(IFERROR(P370,0)&gt;=Parametros!$B$1,"Aprueba","No aprueba")))</f>
        <v/>
      </c>
      <c r="T370" t="str">
        <f>IF($Q370="Aprueba",COUNTIF($Q$2:$Q370,"Aprueba"),"")</f>
        <v/>
      </c>
    </row>
    <row r="371" spans="17:20" ht="14.25" customHeight="1">
      <c r="Q371" t="str">
        <f>IF(F371="","",IF(COUNTIF(J371:O371,"D")&gt;0,"Desiste",IF(IFERROR(P371,0)&gt;=Parametros!$B$1,"Aprueba","No aprueba")))</f>
        <v/>
      </c>
      <c r="T371" t="str">
        <f>IF($Q371="Aprueba",COUNTIF($Q$2:$Q371,"Aprueba"),"")</f>
        <v/>
      </c>
    </row>
    <row r="372" spans="17:20" ht="14.25" customHeight="1">
      <c r="Q372" t="str">
        <f>IF(F372="","",IF(COUNTIF(J372:O372,"D")&gt;0,"Desiste",IF(IFERROR(P372,0)&gt;=Parametros!$B$1,"Aprueba","No aprueba")))</f>
        <v/>
      </c>
      <c r="T372" t="str">
        <f>IF($Q372="Aprueba",COUNTIF($Q$2:$Q372,"Aprueba"),"")</f>
        <v/>
      </c>
    </row>
    <row r="373" spans="17:20" ht="14.25" customHeight="1">
      <c r="Q373" t="str">
        <f>IF(F373="","",IF(COUNTIF(J373:O373,"D")&gt;0,"Desiste",IF(IFERROR(P373,0)&gt;=Parametros!$B$1,"Aprueba","No aprueba")))</f>
        <v/>
      </c>
      <c r="T373" t="str">
        <f>IF($Q373="Aprueba",COUNTIF($Q$2:$Q373,"Aprueba"),"")</f>
        <v/>
      </c>
    </row>
    <row r="374" spans="17:20" ht="14.25" customHeight="1">
      <c r="Q374" t="str">
        <f>IF(F374="","",IF(COUNTIF(J374:O374,"D")&gt;0,"Desiste",IF(IFERROR(P374,0)&gt;=Parametros!$B$1,"Aprueba","No aprueba")))</f>
        <v/>
      </c>
      <c r="T374" t="str">
        <f>IF($Q374="Aprueba",COUNTIF($Q$2:$Q374,"Aprueba"),"")</f>
        <v/>
      </c>
    </row>
    <row r="375" spans="17:20" ht="14.25" customHeight="1">
      <c r="Q375" t="str">
        <f>IF(F375="","",IF(COUNTIF(J375:O375,"D")&gt;0,"Desiste",IF(IFERROR(P375,0)&gt;=Parametros!$B$1,"Aprueba","No aprueba")))</f>
        <v/>
      </c>
      <c r="T375" t="str">
        <f>IF($Q375="Aprueba",COUNTIF($Q$2:$Q375,"Aprueba"),"")</f>
        <v/>
      </c>
    </row>
    <row r="376" spans="17:20" ht="14.25" customHeight="1">
      <c r="Q376" t="str">
        <f>IF(F376="","",IF(COUNTIF(J376:O376,"D")&gt;0,"Desiste",IF(IFERROR(P376,0)&gt;=Parametros!$B$1,"Aprueba","No aprueba")))</f>
        <v/>
      </c>
      <c r="T376" t="str">
        <f>IF($Q376="Aprueba",COUNTIF($Q$2:$Q376,"Aprueba"),"")</f>
        <v/>
      </c>
    </row>
    <row r="377" spans="17:20" ht="14.25" customHeight="1">
      <c r="Q377" t="str">
        <f>IF(F377="","",IF(COUNTIF(J377:O377,"D")&gt;0,"Desiste",IF(IFERROR(P377,0)&gt;=Parametros!$B$1,"Aprueba","No aprueba")))</f>
        <v/>
      </c>
      <c r="T377" t="str">
        <f>IF($Q377="Aprueba",COUNTIF($Q$2:$Q377,"Aprueba"),"")</f>
        <v/>
      </c>
    </row>
    <row r="378" spans="17:20" ht="14.25" customHeight="1">
      <c r="Q378" t="str">
        <f>IF(F378="","",IF(COUNTIF(J378:O378,"D")&gt;0,"Desiste",IF(IFERROR(P378,0)&gt;=Parametros!$B$1,"Aprueba","No aprueba")))</f>
        <v/>
      </c>
      <c r="T378" t="str">
        <f>IF($Q378="Aprueba",COUNTIF($Q$2:$Q378,"Aprueba"),"")</f>
        <v/>
      </c>
    </row>
    <row r="379" spans="17:20" ht="14.25" customHeight="1">
      <c r="Q379" t="str">
        <f>IF(F379="","",IF(COUNTIF(J379:O379,"D")&gt;0,"Desiste",IF(IFERROR(P379,0)&gt;=Parametros!$B$1,"Aprueba","No aprueba")))</f>
        <v/>
      </c>
      <c r="T379" t="str">
        <f>IF($Q379="Aprueba",COUNTIF($Q$2:$Q379,"Aprueba"),"")</f>
        <v/>
      </c>
    </row>
    <row r="380" spans="17:20" ht="14.25" customHeight="1">
      <c r="Q380" t="str">
        <f>IF(F380="","",IF(COUNTIF(J380:O380,"D")&gt;0,"Desiste",IF(IFERROR(P380,0)&gt;=Parametros!$B$1,"Aprueba","No aprueba")))</f>
        <v/>
      </c>
      <c r="T380" t="str">
        <f>IF($Q380="Aprueba",COUNTIF($Q$2:$Q380,"Aprueba"),"")</f>
        <v/>
      </c>
    </row>
    <row r="381" spans="17:20" ht="14.25" customHeight="1">
      <c r="Q381" t="str">
        <f>IF(F381="","",IF(COUNTIF(J381:O381,"D")&gt;0,"Desiste",IF(IFERROR(P381,0)&gt;=Parametros!$B$1,"Aprueba","No aprueba")))</f>
        <v/>
      </c>
      <c r="T381" t="str">
        <f>IF($Q381="Aprueba",COUNTIF($Q$2:$Q381,"Aprueba"),"")</f>
        <v/>
      </c>
    </row>
    <row r="382" spans="17:20" ht="14.25" customHeight="1">
      <c r="Q382" t="str">
        <f>IF(F382="","",IF(COUNTIF(J382:O382,"D")&gt;0,"Desiste",IF(IFERROR(P382,0)&gt;=Parametros!$B$1,"Aprueba","No aprueba")))</f>
        <v/>
      </c>
      <c r="T382" t="str">
        <f>IF($Q382="Aprueba",COUNTIF($Q$2:$Q382,"Aprueba"),"")</f>
        <v/>
      </c>
    </row>
    <row r="383" spans="17:20" ht="14.25" customHeight="1">
      <c r="Q383" t="str">
        <f>IF(F383="","",IF(COUNTIF(J383:O383,"D")&gt;0,"Desiste",IF(IFERROR(P383,0)&gt;=Parametros!$B$1,"Aprueba","No aprueba")))</f>
        <v/>
      </c>
      <c r="T383" t="str">
        <f>IF($Q383="Aprueba",COUNTIF($Q$2:$Q383,"Aprueba"),"")</f>
        <v/>
      </c>
    </row>
    <row r="384" spans="17:20" ht="14.25" customHeight="1">
      <c r="Q384" t="str">
        <f>IF(F384="","",IF(COUNTIF(J384:O384,"D")&gt;0,"Desiste",IF(IFERROR(P384,0)&gt;=Parametros!$B$1,"Aprueba","No aprueba")))</f>
        <v/>
      </c>
      <c r="T384" t="str">
        <f>IF($Q384="Aprueba",COUNTIF($Q$2:$Q384,"Aprueba"),"")</f>
        <v/>
      </c>
    </row>
    <row r="385" spans="17:20" ht="14.25" customHeight="1">
      <c r="Q385" t="str">
        <f>IF(F385="","",IF(COUNTIF(J385:O385,"D")&gt;0,"Desiste",IF(IFERROR(P385,0)&gt;=Parametros!$B$1,"Aprueba","No aprueba")))</f>
        <v/>
      </c>
      <c r="T385" t="str">
        <f>IF($Q385="Aprueba",COUNTIF($Q$2:$Q385,"Aprueba"),"")</f>
        <v/>
      </c>
    </row>
    <row r="386" spans="17:20" ht="14.25" customHeight="1">
      <c r="Q386" t="str">
        <f>IF(F386="","",IF(COUNTIF(J386:O386,"D")&gt;0,"Desiste",IF(IFERROR(P386,0)&gt;=Parametros!$B$1,"Aprueba","No aprueba")))</f>
        <v/>
      </c>
      <c r="T386" t="str">
        <f>IF($Q386="Aprueba",COUNTIF($Q$2:$Q386,"Aprueba"),"")</f>
        <v/>
      </c>
    </row>
    <row r="387" spans="17:20" ht="14.25" customHeight="1">
      <c r="Q387" t="str">
        <f>IF(F387="","",IF(COUNTIF(J387:O387,"D")&gt;0,"Desiste",IF(IFERROR(P387,0)&gt;=Parametros!$B$1,"Aprueba","No aprueba")))</f>
        <v/>
      </c>
      <c r="T387" t="str">
        <f>IF($Q387="Aprueba",COUNTIF($Q$2:$Q387,"Aprueba"),"")</f>
        <v/>
      </c>
    </row>
    <row r="388" spans="17:20" ht="14.25" customHeight="1">
      <c r="Q388" t="str">
        <f>IF(F388="","",IF(COUNTIF(J388:O388,"D")&gt;0,"Desiste",IF(IFERROR(P388,0)&gt;=Parametros!$B$1,"Aprueba","No aprueba")))</f>
        <v/>
      </c>
      <c r="T388" t="str">
        <f>IF($Q388="Aprueba",COUNTIF($Q$2:$Q388,"Aprueba"),"")</f>
        <v/>
      </c>
    </row>
    <row r="389" spans="17:20" ht="14.25" customHeight="1">
      <c r="Q389" t="str">
        <f>IF(F389="","",IF(COUNTIF(J389:O389,"D")&gt;0,"Desiste",IF(IFERROR(P389,0)&gt;=Parametros!$B$1,"Aprueba","No aprueba")))</f>
        <v/>
      </c>
      <c r="T389" t="str">
        <f>IF($Q389="Aprueba",COUNTIF($Q$2:$Q389,"Aprueba"),"")</f>
        <v/>
      </c>
    </row>
    <row r="390" spans="17:20" ht="14.25" customHeight="1">
      <c r="Q390" t="str">
        <f>IF(F390="","",IF(COUNTIF(J390:O390,"D")&gt;0,"Desiste",IF(IFERROR(P390,0)&gt;=Parametros!$B$1,"Aprueba","No aprueba")))</f>
        <v/>
      </c>
      <c r="T390" t="str">
        <f>IF($Q390="Aprueba",COUNTIF($Q$2:$Q390,"Aprueba"),"")</f>
        <v/>
      </c>
    </row>
    <row r="391" spans="17:20" ht="14.25" customHeight="1">
      <c r="Q391" t="str">
        <f>IF(F391="","",IF(COUNTIF(J391:O391,"D")&gt;0,"Desiste",IF(IFERROR(P391,0)&gt;=Parametros!$B$1,"Aprueba","No aprueba")))</f>
        <v/>
      </c>
      <c r="T391" t="str">
        <f>IF($Q391="Aprueba",COUNTIF($Q$2:$Q391,"Aprueba"),"")</f>
        <v/>
      </c>
    </row>
    <row r="392" spans="17:20" ht="14.25" customHeight="1">
      <c r="Q392" t="str">
        <f>IF(F392="","",IF(COUNTIF(J392:O392,"D")&gt;0,"Desiste",IF(IFERROR(P392,0)&gt;=Parametros!$B$1,"Aprueba","No aprueba")))</f>
        <v/>
      </c>
      <c r="T392" t="str">
        <f>IF($Q392="Aprueba",COUNTIF($Q$2:$Q392,"Aprueba"),"")</f>
        <v/>
      </c>
    </row>
    <row r="393" spans="17:20" ht="14.25" customHeight="1">
      <c r="Q393" t="str">
        <f>IF(F393="","",IF(COUNTIF(J393:O393,"D")&gt;0,"Desiste",IF(IFERROR(P393,0)&gt;=Parametros!$B$1,"Aprueba","No aprueba")))</f>
        <v/>
      </c>
      <c r="T393" t="str">
        <f>IF($Q393="Aprueba",COUNTIF($Q$2:$Q393,"Aprueba"),"")</f>
        <v/>
      </c>
    </row>
    <row r="394" spans="17:20" ht="14.25" customHeight="1">
      <c r="Q394" t="str">
        <f>IF(F394="","",IF(COUNTIF(J394:O394,"D")&gt;0,"Desiste",IF(IFERROR(P394,0)&gt;=Parametros!$B$1,"Aprueba","No aprueba")))</f>
        <v/>
      </c>
      <c r="T394" t="str">
        <f>IF($Q394="Aprueba",COUNTIF($Q$2:$Q394,"Aprueba"),"")</f>
        <v/>
      </c>
    </row>
    <row r="395" spans="17:20" ht="14.25" customHeight="1">
      <c r="Q395" t="str">
        <f>IF(F395="","",IF(COUNTIF(J395:O395,"D")&gt;0,"Desiste",IF(IFERROR(P395,0)&gt;=Parametros!$B$1,"Aprueba","No aprueba")))</f>
        <v/>
      </c>
      <c r="T395" t="str">
        <f>IF($Q395="Aprueba",COUNTIF($Q$2:$Q395,"Aprueba"),"")</f>
        <v/>
      </c>
    </row>
    <row r="396" spans="17:20" ht="14.25" customHeight="1">
      <c r="Q396" t="str">
        <f>IF(F396="","",IF(COUNTIF(J396:O396,"D")&gt;0,"Desiste",IF(IFERROR(P396,0)&gt;=Parametros!$B$1,"Aprueba","No aprueba")))</f>
        <v/>
      </c>
      <c r="T396" t="str">
        <f>IF($Q396="Aprueba",COUNTIF($Q$2:$Q396,"Aprueba"),"")</f>
        <v/>
      </c>
    </row>
    <row r="397" spans="17:20" ht="14.25" customHeight="1">
      <c r="Q397" t="str">
        <f>IF(F397="","",IF(COUNTIF(J397:O397,"D")&gt;0,"Desiste",IF(IFERROR(P397,0)&gt;=Parametros!$B$1,"Aprueba","No aprueba")))</f>
        <v/>
      </c>
      <c r="T397" t="str">
        <f>IF($Q397="Aprueba",COUNTIF($Q$2:$Q397,"Aprueba"),"")</f>
        <v/>
      </c>
    </row>
    <row r="398" spans="17:20" ht="14.25" customHeight="1">
      <c r="Q398" t="str">
        <f>IF(F398="","",IF(COUNTIF(J398:O398,"D")&gt;0,"Desiste",IF(IFERROR(P398,0)&gt;=Parametros!$B$1,"Aprueba","No aprueba")))</f>
        <v/>
      </c>
      <c r="T398" t="str">
        <f>IF($Q398="Aprueba",COUNTIF($Q$2:$Q398,"Aprueba"),"")</f>
        <v/>
      </c>
    </row>
    <row r="399" spans="17:20" ht="14.25" customHeight="1">
      <c r="Q399" t="str">
        <f>IF(F399="","",IF(COUNTIF(J399:O399,"D")&gt;0,"Desiste",IF(IFERROR(P399,0)&gt;=Parametros!$B$1,"Aprueba","No aprueba")))</f>
        <v/>
      </c>
      <c r="T399" t="str">
        <f>IF($Q399="Aprueba",COUNTIF($Q$2:$Q399,"Aprueba"),"")</f>
        <v/>
      </c>
    </row>
    <row r="400" spans="17:20" ht="14.25" customHeight="1">
      <c r="Q400" t="str">
        <f>IF(F400="","",IF(COUNTIF(J400:O400,"D")&gt;0,"Desiste",IF(IFERROR(P400,0)&gt;=Parametros!$B$1,"Aprueba","No aprueba")))</f>
        <v/>
      </c>
      <c r="T400" t="str">
        <f>IF($Q400="Aprueba",COUNTIF($Q$2:$Q400,"Aprueba"),"")</f>
        <v/>
      </c>
    </row>
    <row r="401" spans="17:20" ht="14.25" customHeight="1">
      <c r="Q401" t="str">
        <f>IF(F401="","",IF(COUNTIF(J401:O401,"D")&gt;0,"Desiste",IF(IFERROR(P401,0)&gt;=Parametros!$B$1,"Aprueba","No aprueba")))</f>
        <v/>
      </c>
      <c r="T401" t="str">
        <f>IF($Q401="Aprueba",COUNTIF($Q$2:$Q401,"Aprueba"),"")</f>
        <v/>
      </c>
    </row>
    <row r="402" spans="17:20" ht="14.25" customHeight="1">
      <c r="Q402" t="str">
        <f>IF(F402="","",IF(COUNTIF(J402:O402,"D")&gt;0,"Desiste",IF(IFERROR(P402,0)&gt;=Parametros!$B$1,"Aprueba","No aprueba")))</f>
        <v/>
      </c>
      <c r="T402" t="str">
        <f>IF($Q402="Aprueba",COUNTIF($Q$2:$Q402,"Aprueba"),"")</f>
        <v/>
      </c>
    </row>
    <row r="403" spans="17:20" ht="14.25" customHeight="1">
      <c r="Q403" t="str">
        <f>IF(F403="","",IF(COUNTIF(J403:O403,"D")&gt;0,"Desiste",IF(IFERROR(P403,0)&gt;=Parametros!$B$1,"Aprueba","No aprueba")))</f>
        <v/>
      </c>
      <c r="T403" t="str">
        <f>IF($Q403="Aprueba",COUNTIF($Q$2:$Q403,"Aprueba"),"")</f>
        <v/>
      </c>
    </row>
    <row r="404" spans="17:20" ht="14.25" customHeight="1">
      <c r="Q404" t="str">
        <f>IF(F404="","",IF(COUNTIF(J404:O404,"D")&gt;0,"Desiste",IF(IFERROR(P404,0)&gt;=Parametros!$B$1,"Aprueba","No aprueba")))</f>
        <v/>
      </c>
      <c r="T404" t="str">
        <f>IF($Q404="Aprueba",COUNTIF($Q$2:$Q404,"Aprueba"),"")</f>
        <v/>
      </c>
    </row>
    <row r="405" spans="17:20" ht="14.25" customHeight="1">
      <c r="Q405" t="str">
        <f>IF(F405="","",IF(COUNTIF(J405:O405,"D")&gt;0,"Desiste",IF(IFERROR(P405,0)&gt;=Parametros!$B$1,"Aprueba","No aprueba")))</f>
        <v/>
      </c>
      <c r="T405" t="str">
        <f>IF($Q405="Aprueba",COUNTIF($Q$2:$Q405,"Aprueba"),"")</f>
        <v/>
      </c>
    </row>
    <row r="406" spans="17:20" ht="14.25" customHeight="1">
      <c r="Q406" t="str">
        <f>IF(F406="","",IF(COUNTIF(J406:O406,"D")&gt;0,"Desiste",IF(IFERROR(P406,0)&gt;=Parametros!$B$1,"Aprueba","No aprueba")))</f>
        <v/>
      </c>
      <c r="T406" t="str">
        <f>IF($Q406="Aprueba",COUNTIF($Q$2:$Q406,"Aprueba"),"")</f>
        <v/>
      </c>
    </row>
    <row r="407" spans="17:20" ht="14.25" customHeight="1">
      <c r="Q407" t="str">
        <f>IF(F407="","",IF(COUNTIF(J407:O407,"D")&gt;0,"Desiste",IF(IFERROR(P407,0)&gt;=Parametros!$B$1,"Aprueba","No aprueba")))</f>
        <v/>
      </c>
      <c r="T407" t="str">
        <f>IF($Q407="Aprueba",COUNTIF($Q$2:$Q407,"Aprueba"),"")</f>
        <v/>
      </c>
    </row>
    <row r="408" spans="17:20" ht="14.25" customHeight="1">
      <c r="Q408" t="str">
        <f>IF(F408="","",IF(COUNTIF(J408:O408,"D")&gt;0,"Desiste",IF(IFERROR(P408,0)&gt;=Parametros!$B$1,"Aprueba","No aprueba")))</f>
        <v/>
      </c>
      <c r="T408" t="str">
        <f>IF($Q408="Aprueba",COUNTIF($Q$2:$Q408,"Aprueba"),"")</f>
        <v/>
      </c>
    </row>
    <row r="409" spans="17:20" ht="14.25" customHeight="1">
      <c r="Q409" t="str">
        <f>IF(F409="","",IF(COUNTIF(J409:O409,"D")&gt;0,"Desiste",IF(IFERROR(P409,0)&gt;=Parametros!$B$1,"Aprueba","No aprueba")))</f>
        <v/>
      </c>
      <c r="T409" t="str">
        <f>IF($Q409="Aprueba",COUNTIF($Q$2:$Q409,"Aprueba"),"")</f>
        <v/>
      </c>
    </row>
    <row r="410" spans="17:20" ht="14.25" customHeight="1">
      <c r="Q410" t="str">
        <f>IF(F410="","",IF(COUNTIF(J410:O410,"D")&gt;0,"Desiste",IF(IFERROR(P410,0)&gt;=Parametros!$B$1,"Aprueba","No aprueba")))</f>
        <v/>
      </c>
      <c r="T410" t="str">
        <f>IF($Q410="Aprueba",COUNTIF($Q$2:$Q410,"Aprueba"),"")</f>
        <v/>
      </c>
    </row>
    <row r="411" spans="17:20" ht="14.25" customHeight="1">
      <c r="Q411" t="str">
        <f>IF(F411="","",IF(COUNTIF(J411:O411,"D")&gt;0,"Desiste",IF(IFERROR(P411,0)&gt;=Parametros!$B$1,"Aprueba","No aprueba")))</f>
        <v/>
      </c>
      <c r="T411" t="str">
        <f>IF($Q411="Aprueba",COUNTIF($Q$2:$Q411,"Aprueba"),"")</f>
        <v/>
      </c>
    </row>
    <row r="412" spans="17:20" ht="14.25" customHeight="1">
      <c r="Q412" t="str">
        <f>IF(F412="","",IF(COUNTIF(J412:O412,"D")&gt;0,"Desiste",IF(IFERROR(P412,0)&gt;=Parametros!$B$1,"Aprueba","No aprueba")))</f>
        <v/>
      </c>
      <c r="T412" t="str">
        <f>IF($Q412="Aprueba",COUNTIF($Q$2:$Q412,"Aprueba"),"")</f>
        <v/>
      </c>
    </row>
    <row r="413" spans="17:20" ht="14.25" customHeight="1">
      <c r="Q413" t="str">
        <f>IF(F413="","",IF(COUNTIF(J413:O413,"D")&gt;0,"Desiste",IF(IFERROR(P413,0)&gt;=Parametros!$B$1,"Aprueba","No aprueba")))</f>
        <v/>
      </c>
      <c r="T413" t="str">
        <f>IF($Q413="Aprueba",COUNTIF($Q$2:$Q413,"Aprueba"),"")</f>
        <v/>
      </c>
    </row>
    <row r="414" spans="17:20" ht="14.25" customHeight="1">
      <c r="Q414" t="str">
        <f>IF(F414="","",IF(COUNTIF(J414:O414,"D")&gt;0,"Desiste",IF(IFERROR(P414,0)&gt;=Parametros!$B$1,"Aprueba","No aprueba")))</f>
        <v/>
      </c>
      <c r="T414" t="str">
        <f>IF($Q414="Aprueba",COUNTIF($Q$2:$Q414,"Aprueba"),"")</f>
        <v/>
      </c>
    </row>
    <row r="415" spans="17:20" ht="14.25" customHeight="1">
      <c r="Q415" t="str">
        <f>IF(F415="","",IF(COUNTIF(J415:O415,"D")&gt;0,"Desiste",IF(IFERROR(P415,0)&gt;=Parametros!$B$1,"Aprueba","No aprueba")))</f>
        <v/>
      </c>
      <c r="T415" t="str">
        <f>IF($Q415="Aprueba",COUNTIF($Q$2:$Q415,"Aprueba"),"")</f>
        <v/>
      </c>
    </row>
    <row r="416" spans="17:20" ht="14.25" customHeight="1">
      <c r="Q416" t="str">
        <f>IF(F416="","",IF(COUNTIF(J416:O416,"D")&gt;0,"Desiste",IF(IFERROR(P416,0)&gt;=Parametros!$B$1,"Aprueba","No aprueba")))</f>
        <v/>
      </c>
      <c r="T416" t="str">
        <f>IF($Q416="Aprueba",COUNTIF($Q$2:$Q416,"Aprueba"),"")</f>
        <v/>
      </c>
    </row>
    <row r="417" spans="17:20" ht="14.25" customHeight="1">
      <c r="Q417" t="str">
        <f>IF(F417="","",IF(COUNTIF(J417:O417,"D")&gt;0,"Desiste",IF(IFERROR(P417,0)&gt;=Parametros!$B$1,"Aprueba","No aprueba")))</f>
        <v/>
      </c>
      <c r="T417" t="str">
        <f>IF($Q417="Aprueba",COUNTIF($Q$2:$Q417,"Aprueba"),"")</f>
        <v/>
      </c>
    </row>
    <row r="418" spans="17:20" ht="14.25" customHeight="1">
      <c r="Q418" t="str">
        <f>IF(F418="","",IF(COUNTIF(J418:O418,"D")&gt;0,"Desiste",IF(IFERROR(P418,0)&gt;=Parametros!$B$1,"Aprueba","No aprueba")))</f>
        <v/>
      </c>
      <c r="T418" t="str">
        <f>IF($Q418="Aprueba",COUNTIF($Q$2:$Q418,"Aprueba"),"")</f>
        <v/>
      </c>
    </row>
    <row r="419" spans="17:20" ht="14.25" customHeight="1">
      <c r="Q419" t="str">
        <f>IF(F419="","",IF(COUNTIF(J419:O419,"D")&gt;0,"Desiste",IF(IFERROR(P419,0)&gt;=Parametros!$B$1,"Aprueba","No aprueba")))</f>
        <v/>
      </c>
      <c r="T419" t="str">
        <f>IF($Q419="Aprueba",COUNTIF($Q$2:$Q419,"Aprueba"),"")</f>
        <v/>
      </c>
    </row>
    <row r="420" spans="17:20" ht="14.25" customHeight="1">
      <c r="Q420" t="str">
        <f>IF(F420="","",IF(COUNTIF(J420:O420,"D")&gt;0,"Desiste",IF(IFERROR(P420,0)&gt;=Parametros!$B$1,"Aprueba","No aprueba")))</f>
        <v/>
      </c>
      <c r="T420" t="str">
        <f>IF($Q420="Aprueba",COUNTIF($Q$2:$Q420,"Aprueba"),"")</f>
        <v/>
      </c>
    </row>
    <row r="421" spans="17:20" ht="14.25" customHeight="1">
      <c r="Q421" t="str">
        <f>IF(F421="","",IF(COUNTIF(J421:O421,"D")&gt;0,"Desiste",IF(IFERROR(P421,0)&gt;=Parametros!$B$1,"Aprueba","No aprueba")))</f>
        <v/>
      </c>
      <c r="T421" t="str">
        <f>IF($Q421="Aprueba",COUNTIF($Q$2:$Q421,"Aprueba"),"")</f>
        <v/>
      </c>
    </row>
    <row r="422" spans="17:20" ht="14.25" customHeight="1">
      <c r="Q422" t="str">
        <f>IF(F422="","",IF(COUNTIF(J422:O422,"D")&gt;0,"Desiste",IF(IFERROR(P422,0)&gt;=Parametros!$B$1,"Aprueba","No aprueba")))</f>
        <v/>
      </c>
      <c r="T422" t="str">
        <f>IF($Q422="Aprueba",COUNTIF($Q$2:$Q422,"Aprueba"),"")</f>
        <v/>
      </c>
    </row>
    <row r="423" spans="17:20" ht="14.25" customHeight="1">
      <c r="Q423" t="str">
        <f>IF(F423="","",IF(COUNTIF(J423:O423,"D")&gt;0,"Desiste",IF(IFERROR(P423,0)&gt;=Parametros!$B$1,"Aprueba","No aprueba")))</f>
        <v/>
      </c>
      <c r="T423" t="str">
        <f>IF($Q423="Aprueba",COUNTIF($Q$2:$Q423,"Aprueba"),"")</f>
        <v/>
      </c>
    </row>
    <row r="424" spans="17:20" ht="14.25" customHeight="1">
      <c r="Q424" t="str">
        <f>IF(F424="","",IF(COUNTIF(J424:O424,"D")&gt;0,"Desiste",IF(IFERROR(P424,0)&gt;=Parametros!$B$1,"Aprueba","No aprueba")))</f>
        <v/>
      </c>
      <c r="T424" t="str">
        <f>IF($Q424="Aprueba",COUNTIF($Q$2:$Q424,"Aprueba"),"")</f>
        <v/>
      </c>
    </row>
    <row r="425" spans="17:20" ht="14.25" customHeight="1">
      <c r="Q425" t="str">
        <f>IF(F425="","",IF(COUNTIF(J425:O425,"D")&gt;0,"Desiste",IF(IFERROR(P425,0)&gt;=Parametros!$B$1,"Aprueba","No aprueba")))</f>
        <v/>
      </c>
      <c r="T425" t="str">
        <f>IF($Q425="Aprueba",COUNTIF($Q$2:$Q425,"Aprueba"),"")</f>
        <v/>
      </c>
    </row>
    <row r="426" spans="17:20" ht="14.25" customHeight="1">
      <c r="Q426" t="str">
        <f>IF(F426="","",IF(COUNTIF(J426:O426,"D")&gt;0,"Desiste",IF(IFERROR(P426,0)&gt;=Parametros!$B$1,"Aprueba","No aprueba")))</f>
        <v/>
      </c>
      <c r="T426" t="str">
        <f>IF($Q426="Aprueba",COUNTIF($Q$2:$Q426,"Aprueba"),"")</f>
        <v/>
      </c>
    </row>
    <row r="427" spans="17:20" ht="14.25" customHeight="1">
      <c r="Q427" t="str">
        <f>IF(F427="","",IF(COUNTIF(J427:O427,"D")&gt;0,"Desiste",IF(IFERROR(P427,0)&gt;=Parametros!$B$1,"Aprueba","No aprueba")))</f>
        <v/>
      </c>
      <c r="T427" t="str">
        <f>IF($Q427="Aprueba",COUNTIF($Q$2:$Q427,"Aprueba"),"")</f>
        <v/>
      </c>
    </row>
    <row r="428" spans="17:20" ht="14.25" customHeight="1">
      <c r="Q428" t="str">
        <f>IF(F428="","",IF(COUNTIF(J428:O428,"D")&gt;0,"Desiste",IF(IFERROR(P428,0)&gt;=Parametros!$B$1,"Aprueba","No aprueba")))</f>
        <v/>
      </c>
      <c r="T428" t="str">
        <f>IF($Q428="Aprueba",COUNTIF($Q$2:$Q428,"Aprueba"),"")</f>
        <v/>
      </c>
    </row>
    <row r="429" spans="17:20" ht="14.25" customHeight="1">
      <c r="Q429" t="str">
        <f>IF(F429="","",IF(COUNTIF(J429:O429,"D")&gt;0,"Desiste",IF(IFERROR(P429,0)&gt;=Parametros!$B$1,"Aprueba","No aprueba")))</f>
        <v/>
      </c>
      <c r="T429" t="str">
        <f>IF($Q429="Aprueba",COUNTIF($Q$2:$Q429,"Aprueba"),"")</f>
        <v/>
      </c>
    </row>
    <row r="430" spans="17:20" ht="14.25" customHeight="1">
      <c r="Q430" t="str">
        <f>IF(F430="","",IF(COUNTIF(J430:O430,"D")&gt;0,"Desiste",IF(IFERROR(P430,0)&gt;=Parametros!$B$1,"Aprueba","No aprueba")))</f>
        <v/>
      </c>
      <c r="T430" t="str">
        <f>IF($Q430="Aprueba",COUNTIF($Q$2:$Q430,"Aprueba"),"")</f>
        <v/>
      </c>
    </row>
    <row r="431" spans="17:20" ht="14.25" customHeight="1">
      <c r="Q431" t="str">
        <f>IF(F431="","",IF(COUNTIF(J431:O431,"D")&gt;0,"Desiste",IF(IFERROR(P431,0)&gt;=Parametros!$B$1,"Aprueba","No aprueba")))</f>
        <v/>
      </c>
      <c r="T431" t="str">
        <f>IF($Q431="Aprueba",COUNTIF($Q$2:$Q431,"Aprueba"),"")</f>
        <v/>
      </c>
    </row>
    <row r="432" spans="17:20" ht="14.25" customHeight="1">
      <c r="Q432" t="str">
        <f>IF(F432="","",IF(COUNTIF(J432:O432,"D")&gt;0,"Desiste",IF(IFERROR(P432,0)&gt;=Parametros!$B$1,"Aprueba","No aprueba")))</f>
        <v/>
      </c>
      <c r="T432" t="str">
        <f>IF($Q432="Aprueba",COUNTIF($Q$2:$Q432,"Aprueba"),"")</f>
        <v/>
      </c>
    </row>
    <row r="433" spans="17:20" ht="14.25" customHeight="1">
      <c r="Q433" t="str">
        <f>IF(F433="","",IF(COUNTIF(J433:O433,"D")&gt;0,"Desiste",IF(IFERROR(P433,0)&gt;=Parametros!$B$1,"Aprueba","No aprueba")))</f>
        <v/>
      </c>
      <c r="T433" t="str">
        <f>IF($Q433="Aprueba",COUNTIF($Q$2:$Q433,"Aprueba"),"")</f>
        <v/>
      </c>
    </row>
    <row r="434" spans="17:20" ht="14.25" customHeight="1">
      <c r="Q434" t="str">
        <f>IF(F434="","",IF(COUNTIF(J434:O434,"D")&gt;0,"Desiste",IF(IFERROR(P434,0)&gt;=Parametros!$B$1,"Aprueba","No aprueba")))</f>
        <v/>
      </c>
      <c r="T434" t="str">
        <f>IF($Q434="Aprueba",COUNTIF($Q$2:$Q434,"Aprueba"),"")</f>
        <v/>
      </c>
    </row>
    <row r="435" spans="17:20" ht="14.25" customHeight="1">
      <c r="Q435" t="str">
        <f>IF(F435="","",IF(COUNTIF(J435:O435,"D")&gt;0,"Desiste",IF(IFERROR(P435,0)&gt;=Parametros!$B$1,"Aprueba","No aprueba")))</f>
        <v/>
      </c>
      <c r="T435" t="str">
        <f>IF($Q435="Aprueba",COUNTIF($Q$2:$Q435,"Aprueba"),"")</f>
        <v/>
      </c>
    </row>
    <row r="436" spans="17:20" ht="14.25" customHeight="1">
      <c r="Q436" t="str">
        <f>IF(F436="","",IF(COUNTIF(J436:O436,"D")&gt;0,"Desiste",IF(IFERROR(P436,0)&gt;=Parametros!$B$1,"Aprueba","No aprueba")))</f>
        <v/>
      </c>
      <c r="T436" t="str">
        <f>IF($Q436="Aprueba",COUNTIF($Q$2:$Q436,"Aprueba"),"")</f>
        <v/>
      </c>
    </row>
    <row r="437" spans="17:20" ht="14.25" customHeight="1">
      <c r="Q437" t="str">
        <f>IF(F437="","",IF(COUNTIF(J437:O437,"D")&gt;0,"Desiste",IF(IFERROR(P437,0)&gt;=Parametros!$B$1,"Aprueba","No aprueba")))</f>
        <v/>
      </c>
      <c r="T437" t="str">
        <f>IF($Q437="Aprueba",COUNTIF($Q$2:$Q437,"Aprueba"),"")</f>
        <v/>
      </c>
    </row>
    <row r="438" spans="17:20" ht="14.25" customHeight="1">
      <c r="Q438" t="str">
        <f>IF(F438="","",IF(COUNTIF(J438:O438,"D")&gt;0,"Desiste",IF(IFERROR(P438,0)&gt;=Parametros!$B$1,"Aprueba","No aprueba")))</f>
        <v/>
      </c>
      <c r="T438" t="str">
        <f>IF($Q438="Aprueba",COUNTIF($Q$2:$Q438,"Aprueba"),"")</f>
        <v/>
      </c>
    </row>
    <row r="439" spans="17:20" ht="14.25" customHeight="1">
      <c r="Q439" t="str">
        <f>IF(F439="","",IF(COUNTIF(J439:O439,"D")&gt;0,"Desiste",IF(IFERROR(P439,0)&gt;=Parametros!$B$1,"Aprueba","No aprueba")))</f>
        <v/>
      </c>
      <c r="T439" t="str">
        <f>IF($Q439="Aprueba",COUNTIF($Q$2:$Q439,"Aprueba"),"")</f>
        <v/>
      </c>
    </row>
    <row r="440" spans="17:20" ht="14.25" customHeight="1">
      <c r="Q440" t="str">
        <f>IF(F440="","",IF(COUNTIF(J440:O440,"D")&gt;0,"Desiste",IF(IFERROR(P440,0)&gt;=Parametros!$B$1,"Aprueba","No aprueba")))</f>
        <v/>
      </c>
      <c r="T440" t="str">
        <f>IF($Q440="Aprueba",COUNTIF($Q$2:$Q440,"Aprueba"),"")</f>
        <v/>
      </c>
    </row>
    <row r="441" spans="17:20" ht="14.25" customHeight="1">
      <c r="Q441" t="str">
        <f>IF(F441="","",IF(COUNTIF(J441:O441,"D")&gt;0,"Desiste",IF(IFERROR(P441,0)&gt;=Parametros!$B$1,"Aprueba","No aprueba")))</f>
        <v/>
      </c>
      <c r="T441" t="str">
        <f>IF($Q441="Aprueba",COUNTIF($Q$2:$Q441,"Aprueba"),"")</f>
        <v/>
      </c>
    </row>
    <row r="442" spans="17:20" ht="14.25" customHeight="1">
      <c r="Q442" t="str">
        <f>IF(F442="","",IF(COUNTIF(J442:O442,"D")&gt;0,"Desiste",IF(IFERROR(P442,0)&gt;=Parametros!$B$1,"Aprueba","No aprueba")))</f>
        <v/>
      </c>
      <c r="T442" t="str">
        <f>IF($Q442="Aprueba",COUNTIF($Q$2:$Q442,"Aprueba"),"")</f>
        <v/>
      </c>
    </row>
    <row r="443" spans="17:20" ht="14.25" customHeight="1">
      <c r="Q443" t="str">
        <f>IF(F443="","",IF(COUNTIF(J443:O443,"D")&gt;0,"Desiste",IF(IFERROR(P443,0)&gt;=Parametros!$B$1,"Aprueba","No aprueba")))</f>
        <v/>
      </c>
      <c r="T443" t="str">
        <f>IF($Q443="Aprueba",COUNTIF($Q$2:$Q443,"Aprueba"),"")</f>
        <v/>
      </c>
    </row>
    <row r="444" spans="17:20" ht="14.25" customHeight="1">
      <c r="Q444" t="str">
        <f>IF(F444="","",IF(COUNTIF(J444:O444,"D")&gt;0,"Desiste",IF(IFERROR(P444,0)&gt;=Parametros!$B$1,"Aprueba","No aprueba")))</f>
        <v/>
      </c>
      <c r="T444" t="str">
        <f>IF($Q444="Aprueba",COUNTIF($Q$2:$Q444,"Aprueba"),"")</f>
        <v/>
      </c>
    </row>
    <row r="445" spans="17:20" ht="14.25" customHeight="1">
      <c r="Q445" t="str">
        <f>IF(F445="","",IF(COUNTIF(J445:O445,"D")&gt;0,"Desiste",IF(IFERROR(P445,0)&gt;=Parametros!$B$1,"Aprueba","No aprueba")))</f>
        <v/>
      </c>
      <c r="T445" t="str">
        <f>IF($Q445="Aprueba",COUNTIF($Q$2:$Q445,"Aprueba"),"")</f>
        <v/>
      </c>
    </row>
    <row r="446" spans="17:20" ht="14.25" customHeight="1">
      <c r="Q446" t="str">
        <f>IF(F446="","",IF(COUNTIF(J446:O446,"D")&gt;0,"Desiste",IF(IFERROR(P446,0)&gt;=Parametros!$B$1,"Aprueba","No aprueba")))</f>
        <v/>
      </c>
      <c r="T446" t="str">
        <f>IF($Q446="Aprueba",COUNTIF($Q$2:$Q446,"Aprueba"),"")</f>
        <v/>
      </c>
    </row>
    <row r="447" spans="17:20" ht="14.25" customHeight="1">
      <c r="Q447" t="str">
        <f>IF(F447="","",IF(COUNTIF(J447:O447,"D")&gt;0,"Desiste",IF(IFERROR(P447,0)&gt;=Parametros!$B$1,"Aprueba","No aprueba")))</f>
        <v/>
      </c>
      <c r="T447" t="str">
        <f>IF($Q447="Aprueba",COUNTIF($Q$2:$Q447,"Aprueba"),"")</f>
        <v/>
      </c>
    </row>
    <row r="448" spans="17:20" ht="14.25" customHeight="1">
      <c r="Q448" t="str">
        <f>IF(F448="","",IF(COUNTIF(J448:O448,"D")&gt;0,"Desiste",IF(IFERROR(P448,0)&gt;=Parametros!$B$1,"Aprueba","No aprueba")))</f>
        <v/>
      </c>
      <c r="T448" t="str">
        <f>IF($Q448="Aprueba",COUNTIF($Q$2:$Q448,"Aprueba"),"")</f>
        <v/>
      </c>
    </row>
    <row r="449" spans="17:20" ht="14.25" customHeight="1">
      <c r="Q449" t="str">
        <f>IF(F449="","",IF(COUNTIF(J449:O449,"D")&gt;0,"Desiste",IF(IFERROR(P449,0)&gt;=Parametros!$B$1,"Aprueba","No aprueba")))</f>
        <v/>
      </c>
      <c r="T449" t="str">
        <f>IF($Q449="Aprueba",COUNTIF($Q$2:$Q449,"Aprueba"),"")</f>
        <v/>
      </c>
    </row>
    <row r="450" spans="17:20" ht="14.25" customHeight="1">
      <c r="Q450" t="str">
        <f>IF(F450="","",IF(COUNTIF(J450:O450,"D")&gt;0,"Desiste",IF(IFERROR(P450,0)&gt;=Parametros!$B$1,"Aprueba","No aprueba")))</f>
        <v/>
      </c>
      <c r="T450" t="str">
        <f>IF($Q450="Aprueba",COUNTIF($Q$2:$Q450,"Aprueba"),"")</f>
        <v/>
      </c>
    </row>
    <row r="451" spans="17:20" ht="14.25" customHeight="1">
      <c r="Q451" t="str">
        <f>IF(F451="","",IF(COUNTIF(J451:O451,"D")&gt;0,"Desiste",IF(IFERROR(P451,0)&gt;=Parametros!$B$1,"Aprueba","No aprueba")))</f>
        <v/>
      </c>
      <c r="T451" t="str">
        <f>IF($Q451="Aprueba",COUNTIF($Q$2:$Q451,"Aprueba"),"")</f>
        <v/>
      </c>
    </row>
    <row r="452" spans="17:20" ht="14.25" customHeight="1">
      <c r="Q452" t="str">
        <f>IF(F452="","",IF(COUNTIF(J452:O452,"D")&gt;0,"Desiste",IF(IFERROR(P452,0)&gt;=Parametros!$B$1,"Aprueba","No aprueba")))</f>
        <v/>
      </c>
      <c r="T452" t="str">
        <f>IF($Q452="Aprueba",COUNTIF($Q$2:$Q452,"Aprueba"),"")</f>
        <v/>
      </c>
    </row>
    <row r="453" spans="17:20" ht="14.25" customHeight="1">
      <c r="Q453" t="str">
        <f>IF(F453="","",IF(COUNTIF(J453:O453,"D")&gt;0,"Desiste",IF(IFERROR(P453,0)&gt;=Parametros!$B$1,"Aprueba","No aprueba")))</f>
        <v/>
      </c>
      <c r="T453" t="str">
        <f>IF($Q453="Aprueba",COUNTIF($Q$2:$Q453,"Aprueba"),"")</f>
        <v/>
      </c>
    </row>
    <row r="454" spans="17:20" ht="14.25" customHeight="1">
      <c r="Q454" t="str">
        <f>IF(F454="","",IF(COUNTIF(J454:O454,"D")&gt;0,"Desiste",IF(IFERROR(P454,0)&gt;=Parametros!$B$1,"Aprueba","No aprueba")))</f>
        <v/>
      </c>
      <c r="T454" t="str">
        <f>IF($Q454="Aprueba",COUNTIF($Q$2:$Q454,"Aprueba"),"")</f>
        <v/>
      </c>
    </row>
    <row r="455" spans="17:20" ht="14.25" customHeight="1">
      <c r="Q455" t="str">
        <f>IF(F455="","",IF(COUNTIF(J455:O455,"D")&gt;0,"Desiste",IF(IFERROR(P455,0)&gt;=Parametros!$B$1,"Aprueba","No aprueba")))</f>
        <v/>
      </c>
      <c r="T455" t="str">
        <f>IF($Q455="Aprueba",COUNTIF($Q$2:$Q455,"Aprueba"),"")</f>
        <v/>
      </c>
    </row>
    <row r="456" spans="17:20" ht="14.25" customHeight="1">
      <c r="Q456" t="str">
        <f>IF(F456="","",IF(COUNTIF(J456:O456,"D")&gt;0,"Desiste",IF(IFERROR(P456,0)&gt;=Parametros!$B$1,"Aprueba","No aprueba")))</f>
        <v/>
      </c>
      <c r="T456" t="str">
        <f>IF($Q456="Aprueba",COUNTIF($Q$2:$Q456,"Aprueba"),"")</f>
        <v/>
      </c>
    </row>
    <row r="457" spans="17:20" ht="14.25" customHeight="1">
      <c r="Q457" t="str">
        <f>IF(F457="","",IF(COUNTIF(J457:O457,"D")&gt;0,"Desiste",IF(IFERROR(P457,0)&gt;=Parametros!$B$1,"Aprueba","No aprueba")))</f>
        <v/>
      </c>
      <c r="T457" t="str">
        <f>IF($Q457="Aprueba",COUNTIF($Q$2:$Q457,"Aprueba"),"")</f>
        <v/>
      </c>
    </row>
    <row r="458" spans="17:20" ht="14.25" customHeight="1">
      <c r="Q458" t="str">
        <f>IF(F458="","",IF(COUNTIF(J458:O458,"D")&gt;0,"Desiste",IF(IFERROR(P458,0)&gt;=Parametros!$B$1,"Aprueba","No aprueba")))</f>
        <v/>
      </c>
      <c r="T458" t="str">
        <f>IF($Q458="Aprueba",COUNTIF($Q$2:$Q458,"Aprueba"),"")</f>
        <v/>
      </c>
    </row>
    <row r="459" spans="17:20" ht="14.25" customHeight="1">
      <c r="Q459" t="str">
        <f>IF(F459="","",IF(COUNTIF(J459:O459,"D")&gt;0,"Desiste",IF(IFERROR(P459,0)&gt;=Parametros!$B$1,"Aprueba","No aprueba")))</f>
        <v/>
      </c>
      <c r="T459" t="str">
        <f>IF($Q459="Aprueba",COUNTIF($Q$2:$Q459,"Aprueba"),"")</f>
        <v/>
      </c>
    </row>
    <row r="460" spans="17:20" ht="14.25" customHeight="1">
      <c r="Q460" t="str">
        <f>IF(F460="","",IF(COUNTIF(J460:O460,"D")&gt;0,"Desiste",IF(IFERROR(P460,0)&gt;=Parametros!$B$1,"Aprueba","No aprueba")))</f>
        <v/>
      </c>
      <c r="T460" t="str">
        <f>IF($Q460="Aprueba",COUNTIF($Q$2:$Q460,"Aprueba"),"")</f>
        <v/>
      </c>
    </row>
    <row r="461" spans="17:20" ht="14.25" customHeight="1">
      <c r="Q461" t="str">
        <f>IF(F461="","",IF(COUNTIF(J461:O461,"D")&gt;0,"Desiste",IF(IFERROR(P461,0)&gt;=Parametros!$B$1,"Aprueba","No aprueba")))</f>
        <v/>
      </c>
      <c r="T461" t="str">
        <f>IF($Q461="Aprueba",COUNTIF($Q$2:$Q461,"Aprueba"),"")</f>
        <v/>
      </c>
    </row>
    <row r="462" spans="17:20" ht="14.25" customHeight="1">
      <c r="Q462" t="str">
        <f>IF(F462="","",IF(COUNTIF(J462:O462,"D")&gt;0,"Desiste",IF(IFERROR(P462,0)&gt;=Parametros!$B$1,"Aprueba","No aprueba")))</f>
        <v/>
      </c>
      <c r="T462" t="str">
        <f>IF($Q462="Aprueba",COUNTIF($Q$2:$Q462,"Aprueba"),"")</f>
        <v/>
      </c>
    </row>
    <row r="463" spans="17:20" ht="14.25" customHeight="1">
      <c r="Q463" t="str">
        <f>IF(F463="","",IF(COUNTIF(J463:O463,"D")&gt;0,"Desiste",IF(IFERROR(P463,0)&gt;=Parametros!$B$1,"Aprueba","No aprueba")))</f>
        <v/>
      </c>
      <c r="T463" t="str">
        <f>IF($Q463="Aprueba",COUNTIF($Q$2:$Q463,"Aprueba"),"")</f>
        <v/>
      </c>
    </row>
    <row r="464" spans="17:20" ht="14.25" customHeight="1">
      <c r="Q464" t="str">
        <f>IF(F464="","",IF(COUNTIF(J464:O464,"D")&gt;0,"Desiste",IF(IFERROR(P464,0)&gt;=Parametros!$B$1,"Aprueba","No aprueba")))</f>
        <v/>
      </c>
      <c r="T464" t="str">
        <f>IF($Q464="Aprueba",COUNTIF($Q$2:$Q464,"Aprueba"),"")</f>
        <v/>
      </c>
    </row>
    <row r="465" spans="17:20" ht="14.25" customHeight="1">
      <c r="Q465" t="str">
        <f>IF(F465="","",IF(COUNTIF(J465:O465,"D")&gt;0,"Desiste",IF(IFERROR(P465,0)&gt;=Parametros!$B$1,"Aprueba","No aprueba")))</f>
        <v/>
      </c>
      <c r="T465" t="str">
        <f>IF($Q465="Aprueba",COUNTIF($Q$2:$Q465,"Aprueba"),"")</f>
        <v/>
      </c>
    </row>
    <row r="466" spans="17:20" ht="14.25" customHeight="1">
      <c r="Q466" t="str">
        <f>IF(F466="","",IF(COUNTIF(J466:O466,"D")&gt;0,"Desiste",IF(IFERROR(P466,0)&gt;=Parametros!$B$1,"Aprueba","No aprueba")))</f>
        <v/>
      </c>
      <c r="T466" t="str">
        <f>IF($Q466="Aprueba",COUNTIF($Q$2:$Q466,"Aprueba"),"")</f>
        <v/>
      </c>
    </row>
    <row r="467" spans="17:20" ht="14.25" customHeight="1">
      <c r="Q467" t="str">
        <f>IF(F467="","",IF(COUNTIF(J467:O467,"D")&gt;0,"Desiste",IF(IFERROR(P467,0)&gt;=Parametros!$B$1,"Aprueba","No aprueba")))</f>
        <v/>
      </c>
      <c r="T467" t="str">
        <f>IF($Q467="Aprueba",COUNTIF($Q$2:$Q467,"Aprueba"),"")</f>
        <v/>
      </c>
    </row>
    <row r="468" spans="17:20" ht="14.25" customHeight="1">
      <c r="Q468" t="str">
        <f>IF(F468="","",IF(COUNTIF(J468:O468,"D")&gt;0,"Desiste",IF(IFERROR(P468,0)&gt;=Parametros!$B$1,"Aprueba","No aprueba")))</f>
        <v/>
      </c>
      <c r="T468" t="str">
        <f>IF($Q468="Aprueba",COUNTIF($Q$2:$Q468,"Aprueba"),"")</f>
        <v/>
      </c>
    </row>
    <row r="469" spans="17:20" ht="14.25" customHeight="1">
      <c r="Q469" t="str">
        <f>IF(F469="","",IF(COUNTIF(J469:O469,"D")&gt;0,"Desiste",IF(IFERROR(P469,0)&gt;=Parametros!$B$1,"Aprueba","No aprueba")))</f>
        <v/>
      </c>
      <c r="T469" t="str">
        <f>IF($Q469="Aprueba",COUNTIF($Q$2:$Q469,"Aprueba"),"")</f>
        <v/>
      </c>
    </row>
    <row r="470" spans="17:20" ht="14.25" customHeight="1">
      <c r="Q470" t="str">
        <f>IF(F470="","",IF(COUNTIF(J470:O470,"D")&gt;0,"Desiste",IF(IFERROR(P470,0)&gt;=Parametros!$B$1,"Aprueba","No aprueba")))</f>
        <v/>
      </c>
      <c r="T470" t="str">
        <f>IF($Q470="Aprueba",COUNTIF($Q$2:$Q470,"Aprueba"),"")</f>
        <v/>
      </c>
    </row>
    <row r="471" spans="17:20" ht="14.25" customHeight="1">
      <c r="Q471" t="str">
        <f>IF(F471="","",IF(COUNTIF(J471:O471,"D")&gt;0,"Desiste",IF(IFERROR(P471,0)&gt;=Parametros!$B$1,"Aprueba","No aprueba")))</f>
        <v/>
      </c>
      <c r="T471" t="str">
        <f>IF($Q471="Aprueba",COUNTIF($Q$2:$Q471,"Aprueba"),"")</f>
        <v/>
      </c>
    </row>
    <row r="472" spans="17:20" ht="14.25" customHeight="1">
      <c r="Q472" t="str">
        <f>IF(F472="","",IF(COUNTIF(J472:O472,"D")&gt;0,"Desiste",IF(IFERROR(P472,0)&gt;=Parametros!$B$1,"Aprueba","No aprueba")))</f>
        <v/>
      </c>
      <c r="T472" t="str">
        <f>IF($Q472="Aprueba",COUNTIF($Q$2:$Q472,"Aprueba"),"")</f>
        <v/>
      </c>
    </row>
    <row r="473" spans="17:20" ht="14.25" customHeight="1">
      <c r="Q473" t="str">
        <f>IF(F473="","",IF(COUNTIF(J473:O473,"D")&gt;0,"Desiste",IF(IFERROR(P473,0)&gt;=Parametros!$B$1,"Aprueba","No aprueba")))</f>
        <v/>
      </c>
      <c r="T473" t="str">
        <f>IF($Q473="Aprueba",COUNTIF($Q$2:$Q473,"Aprueba"),"")</f>
        <v/>
      </c>
    </row>
    <row r="474" spans="17:20" ht="14.25" customHeight="1">
      <c r="Q474" t="str">
        <f>IF(F474="","",IF(COUNTIF(J474:O474,"D")&gt;0,"Desiste",IF(IFERROR(P474,0)&gt;=Parametros!$B$1,"Aprueba","No aprueba")))</f>
        <v/>
      </c>
      <c r="T474" t="str">
        <f>IF($Q474="Aprueba",COUNTIF($Q$2:$Q474,"Aprueba"),"")</f>
        <v/>
      </c>
    </row>
    <row r="475" spans="17:20" ht="14.25" customHeight="1">
      <c r="Q475" t="str">
        <f>IF(F475="","",IF(COUNTIF(J475:O475,"D")&gt;0,"Desiste",IF(IFERROR(P475,0)&gt;=Parametros!$B$1,"Aprueba","No aprueba")))</f>
        <v/>
      </c>
      <c r="T475" t="str">
        <f>IF($Q475="Aprueba",COUNTIF($Q$2:$Q475,"Aprueba"),"")</f>
        <v/>
      </c>
    </row>
    <row r="476" spans="17:20" ht="14.25" customHeight="1">
      <c r="Q476" t="str">
        <f>IF(F476="","",IF(COUNTIF(J476:O476,"D")&gt;0,"Desiste",IF(IFERROR(P476,0)&gt;=Parametros!$B$1,"Aprueba","No aprueba")))</f>
        <v/>
      </c>
      <c r="T476" t="str">
        <f>IF($Q476="Aprueba",COUNTIF($Q$2:$Q476,"Aprueba"),"")</f>
        <v/>
      </c>
    </row>
    <row r="477" spans="17:20" ht="14.25" customHeight="1">
      <c r="Q477" t="str">
        <f>IF(F477="","",IF(COUNTIF(J477:O477,"D")&gt;0,"Desiste",IF(IFERROR(P477,0)&gt;=Parametros!$B$1,"Aprueba","No aprueba")))</f>
        <v/>
      </c>
      <c r="T477" t="str">
        <f>IF($Q477="Aprueba",COUNTIF($Q$2:$Q477,"Aprueba"),"")</f>
        <v/>
      </c>
    </row>
    <row r="478" spans="17:20" ht="14.25" customHeight="1">
      <c r="Q478" t="str">
        <f>IF(F478="","",IF(COUNTIF(J478:O478,"D")&gt;0,"Desiste",IF(IFERROR(P478,0)&gt;=Parametros!$B$1,"Aprueba","No aprueba")))</f>
        <v/>
      </c>
      <c r="T478" t="str">
        <f>IF($Q478="Aprueba",COUNTIF($Q$2:$Q478,"Aprueba"),"")</f>
        <v/>
      </c>
    </row>
    <row r="479" spans="17:20" ht="14.25" customHeight="1">
      <c r="Q479" t="str">
        <f>IF(F479="","",IF(COUNTIF(J479:O479,"D")&gt;0,"Desiste",IF(IFERROR(P479,0)&gt;=Parametros!$B$1,"Aprueba","No aprueba")))</f>
        <v/>
      </c>
      <c r="T479" t="str">
        <f>IF($Q479="Aprueba",COUNTIF($Q$2:$Q479,"Aprueba"),"")</f>
        <v/>
      </c>
    </row>
    <row r="480" spans="17:20" ht="14.25" customHeight="1">
      <c r="Q480" t="str">
        <f>IF(F480="","",IF(COUNTIF(J480:O480,"D")&gt;0,"Desiste",IF(IFERROR(P480,0)&gt;=Parametros!$B$1,"Aprueba","No aprueba")))</f>
        <v/>
      </c>
      <c r="T480" t="str">
        <f>IF($Q480="Aprueba",COUNTIF($Q$2:$Q480,"Aprueba"),"")</f>
        <v/>
      </c>
    </row>
    <row r="481" spans="17:20" ht="14.25" customHeight="1">
      <c r="Q481" t="str">
        <f>IF(F481="","",IF(COUNTIF(J481:O481,"D")&gt;0,"Desiste",IF(IFERROR(P481,0)&gt;=Parametros!$B$1,"Aprueba","No aprueba")))</f>
        <v/>
      </c>
      <c r="T481" t="str">
        <f>IF($Q481="Aprueba",COUNTIF($Q$2:$Q481,"Aprueba"),"")</f>
        <v/>
      </c>
    </row>
    <row r="482" spans="17:20" ht="14.25" customHeight="1">
      <c r="Q482" t="str">
        <f>IF(F482="","",IF(COUNTIF(J482:O482,"D")&gt;0,"Desiste",IF(IFERROR(P482,0)&gt;=Parametros!$B$1,"Aprueba","No aprueba")))</f>
        <v/>
      </c>
      <c r="T482" t="str">
        <f>IF($Q482="Aprueba",COUNTIF($Q$2:$Q482,"Aprueba"),"")</f>
        <v/>
      </c>
    </row>
    <row r="483" spans="17:20" ht="14.25" customHeight="1">
      <c r="Q483" t="str">
        <f>IF(F483="","",IF(COUNTIF(J483:O483,"D")&gt;0,"Desiste",IF(IFERROR(P483,0)&gt;=Parametros!$B$1,"Aprueba","No aprueba")))</f>
        <v/>
      </c>
      <c r="T483" t="str">
        <f>IF($Q483="Aprueba",COUNTIF($Q$2:$Q483,"Aprueba"),"")</f>
        <v/>
      </c>
    </row>
    <row r="484" spans="17:20" ht="14.25" customHeight="1">
      <c r="Q484" t="str">
        <f>IF(F484="","",IF(COUNTIF(J484:O484,"D")&gt;0,"Desiste",IF(IFERROR(P484,0)&gt;=Parametros!$B$1,"Aprueba","No aprueba")))</f>
        <v/>
      </c>
      <c r="T484" t="str">
        <f>IF($Q484="Aprueba",COUNTIF($Q$2:$Q484,"Aprueba"),"")</f>
        <v/>
      </c>
    </row>
    <row r="485" spans="17:20" ht="14.25" customHeight="1">
      <c r="Q485" t="str">
        <f>IF(F485="","",IF(COUNTIF(J485:O485,"D")&gt;0,"Desiste",IF(IFERROR(P485,0)&gt;=Parametros!$B$1,"Aprueba","No aprueba")))</f>
        <v/>
      </c>
      <c r="T485" t="str">
        <f>IF($Q485="Aprueba",COUNTIF($Q$2:$Q485,"Aprueba"),"")</f>
        <v/>
      </c>
    </row>
    <row r="486" spans="17:20" ht="14.25" customHeight="1">
      <c r="Q486" t="str">
        <f>IF(F486="","",IF(COUNTIF(J486:O486,"D")&gt;0,"Desiste",IF(IFERROR(P486,0)&gt;=Parametros!$B$1,"Aprueba","No aprueba")))</f>
        <v/>
      </c>
      <c r="T486" t="str">
        <f>IF($Q486="Aprueba",COUNTIF($Q$2:$Q486,"Aprueba"),"")</f>
        <v/>
      </c>
    </row>
    <row r="487" spans="17:20" ht="14.25" customHeight="1">
      <c r="Q487" t="str">
        <f>IF(F487="","",IF(COUNTIF(J487:O487,"D")&gt;0,"Desiste",IF(IFERROR(P487,0)&gt;=Parametros!$B$1,"Aprueba","No aprueba")))</f>
        <v/>
      </c>
      <c r="T487" t="str">
        <f>IF($Q487="Aprueba",COUNTIF($Q$2:$Q487,"Aprueba"),"")</f>
        <v/>
      </c>
    </row>
    <row r="488" spans="17:20" ht="14.25" customHeight="1">
      <c r="Q488" t="str">
        <f>IF(F488="","",IF(COUNTIF(J488:O488,"D")&gt;0,"Desiste",IF(IFERROR(P488,0)&gt;=Parametros!$B$1,"Aprueba","No aprueba")))</f>
        <v/>
      </c>
      <c r="T488" t="str">
        <f>IF($Q488="Aprueba",COUNTIF($Q$2:$Q488,"Aprueba"),"")</f>
        <v/>
      </c>
    </row>
    <row r="489" spans="17:20" ht="14.25" customHeight="1">
      <c r="Q489" t="str">
        <f>IF(F489="","",IF(COUNTIF(J489:O489,"D")&gt;0,"Desiste",IF(IFERROR(P489,0)&gt;=Parametros!$B$1,"Aprueba","No aprueba")))</f>
        <v/>
      </c>
      <c r="T489" t="str">
        <f>IF($Q489="Aprueba",COUNTIF($Q$2:$Q489,"Aprueba"),"")</f>
        <v/>
      </c>
    </row>
    <row r="490" spans="17:20" ht="14.25" customHeight="1">
      <c r="Q490" t="str">
        <f>IF(F490="","",IF(COUNTIF(J490:O490,"D")&gt;0,"Desiste",IF(IFERROR(P490,0)&gt;=Parametros!$B$1,"Aprueba","No aprueba")))</f>
        <v/>
      </c>
      <c r="T490" t="str">
        <f>IF($Q490="Aprueba",COUNTIF($Q$2:$Q490,"Aprueba"),"")</f>
        <v/>
      </c>
    </row>
    <row r="491" spans="17:20" ht="14.25" customHeight="1">
      <c r="Q491" t="str">
        <f>IF(F491="","",IF(COUNTIF(J491:O491,"D")&gt;0,"Desiste",IF(IFERROR(P491,0)&gt;=Parametros!$B$1,"Aprueba","No aprueba")))</f>
        <v/>
      </c>
      <c r="T491" t="str">
        <f>IF($Q491="Aprueba",COUNTIF($Q$2:$Q491,"Aprueba"),"")</f>
        <v/>
      </c>
    </row>
    <row r="492" spans="17:20" ht="14.25" customHeight="1">
      <c r="Q492" t="str">
        <f>IF(F492="","",IF(COUNTIF(J492:O492,"D")&gt;0,"Desiste",IF(IFERROR(P492,0)&gt;=Parametros!$B$1,"Aprueba","No aprueba")))</f>
        <v/>
      </c>
      <c r="T492" t="str">
        <f>IF($Q492="Aprueba",COUNTIF($Q$2:$Q492,"Aprueba"),"")</f>
        <v/>
      </c>
    </row>
    <row r="493" spans="17:20" ht="14.25" customHeight="1">
      <c r="Q493" t="str">
        <f>IF(F493="","",IF(COUNTIF(J493:O493,"D")&gt;0,"Desiste",IF(IFERROR(P493,0)&gt;=Parametros!$B$1,"Aprueba","No aprueba")))</f>
        <v/>
      </c>
      <c r="T493" t="str">
        <f>IF($Q493="Aprueba",COUNTIF($Q$2:$Q493,"Aprueba"),"")</f>
        <v/>
      </c>
    </row>
    <row r="494" spans="17:20" ht="14.25" customHeight="1">
      <c r="Q494" t="str">
        <f>IF(F494="","",IF(COUNTIF(J494:O494,"D")&gt;0,"Desiste",IF(IFERROR(P494,0)&gt;=Parametros!$B$1,"Aprueba","No aprueba")))</f>
        <v/>
      </c>
      <c r="T494" t="str">
        <f>IF($Q494="Aprueba",COUNTIF($Q$2:$Q494,"Aprueba"),"")</f>
        <v/>
      </c>
    </row>
    <row r="495" spans="17:20" ht="14.25" customHeight="1">
      <c r="Q495" t="str">
        <f>IF(F495="","",IF(COUNTIF(J495:O495,"D")&gt;0,"Desiste",IF(IFERROR(P495,0)&gt;=Parametros!$B$1,"Aprueba","No aprueba")))</f>
        <v/>
      </c>
      <c r="T495" t="str">
        <f>IF($Q495="Aprueba",COUNTIF($Q$2:$Q495,"Aprueba"),"")</f>
        <v/>
      </c>
    </row>
    <row r="496" spans="17:20" ht="14.25" customHeight="1">
      <c r="Q496" t="str">
        <f>IF(F496="","",IF(COUNTIF(J496:O496,"D")&gt;0,"Desiste",IF(IFERROR(P496,0)&gt;=Parametros!$B$1,"Aprueba","No aprueba")))</f>
        <v/>
      </c>
      <c r="T496" t="str">
        <f>IF($Q496="Aprueba",COUNTIF($Q$2:$Q496,"Aprueba"),"")</f>
        <v/>
      </c>
    </row>
    <row r="497" spans="17:20" ht="14.25" customHeight="1">
      <c r="Q497" t="str">
        <f>IF(F497="","",IF(COUNTIF(J497:O497,"D")&gt;0,"Desiste",IF(IFERROR(P497,0)&gt;=Parametros!$B$1,"Aprueba","No aprueba")))</f>
        <v/>
      </c>
      <c r="T497" t="str">
        <f>IF($Q497="Aprueba",COUNTIF($Q$2:$Q497,"Aprueba"),"")</f>
        <v/>
      </c>
    </row>
    <row r="498" spans="17:20" ht="14.25" customHeight="1">
      <c r="Q498" t="str">
        <f>IF(F498="","",IF(COUNTIF(J498:O498,"D")&gt;0,"Desiste",IF(IFERROR(P498,0)&gt;=Parametros!$B$1,"Aprueba","No aprueba")))</f>
        <v/>
      </c>
      <c r="T498" t="str">
        <f>IF($Q498="Aprueba",COUNTIF($Q$2:$Q498,"Aprueba"),"")</f>
        <v/>
      </c>
    </row>
    <row r="499" spans="17:20" ht="14.25" customHeight="1">
      <c r="Q499" t="str">
        <f>IF(F499="","",IF(COUNTIF(J499:O499,"D")&gt;0,"Desiste",IF(IFERROR(P499,0)&gt;=Parametros!$B$1,"Aprueba","No aprueba")))</f>
        <v/>
      </c>
      <c r="T499" t="str">
        <f>IF($Q499="Aprueba",COUNTIF($Q$2:$Q499,"Aprueba"),"")</f>
        <v/>
      </c>
    </row>
    <row r="500" spans="17:20" ht="14.25" customHeight="1">
      <c r="Q500" t="str">
        <f>IF(F500="","",IF(COUNTIF(J500:O500,"D")&gt;0,"Desiste",IF(IFERROR(P500,0)&gt;=Parametros!$B$1,"Aprueba","No aprueba")))</f>
        <v/>
      </c>
      <c r="T500" t="str">
        <f>IF($Q500="Aprueba",COUNTIF($Q$2:$Q500,"Aprueba"),"")</f>
        <v/>
      </c>
    </row>
    <row r="501" spans="17:20" ht="14.25" customHeight="1"/>
    <row r="502" spans="17:20" ht="14.25" customHeight="1"/>
    <row r="503" spans="17:20" ht="14.25" customHeight="1"/>
    <row r="504" spans="17:20" ht="14.25" customHeight="1"/>
    <row r="505" spans="17:20" ht="14.25" customHeight="1"/>
    <row r="506" spans="17:20" ht="14.25" customHeight="1"/>
    <row r="507" spans="17:20" ht="14.25" customHeight="1"/>
    <row r="508" spans="17:20" ht="14.25" customHeight="1"/>
    <row r="509" spans="17:20" ht="14.25" customHeight="1"/>
    <row r="510" spans="17:20" ht="14.25" customHeight="1"/>
    <row r="511" spans="17:20" ht="14.25" customHeight="1"/>
    <row r="512" spans="17:20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</sheetData>
  <conditionalFormatting sqref="Q2:Q96">
    <cfRule type="cellIs" dxfId="3" priority="2" operator="equal">
      <formula>"Aprueba"</formula>
    </cfRule>
    <cfRule type="cellIs" dxfId="2" priority="3" operator="equal">
      <formula>"No aprueba"</formula>
    </cfRule>
  </conditionalFormatting>
  <dataValidations count="6">
    <dataValidation type="custom" allowBlank="1" showInputMessage="1" showErrorMessage="1" prompt="Documento invalido - El numero de documento debe tener entre 5 y 15 digitos." sqref="E2:E96" xr:uid="{00000000-0002-0000-0000-000000000000}">
      <formula1>AND(gte(LEN(E2),MIN((5),(15))),lte(LEN(E2),MAX((5),(15))))</formula1>
      <formula2>0</formula2>
    </dataValidation>
    <dataValidation type="list" allowBlank="1" sqref="I2:I96" xr:uid="{00000000-0002-0000-0000-000001000000}">
      <formula1>Lista_Formador</formula1>
      <formula2>0</formula2>
    </dataValidation>
    <dataValidation type="list" allowBlank="1" sqref="B2:B96" xr:uid="{00000000-0002-0000-0000-000002000000}">
      <formula1>Lista_Campana</formula1>
      <formula2>0</formula2>
    </dataValidation>
    <dataValidation type="date" operator="greaterThanOrEqual" allowBlank="1" showInputMessage="1" showErrorMessage="1" prompt="Fecha invalida - Ingresa una fecha valida (DD/MM/AAAA)." sqref="C2:C96" xr:uid="{00000000-0002-0000-0000-000004000000}">
      <formula1>DATE(2020,1,1)</formula1>
      <formula2>0</formula2>
    </dataValidation>
    <dataValidation type="list" allowBlank="1" sqref="D2:D96" xr:uid="{00000000-0002-0000-0000-000005000000}">
      <formula1>Lista_Cargo</formula1>
      <formula2>0</formula2>
    </dataValidation>
    <dataValidation type="custom" allowBlank="1" showInputMessage="1" showErrorMessage="1" errorTitle="Valor no permitido" error="Ingresa una nota entre 1 y 5 o la letra D para indicar que desiste." promptTitle="Nota o desistimiento" prompt="Valores permitidos: 1 a 5, o D si la persona desiste." sqref="J2:O500" xr:uid="{6BA1304F-4696-4C4B-B108-5B92A41EAAF0}">
      <formula1>OR(J2="",UPPER(J2&amp;"")="D",AND(ISNUMBER(J2),J2&gt;=1,J2&lt;=5))</formula1>
    </dataValidation>
  </dataValidations>
  <hyperlinks>
    <hyperlink ref="G12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565C0"/>
  </sheetPr>
  <dimension ref="A1:D1000"/>
  <sheetViews>
    <sheetView zoomScaleNormal="100" workbookViewId="0">
      <selection activeCell="B24" sqref="B24"/>
    </sheetView>
  </sheetViews>
  <sheetFormatPr baseColWidth="10" defaultColWidth="14.42578125" defaultRowHeight="15"/>
  <cols>
    <col min="1" max="1" width="28" customWidth="1"/>
    <col min="2" max="4" width="16" customWidth="1"/>
    <col min="5" max="26" width="8.5703125" customWidth="1"/>
  </cols>
  <sheetData>
    <row r="1" spans="1:4" ht="15.75" customHeight="1">
      <c r="A1" s="83" t="s">
        <v>98</v>
      </c>
      <c r="B1" s="83"/>
      <c r="C1" s="83"/>
      <c r="D1" s="83"/>
    </row>
    <row r="2" spans="1:4" ht="14.25" customHeight="1"/>
    <row r="3" spans="1:4" ht="15" customHeight="1">
      <c r="A3" s="32" t="s">
        <v>99</v>
      </c>
      <c r="B3" s="33">
        <f>COUNT(Registro!A2:A96)</f>
        <v>34</v>
      </c>
    </row>
    <row r="4" spans="1:4" ht="15" customHeight="1">
      <c r="A4" s="32" t="s">
        <v>100</v>
      </c>
      <c r="B4" s="33">
        <f>COUNTIF(Registro!Q2:Q96,"Aprueba")</f>
        <v>13</v>
      </c>
    </row>
    <row r="5" spans="1:4" ht="15" customHeight="1">
      <c r="A5" s="32" t="s">
        <v>101</v>
      </c>
      <c r="B5" s="33">
        <f>COUNTIF(Registro!Q2:Q96,"No aprueba")</f>
        <v>21</v>
      </c>
    </row>
    <row r="6" spans="1:4" ht="15" customHeight="1">
      <c r="A6" s="32" t="s">
        <v>102</v>
      </c>
      <c r="B6" s="34">
        <f>IFERROR(B4/B3,"")</f>
        <v>0.38235294117647056</v>
      </c>
    </row>
    <row r="7" spans="1:4" ht="15" customHeight="1">
      <c r="A7" s="32" t="s">
        <v>103</v>
      </c>
      <c r="B7" s="35" t="str">
        <f>IFERROR(AVERAGE(Registro!P2:P96),"")</f>
        <v/>
      </c>
    </row>
    <row r="8" spans="1:4" ht="15" customHeight="1">
      <c r="A8" s="32" t="s">
        <v>104</v>
      </c>
      <c r="B8" s="33" t="e">
        <f>COUNTIF(Registro!#REF!,"Retirado")</f>
        <v>#REF!</v>
      </c>
    </row>
    <row r="9" spans="1:4" ht="15" customHeight="1">
      <c r="A9" s="32" t="s">
        <v>105</v>
      </c>
      <c r="B9" s="33" t="e">
        <f>COUNTIF(Registro!#REF!,"En formación")</f>
        <v>#REF!</v>
      </c>
    </row>
    <row r="10" spans="1:4" ht="14.25" customHeight="1"/>
    <row r="11" spans="1:4" ht="14.25" customHeight="1"/>
    <row r="12" spans="1:4" ht="15" customHeight="1">
      <c r="A12" s="36" t="s">
        <v>106</v>
      </c>
    </row>
    <row r="13" spans="1:4" ht="15" customHeight="1">
      <c r="A13" s="37" t="s">
        <v>107</v>
      </c>
      <c r="B13" s="37" t="s">
        <v>108</v>
      </c>
      <c r="C13" s="37" t="s">
        <v>109</v>
      </c>
      <c r="D13" s="37" t="s">
        <v>110</v>
      </c>
    </row>
    <row r="14" spans="1:4" ht="15" customHeight="1">
      <c r="A14" s="38" t="s">
        <v>75</v>
      </c>
      <c r="B14" s="38">
        <f>COUNTIF(Registro!$B$2:$B$96,A14)</f>
        <v>10</v>
      </c>
      <c r="C14" s="38">
        <f>COUNTIFS(Registro!$B$2:$B$96,A14,Registro!$Q$2:$Q$96,"Aprueba")</f>
        <v>0</v>
      </c>
      <c r="D14" s="39">
        <f>IFERROR(C14/B14,"")</f>
        <v>0</v>
      </c>
    </row>
    <row r="15" spans="1:4" ht="15" customHeight="1">
      <c r="A15" s="38" t="s">
        <v>111</v>
      </c>
      <c r="B15" s="38">
        <f>COUNTIF(Registro!$B$2:$B$96,A15)</f>
        <v>0</v>
      </c>
      <c r="C15" s="38">
        <f>COUNTIFS(Registro!$B$2:$B$96,A15,Registro!$Q$2:$Q$96,"Aprueba")</f>
        <v>0</v>
      </c>
      <c r="D15" s="39" t="str">
        <f>IFERROR(C15/B15,"")</f>
        <v/>
      </c>
    </row>
    <row r="16" spans="1:4" ht="15" customHeight="1">
      <c r="A16" s="38" t="s">
        <v>19</v>
      </c>
      <c r="B16" s="38">
        <f>COUNTIF(Registro!$B$2:$B$96,A16)</f>
        <v>24</v>
      </c>
      <c r="C16" s="38">
        <f>COUNTIFS(Registro!$B$2:$B$96,A16,Registro!$Q$2:$Q$96,"Aprueba")</f>
        <v>13</v>
      </c>
      <c r="D16" s="39">
        <f>IFERROR(C16/B16,"")</f>
        <v>0.54166666666666663</v>
      </c>
    </row>
    <row r="17" spans="1:4" ht="15" customHeight="1">
      <c r="A17" s="38"/>
      <c r="B17" s="38">
        <f>COUNTIF(Registro!$B$2:$B$96,A17)</f>
        <v>0</v>
      </c>
      <c r="C17" s="38">
        <f>COUNTIFS(Registro!$B$2:$B$96,A17,Registro!$Q$2:$Q$96,"Aprueba")</f>
        <v>0</v>
      </c>
      <c r="D17" s="39" t="str">
        <f>IFERROR(C17/B17,"")</f>
        <v/>
      </c>
    </row>
    <row r="18" spans="1:4" ht="15" customHeight="1">
      <c r="A18" s="38"/>
      <c r="B18" s="38">
        <f>COUNTIF(Registro!$B$2:$B$96,A18)</f>
        <v>0</v>
      </c>
      <c r="C18" s="38">
        <f>COUNTIFS(Registro!$B$2:$B$96,A18,Registro!$Q$2:$Q$96,"Aprueba")</f>
        <v>0</v>
      </c>
      <c r="D18" s="39" t="str">
        <f>IFERROR(C18/B18,"")</f>
        <v/>
      </c>
    </row>
    <row r="19" spans="1:4" ht="14.25" customHeight="1"/>
    <row r="20" spans="1:4" ht="14.25" customHeight="1"/>
    <row r="21" spans="1:4" ht="15" customHeight="1">
      <c r="A21" s="36" t="s">
        <v>112</v>
      </c>
    </row>
    <row r="22" spans="1:4" ht="15" customHeight="1">
      <c r="A22" s="37" t="s">
        <v>113</v>
      </c>
      <c r="B22" s="37" t="s">
        <v>108</v>
      </c>
      <c r="C22" s="37" t="s">
        <v>109</v>
      </c>
      <c r="D22" s="37" t="s">
        <v>114</v>
      </c>
    </row>
    <row r="23" spans="1:4" ht="15" customHeight="1">
      <c r="A23" s="38" t="s">
        <v>78</v>
      </c>
      <c r="B23" s="38">
        <f>COUNTIF(Registro!$I$2:$I$96,A23)</f>
        <v>10</v>
      </c>
      <c r="C23" s="38">
        <f>COUNTIFS(Registro!$I$2:$I$96,A23,Registro!$Q$2:$Q$96,"Aprueba")</f>
        <v>0</v>
      </c>
      <c r="D23" s="40" t="str">
        <f>IFERROR(AVERAGEIF(Registro!$I$2:$I$96,A23,Registro!$P$2:$P$96),"")</f>
        <v/>
      </c>
    </row>
    <row r="24" spans="1:4" ht="15" customHeight="1">
      <c r="A24" s="38" t="s">
        <v>115</v>
      </c>
      <c r="B24" s="38">
        <f>COUNTIF(Registro!$I$2:$I$96,A24)</f>
        <v>0</v>
      </c>
      <c r="C24" s="38">
        <f>COUNTIFS(Registro!$I$2:$I$96,A24,Registro!$Q$2:$Q$96,"Aprueba")</f>
        <v>0</v>
      </c>
      <c r="D24" s="40" t="str">
        <f>IFERROR(AVERAGEIF(Registro!$I$2:$I$96,A24,Registro!$P$2:$P$96),"")</f>
        <v/>
      </c>
    </row>
    <row r="25" spans="1:4" ht="15" customHeight="1">
      <c r="A25" s="38" t="s">
        <v>116</v>
      </c>
      <c r="B25" s="38">
        <f>COUNTIF(Registro!$I$2:$I$96,A25)</f>
        <v>0</v>
      </c>
      <c r="C25" s="38">
        <f>COUNTIFS(Registro!$I$2:$I$96,A25,Registro!$Q$2:$Q$96,"Aprueba")</f>
        <v>0</v>
      </c>
      <c r="D25" s="40" t="str">
        <f>IFERROR(AVERAGEIF(Registro!$I$2:$I$96,A25,Registro!$P$2:$P$96),"")</f>
        <v/>
      </c>
    </row>
    <row r="26" spans="1:4" ht="14.25" customHeight="1">
      <c r="A26" t="s">
        <v>117</v>
      </c>
      <c r="B26" s="38">
        <f>COUNTIF(Registro!$I$2:$I$96,A26)</f>
        <v>0</v>
      </c>
      <c r="C26" s="38">
        <f>COUNTIFS(Registro!$I$2:$I$96,A26,Registro!$Q$2:$Q$96,"Aprueba")</f>
        <v>0</v>
      </c>
    </row>
    <row r="27" spans="1:4" ht="14.25" customHeight="1"/>
    <row r="28" spans="1:4" ht="14.25" customHeight="1"/>
    <row r="29" spans="1:4" ht="14.25" customHeight="1"/>
    <row r="30" spans="1:4" ht="14.25" customHeight="1"/>
    <row r="31" spans="1:4" ht="14.25" customHeight="1"/>
    <row r="32" spans="1: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zoomScaleNormal="100" workbookViewId="0">
      <selection activeCell="K11" sqref="K11"/>
    </sheetView>
  </sheetViews>
  <sheetFormatPr baseColWidth="10" defaultColWidth="8.7109375" defaultRowHeight="15"/>
  <cols>
    <col min="1" max="1" width="26" customWidth="1"/>
    <col min="2" max="2" width="15" customWidth="1"/>
    <col min="3" max="3" width="13" customWidth="1"/>
    <col min="4" max="4" width="15" customWidth="1"/>
    <col min="5" max="6" width="13" customWidth="1"/>
  </cols>
  <sheetData>
    <row r="1" spans="1:6" ht="15.75" customHeight="1">
      <c r="A1" s="41" t="s">
        <v>123</v>
      </c>
    </row>
    <row r="3" spans="1:6" ht="15" customHeight="1">
      <c r="A3" s="42" t="s">
        <v>124</v>
      </c>
      <c r="B3" t="e">
        <f>SUMPRODUCT(--(#REF!&lt;&gt;""))</f>
        <v>#REF!</v>
      </c>
    </row>
    <row r="4" spans="1:6" ht="15" customHeight="1">
      <c r="A4" s="42" t="s">
        <v>125</v>
      </c>
      <c r="B4" s="43" t="str">
        <f>IFERROR(AVERAGE(#REF!),"")</f>
        <v/>
      </c>
    </row>
    <row r="5" spans="1:6" ht="15" customHeight="1">
      <c r="A5" s="42" t="s">
        <v>126</v>
      </c>
      <c r="B5" t="str">
        <f>IFERROR(MAX(#REF!),"")</f>
        <v/>
      </c>
    </row>
    <row r="6" spans="1:6" ht="15" customHeight="1">
      <c r="A6" s="42" t="s">
        <v>127</v>
      </c>
      <c r="B6" t="str">
        <f>IFERROR(MIN(#REF!),"")</f>
        <v/>
      </c>
    </row>
    <row r="9" spans="1:6" ht="15" customHeight="1">
      <c r="A9" s="42" t="s">
        <v>128</v>
      </c>
    </row>
    <row r="10" spans="1:6" ht="15" customHeight="1">
      <c r="A10" s="44" t="s">
        <v>107</v>
      </c>
      <c r="B10" s="44" t="s">
        <v>109</v>
      </c>
      <c r="C10" s="44" t="s">
        <v>129</v>
      </c>
      <c r="D10" s="44" t="s">
        <v>114</v>
      </c>
      <c r="E10" s="44" t="s">
        <v>130</v>
      </c>
      <c r="F10" s="44" t="s">
        <v>131</v>
      </c>
    </row>
    <row r="11" spans="1:6" ht="15" customHeight="1">
      <c r="A11" s="45" t="s">
        <v>75</v>
      </c>
      <c r="B11" t="e">
        <f>COUNTIF(#REF!,A11)</f>
        <v>#REF!</v>
      </c>
      <c r="C11" s="46" t="str">
        <f>IFERROR(B11/$B$3,"")</f>
        <v/>
      </c>
      <c r="D11" s="43" t="str">
        <f>IFERROR(AVERAGEIF(#REF!,A11,#REF!),"")</f>
        <v/>
      </c>
      <c r="E11" t="str">
        <f>IFERROR(_xlfn.MINIFS(#REF!,#REF!,A11),"")</f>
        <v/>
      </c>
      <c r="F11" t="str">
        <f>IFERROR(_xlfn.MAXIFS(#REF!,#REF!,A11),"")</f>
        <v/>
      </c>
    </row>
    <row r="12" spans="1:6" ht="15" customHeight="1">
      <c r="A12" s="45" t="s">
        <v>111</v>
      </c>
      <c r="B12" t="e">
        <f>COUNTIF(#REF!,A12)</f>
        <v>#REF!</v>
      </c>
      <c r="C12" s="46" t="str">
        <f>IFERROR(B12/$B$3,"")</f>
        <v/>
      </c>
      <c r="D12" s="43" t="str">
        <f>IFERROR(AVERAGEIF(#REF!,A12,#REF!),"")</f>
        <v/>
      </c>
      <c r="E12" t="str">
        <f>IFERROR(_xlfn.MINIFS(#REF!,#REF!,A12),"")</f>
        <v/>
      </c>
      <c r="F12" t="str">
        <f>IFERROR(_xlfn.MAXIFS(#REF!,#REF!,A12),"")</f>
        <v/>
      </c>
    </row>
    <row r="13" spans="1:6" ht="15" customHeight="1">
      <c r="A13" s="45" t="s">
        <v>19</v>
      </c>
      <c r="B13" t="e">
        <f>COUNTIF(#REF!,A13)</f>
        <v>#REF!</v>
      </c>
      <c r="C13" s="46" t="str">
        <f>IFERROR(B13/$B$3,"")</f>
        <v/>
      </c>
      <c r="D13" s="43" t="str">
        <f>IFERROR(AVERAGEIF(#REF!,A13,#REF!),"")</f>
        <v/>
      </c>
      <c r="E13" t="str">
        <f>IFERROR(_xlfn.MINIFS(#REF!,#REF!,A13),"")</f>
        <v/>
      </c>
      <c r="F13" t="str">
        <f>IFERROR(_xlfn.MAXIFS(#REF!,#REF!,A13),"")</f>
        <v/>
      </c>
    </row>
    <row r="14" spans="1:6" ht="15" customHeight="1">
      <c r="A14" s="45" t="s">
        <v>132</v>
      </c>
      <c r="B14" t="e">
        <f>COUNTIF(#REF!,A14)</f>
        <v>#REF!</v>
      </c>
      <c r="C14" s="46" t="str">
        <f>IFERROR(B14/$B$3,"")</f>
        <v/>
      </c>
      <c r="D14" s="43" t="str">
        <f>IFERROR(AVERAGEIF(#REF!,A14,#REF!),"")</f>
        <v/>
      </c>
      <c r="E14" t="str">
        <f>IFERROR(_xlfn.MINIFS(#REF!,#REF!,A14),"")</f>
        <v/>
      </c>
      <c r="F14" t="str">
        <f>IFERROR(_xlfn.MAXIFS(#REF!,#REF!,A14),"")</f>
        <v/>
      </c>
    </row>
    <row r="15" spans="1:6" ht="15" customHeight="1">
      <c r="A15" s="44" t="s">
        <v>133</v>
      </c>
      <c r="B15" s="47" t="e">
        <f>SUM(B11:B14)</f>
        <v>#REF!</v>
      </c>
      <c r="C15" s="48" t="str">
        <f>IFERROR(B15/$B$3,"")</f>
        <v/>
      </c>
      <c r="D15" s="49" t="str">
        <f>IFERROR(AVERAGE(#REF!),"")</f>
        <v/>
      </c>
      <c r="E15" s="47" t="str">
        <f>IFERROR(MIN(#REF!),"")</f>
        <v/>
      </c>
      <c r="F15" s="47" t="str">
        <f>IFERROR(MAX(#REF!),"")</f>
        <v/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255E6-2483-4D2A-8D5E-1136D09CBEC8}">
  <dimension ref="A1:K184"/>
  <sheetViews>
    <sheetView tabSelected="1" workbookViewId="0">
      <selection activeCell="F2" sqref="A2:XFD6"/>
    </sheetView>
  </sheetViews>
  <sheetFormatPr baseColWidth="10" defaultColWidth="9.85546875" defaultRowHeight="14.25"/>
  <cols>
    <col min="1" max="1" width="5.7109375" style="64" customWidth="1"/>
    <col min="2" max="2" width="17.140625" style="64" customWidth="1"/>
    <col min="3" max="3" width="29.7109375" style="64" customWidth="1"/>
    <col min="4" max="4" width="18.28515625" style="64" customWidth="1"/>
    <col min="5" max="5" width="22.85546875" style="64" customWidth="1"/>
    <col min="6" max="6" width="18.28515625" style="64" customWidth="1"/>
    <col min="7" max="7" width="16" style="64" customWidth="1"/>
    <col min="8" max="9" width="13.7109375" style="64" customWidth="1"/>
    <col min="10" max="10" width="32" style="64" customWidth="1"/>
    <col min="11" max="11" width="29.7109375" style="64" customWidth="1"/>
    <col min="12" max="16384" width="9.85546875" style="64"/>
  </cols>
  <sheetData>
    <row r="1" spans="1:11" ht="24" customHeight="1">
      <c r="A1" s="65" t="s">
        <v>118</v>
      </c>
      <c r="B1" s="65" t="s">
        <v>4</v>
      </c>
      <c r="C1" s="65" t="s">
        <v>5</v>
      </c>
      <c r="D1" s="65" t="s">
        <v>1</v>
      </c>
      <c r="E1" s="65" t="s">
        <v>184</v>
      </c>
      <c r="F1" s="65" t="s">
        <v>119</v>
      </c>
      <c r="G1" s="65" t="s">
        <v>120</v>
      </c>
      <c r="H1" s="65" t="s">
        <v>121</v>
      </c>
      <c r="I1" s="65" t="s">
        <v>176</v>
      </c>
      <c r="J1" s="65" t="s">
        <v>122</v>
      </c>
      <c r="K1" s="65" t="s">
        <v>17</v>
      </c>
    </row>
    <row r="2" spans="1:11" ht="13.35" customHeight="1">
      <c r="A2" s="84">
        <f>IFERROR(IF(INDEX(Registro!$E$2:$E$100,MATCH(1,Registro!$T$2:$T$100,0))="","",1),"")</f>
        <v>1</v>
      </c>
      <c r="B2" s="85">
        <f>IFERROR(INDEX(Registro!$E$2:$E$100,MATCH(1,Registro!$T$2:$T$100,0)),"")</f>
        <v>1193156026</v>
      </c>
      <c r="C2" s="85" t="str">
        <f>IFERROR(INDEX(Registro!$F$2:$F$100,MATCH(1,Registro!$T$2:$T$100,0)),"")</f>
        <v>Sara Isabel Molina Sánchez</v>
      </c>
      <c r="D2" s="85" t="str">
        <f>IFERROR(INDEX(Registro!$B$2:$B$100,MATCH(1,Registro!$T$2:$T$100,0)),"")</f>
        <v>Posgrados</v>
      </c>
      <c r="E2" s="90">
        <f>IFERROR(INDEX(Registro!$P$2:$P$100,MATCH(1,Registro!$T$2:$T$100,0)),"")</f>
        <v>72</v>
      </c>
      <c r="F2" s="66">
        <v>1</v>
      </c>
      <c r="G2" s="68"/>
      <c r="H2" s="69"/>
      <c r="I2" s="66"/>
      <c r="J2" s="69"/>
      <c r="K2" s="67"/>
    </row>
    <row r="3" spans="1:11" ht="13.35" customHeight="1">
      <c r="A3" s="84"/>
      <c r="B3" s="86"/>
      <c r="C3" s="85"/>
      <c r="D3" s="85"/>
      <c r="E3" s="90"/>
      <c r="F3" s="66">
        <v>2</v>
      </c>
      <c r="G3" s="68"/>
      <c r="H3" s="69"/>
      <c r="I3" s="66"/>
      <c r="J3" s="69"/>
      <c r="K3" s="67"/>
    </row>
    <row r="4" spans="1:11" ht="13.35" customHeight="1">
      <c r="A4" s="84"/>
      <c r="B4" s="86"/>
      <c r="C4" s="85"/>
      <c r="D4" s="85"/>
      <c r="E4" s="90"/>
      <c r="F4" s="66">
        <v>3</v>
      </c>
      <c r="G4" s="68"/>
      <c r="H4" s="69"/>
      <c r="I4" s="66"/>
      <c r="J4" s="69"/>
      <c r="K4" s="67"/>
    </row>
    <row r="5" spans="1:11" ht="13.35" customHeight="1">
      <c r="A5" s="84"/>
      <c r="B5" s="86"/>
      <c r="C5" s="85"/>
      <c r="D5" s="85"/>
      <c r="E5" s="90"/>
      <c r="F5" s="66">
        <v>4</v>
      </c>
      <c r="G5" s="68"/>
      <c r="H5" s="69"/>
      <c r="I5" s="66"/>
      <c r="J5" s="69"/>
      <c r="K5" s="67"/>
    </row>
    <row r="6" spans="1:11" ht="13.35" customHeight="1">
      <c r="A6" s="84"/>
      <c r="B6" s="86"/>
      <c r="C6" s="85"/>
      <c r="D6" s="85"/>
      <c r="E6" s="90"/>
      <c r="F6" s="66">
        <v>5</v>
      </c>
      <c r="G6" s="68"/>
      <c r="H6" s="69"/>
      <c r="I6" s="66"/>
      <c r="J6" s="69"/>
      <c r="K6" s="67"/>
    </row>
    <row r="7" spans="1:11" ht="13.35" customHeight="1">
      <c r="A7" s="87">
        <f>IFERROR(IF(INDEX(Registro!$E$2:$E$100,MATCH(2,Registro!$T$2:$T$100,0))="","",2),"")</f>
        <v>2</v>
      </c>
      <c r="B7" s="88">
        <f>IFERROR(INDEX(Registro!$E$2:$E$100,MATCH(2,Registro!$T$2:$T$100,0)),"")</f>
        <v>1016001652</v>
      </c>
      <c r="C7" s="88" t="str">
        <f>IFERROR(INDEX(Registro!$F$2:$F$100,MATCH(2,Registro!$T$2:$T$100,0)),"")</f>
        <v>Helen Sofia Calderon Camelo</v>
      </c>
      <c r="D7" s="88" t="str">
        <f>IFERROR(INDEX(Registro!$B$2:$B$100,MATCH(2,Registro!$T$2:$T$100,0)),"")</f>
        <v>Posgrados</v>
      </c>
      <c r="E7" s="91">
        <f>IFERROR(INDEX(Registro!$P$2:$P$100,MATCH(2,Registro!$T$2:$T$100,0)),"")</f>
        <v>70</v>
      </c>
      <c r="F7" s="70">
        <v>1</v>
      </c>
      <c r="G7" s="72"/>
      <c r="H7" s="73"/>
      <c r="I7" s="70"/>
      <c r="J7" s="73"/>
      <c r="K7" s="71"/>
    </row>
    <row r="8" spans="1:11" ht="13.35" customHeight="1">
      <c r="A8" s="87"/>
      <c r="B8" s="89"/>
      <c r="C8" s="88"/>
      <c r="D8" s="88"/>
      <c r="E8" s="91"/>
      <c r="F8" s="70">
        <v>2</v>
      </c>
      <c r="G8" s="72"/>
      <c r="H8" s="73"/>
      <c r="I8" s="70"/>
      <c r="J8" s="73"/>
      <c r="K8" s="71"/>
    </row>
    <row r="9" spans="1:11" ht="13.35" customHeight="1">
      <c r="A9" s="87"/>
      <c r="B9" s="89"/>
      <c r="C9" s="88"/>
      <c r="D9" s="88"/>
      <c r="E9" s="91"/>
      <c r="F9" s="70">
        <v>3</v>
      </c>
      <c r="G9" s="72"/>
      <c r="H9" s="73"/>
      <c r="I9" s="70"/>
      <c r="J9" s="73"/>
      <c r="K9" s="71"/>
    </row>
    <row r="10" spans="1:11" ht="13.35" customHeight="1">
      <c r="A10" s="87"/>
      <c r="B10" s="89"/>
      <c r="C10" s="88"/>
      <c r="D10" s="88"/>
      <c r="E10" s="91"/>
      <c r="F10" s="70">
        <v>4</v>
      </c>
      <c r="G10" s="72"/>
      <c r="H10" s="73"/>
      <c r="I10" s="70"/>
      <c r="J10" s="73"/>
      <c r="K10" s="71"/>
    </row>
    <row r="11" spans="1:11" ht="13.35" customHeight="1">
      <c r="A11" s="87"/>
      <c r="B11" s="89"/>
      <c r="C11" s="88"/>
      <c r="D11" s="88"/>
      <c r="E11" s="91"/>
      <c r="F11" s="70">
        <v>5</v>
      </c>
      <c r="G11" s="72"/>
      <c r="H11" s="73"/>
      <c r="I11" s="70"/>
      <c r="J11" s="73"/>
      <c r="K11" s="71"/>
    </row>
    <row r="12" spans="1:11" ht="13.35" customHeight="1">
      <c r="A12" s="84">
        <f>IFERROR(IF(INDEX(Registro!$E$2:$E$100,MATCH(3,Registro!$T$2:$T$100,0))="","",3),"")</f>
        <v>3</v>
      </c>
      <c r="B12" s="85">
        <f>IFERROR(INDEX(Registro!$E$2:$E$100,MATCH(3,Registro!$T$2:$T$100,0)),"")</f>
        <v>1001314657</v>
      </c>
      <c r="C12" s="85" t="str">
        <f>IFERROR(INDEX(Registro!$F$2:$F$100,MATCH(3,Registro!$T$2:$T$100,0)),"")</f>
        <v>Thomas Bernardo Fernandez Laverde</v>
      </c>
      <c r="D12" s="85" t="str">
        <f>IFERROR(INDEX(Registro!$B$2:$B$100,MATCH(3,Registro!$T$2:$T$100,0)),"")</f>
        <v>Posgrados</v>
      </c>
      <c r="E12" s="90">
        <f>IFERROR(INDEX(Registro!$P$2:$P$100,MATCH(3,Registro!$T$2:$T$100,0)),"")</f>
        <v>72</v>
      </c>
      <c r="F12" s="66">
        <v>1</v>
      </c>
      <c r="G12" s="68"/>
      <c r="H12" s="69"/>
      <c r="I12" s="66"/>
      <c r="J12" s="69"/>
      <c r="K12" s="67"/>
    </row>
    <row r="13" spans="1:11" ht="13.35" customHeight="1">
      <c r="A13" s="84"/>
      <c r="B13" s="86"/>
      <c r="C13" s="85"/>
      <c r="D13" s="85"/>
      <c r="E13" s="90"/>
      <c r="F13" s="66">
        <v>2</v>
      </c>
      <c r="G13" s="68"/>
      <c r="H13" s="69"/>
      <c r="I13" s="66"/>
      <c r="J13" s="69"/>
      <c r="K13" s="67"/>
    </row>
    <row r="14" spans="1:11" ht="13.35" customHeight="1">
      <c r="A14" s="84"/>
      <c r="B14" s="86"/>
      <c r="C14" s="85"/>
      <c r="D14" s="85"/>
      <c r="E14" s="90"/>
      <c r="F14" s="66">
        <v>3</v>
      </c>
      <c r="G14" s="68"/>
      <c r="H14" s="69"/>
      <c r="I14" s="66"/>
      <c r="J14" s="69"/>
      <c r="K14" s="67"/>
    </row>
    <row r="15" spans="1:11" ht="13.35" customHeight="1">
      <c r="A15" s="84"/>
      <c r="B15" s="86"/>
      <c r="C15" s="85"/>
      <c r="D15" s="85"/>
      <c r="E15" s="90"/>
      <c r="F15" s="66">
        <v>4</v>
      </c>
      <c r="G15" s="68"/>
      <c r="H15" s="69"/>
      <c r="I15" s="66"/>
      <c r="J15" s="69"/>
      <c r="K15" s="67"/>
    </row>
    <row r="16" spans="1:11" ht="13.35" customHeight="1">
      <c r="A16" s="84"/>
      <c r="B16" s="86"/>
      <c r="C16" s="85"/>
      <c r="D16" s="85"/>
      <c r="E16" s="90"/>
      <c r="F16" s="66">
        <v>5</v>
      </c>
      <c r="G16" s="68"/>
      <c r="H16" s="69"/>
      <c r="I16" s="66"/>
      <c r="J16" s="69"/>
      <c r="K16" s="67"/>
    </row>
    <row r="17" spans="1:11" ht="13.35" customHeight="1">
      <c r="A17" s="87">
        <f>IFERROR(IF(INDEX(Registro!$E$2:$E$100,MATCH(4,Registro!$T$2:$T$100,0))="","",4),"")</f>
        <v>4</v>
      </c>
      <c r="B17" s="88">
        <f>IFERROR(INDEX(Registro!$E$2:$E$100,MATCH(4,Registro!$T$2:$T$100,0)),"")</f>
        <v>1033096735</v>
      </c>
      <c r="C17" s="88" t="str">
        <f>IFERROR(INDEX(Registro!$F$2:$F$100,MATCH(4,Registro!$T$2:$T$100,0)),"")</f>
        <v>Pablo Steven Ochoa Rodriguez</v>
      </c>
      <c r="D17" s="88" t="str">
        <f>IFERROR(INDEX(Registro!$B$2:$B$100,MATCH(4,Registro!$T$2:$T$100,0)),"")</f>
        <v>Posgrados</v>
      </c>
      <c r="E17" s="91">
        <f>IFERROR(INDEX(Registro!$P$2:$P$100,MATCH(4,Registro!$T$2:$T$100,0)),"")</f>
        <v>81</v>
      </c>
      <c r="F17" s="70">
        <v>1</v>
      </c>
      <c r="G17" s="72"/>
      <c r="H17" s="73"/>
      <c r="I17" s="70"/>
      <c r="J17" s="73"/>
      <c r="K17" s="71"/>
    </row>
    <row r="18" spans="1:11" ht="13.35" customHeight="1">
      <c r="A18" s="87"/>
      <c r="B18" s="89"/>
      <c r="C18" s="88"/>
      <c r="D18" s="88"/>
      <c r="E18" s="91"/>
      <c r="F18" s="70">
        <v>2</v>
      </c>
      <c r="G18" s="72"/>
      <c r="H18" s="73"/>
      <c r="I18" s="70"/>
      <c r="J18" s="73"/>
      <c r="K18" s="71"/>
    </row>
    <row r="19" spans="1:11" ht="13.35" customHeight="1">
      <c r="A19" s="87"/>
      <c r="B19" s="89"/>
      <c r="C19" s="88"/>
      <c r="D19" s="88"/>
      <c r="E19" s="91"/>
      <c r="F19" s="70">
        <v>3</v>
      </c>
      <c r="G19" s="72"/>
      <c r="H19" s="73"/>
      <c r="I19" s="70"/>
      <c r="J19" s="73"/>
      <c r="K19" s="71"/>
    </row>
    <row r="20" spans="1:11" ht="13.35" customHeight="1">
      <c r="A20" s="87"/>
      <c r="B20" s="89"/>
      <c r="C20" s="88"/>
      <c r="D20" s="88"/>
      <c r="E20" s="91"/>
      <c r="F20" s="70">
        <v>4</v>
      </c>
      <c r="G20" s="72"/>
      <c r="H20" s="73"/>
      <c r="I20" s="70"/>
      <c r="J20" s="73"/>
      <c r="K20" s="71"/>
    </row>
    <row r="21" spans="1:11" ht="13.35" customHeight="1">
      <c r="A21" s="87"/>
      <c r="B21" s="89"/>
      <c r="C21" s="88"/>
      <c r="D21" s="88"/>
      <c r="E21" s="91"/>
      <c r="F21" s="70">
        <v>5</v>
      </c>
      <c r="G21" s="72"/>
      <c r="H21" s="73"/>
      <c r="I21" s="70"/>
      <c r="J21" s="73"/>
      <c r="K21" s="71"/>
    </row>
    <row r="22" spans="1:11" ht="13.35" customHeight="1">
      <c r="A22" s="84">
        <f>IFERROR(IF(INDEX(Registro!$E$2:$E$100,MATCH(5,Registro!$T$2:$T$100,0))="","",5),"")</f>
        <v>5</v>
      </c>
      <c r="B22" s="85">
        <f>IFERROR(INDEX(Registro!$E$2:$E$100,MATCH(5,Registro!$T$2:$T$100,0)),"")</f>
        <v>1004961429</v>
      </c>
      <c r="C22" s="85" t="str">
        <f>IFERROR(INDEX(Registro!$F$2:$F$100,MATCH(5,Registro!$T$2:$T$100,0)),"")</f>
        <v>Jhon Stiven Marin Valencia</v>
      </c>
      <c r="D22" s="85" t="str">
        <f>IFERROR(INDEX(Registro!$B$2:$B$100,MATCH(5,Registro!$T$2:$T$100,0)),"")</f>
        <v>Posgrados</v>
      </c>
      <c r="E22" s="90">
        <f>IFERROR(INDEX(Registro!$P$2:$P$100,MATCH(5,Registro!$T$2:$T$100,0)),"")</f>
        <v>73</v>
      </c>
      <c r="F22" s="66">
        <v>1</v>
      </c>
      <c r="G22" s="68"/>
      <c r="H22" s="69"/>
      <c r="I22" s="66"/>
      <c r="J22" s="69"/>
      <c r="K22" s="67"/>
    </row>
    <row r="23" spans="1:11" ht="13.35" customHeight="1">
      <c r="A23" s="84"/>
      <c r="B23" s="86"/>
      <c r="C23" s="85"/>
      <c r="D23" s="85"/>
      <c r="E23" s="90"/>
      <c r="F23" s="66">
        <v>2</v>
      </c>
      <c r="G23" s="68"/>
      <c r="H23" s="69"/>
      <c r="I23" s="66"/>
      <c r="J23" s="69"/>
      <c r="K23" s="67"/>
    </row>
    <row r="24" spans="1:11" ht="13.35" customHeight="1">
      <c r="A24" s="84"/>
      <c r="B24" s="86"/>
      <c r="C24" s="85"/>
      <c r="D24" s="85"/>
      <c r="E24" s="90"/>
      <c r="F24" s="66">
        <v>3</v>
      </c>
      <c r="G24" s="68"/>
      <c r="H24" s="69"/>
      <c r="I24" s="66"/>
      <c r="J24" s="69"/>
      <c r="K24" s="67"/>
    </row>
    <row r="25" spans="1:11" ht="13.35" customHeight="1">
      <c r="A25" s="84"/>
      <c r="B25" s="86"/>
      <c r="C25" s="85"/>
      <c r="D25" s="85"/>
      <c r="E25" s="90"/>
      <c r="F25" s="66">
        <v>4</v>
      </c>
      <c r="G25" s="68"/>
      <c r="H25" s="69"/>
      <c r="I25" s="66"/>
      <c r="J25" s="69"/>
      <c r="K25" s="67"/>
    </row>
    <row r="26" spans="1:11" ht="13.35" customHeight="1">
      <c r="A26" s="84"/>
      <c r="B26" s="86"/>
      <c r="C26" s="85"/>
      <c r="D26" s="85"/>
      <c r="E26" s="90"/>
      <c r="F26" s="66">
        <v>5</v>
      </c>
      <c r="G26" s="68"/>
      <c r="H26" s="69"/>
      <c r="I26" s="66"/>
      <c r="J26" s="69"/>
      <c r="K26" s="67"/>
    </row>
    <row r="27" spans="1:11" ht="13.35" customHeight="1">
      <c r="A27" s="87">
        <f>IFERROR(IF(INDEX(Registro!$E$2:$E$100,MATCH(6,Registro!$T$2:$T$100,0))="","",6),"")</f>
        <v>6</v>
      </c>
      <c r="B27" s="88">
        <f>IFERROR(INDEX(Registro!$E$2:$E$100,MATCH(6,Registro!$T$2:$T$100,0)),"")</f>
        <v>53121281</v>
      </c>
      <c r="C27" s="88" t="str">
        <f>IFERROR(INDEX(Registro!$F$2:$F$100,MATCH(6,Registro!$T$2:$T$100,0)),"")</f>
        <v>Yulieth Paola Rodriguez Cañon</v>
      </c>
      <c r="D27" s="88" t="str">
        <f>IFERROR(INDEX(Registro!$B$2:$B$100,MATCH(6,Registro!$T$2:$T$100,0)),"")</f>
        <v>Posgrados</v>
      </c>
      <c r="E27" s="91">
        <f>IFERROR(INDEX(Registro!$P$2:$P$100,MATCH(6,Registro!$T$2:$T$100,0)),"")</f>
        <v>78</v>
      </c>
      <c r="F27" s="70">
        <v>1</v>
      </c>
      <c r="G27" s="72"/>
      <c r="H27" s="73"/>
      <c r="I27" s="70"/>
      <c r="J27" s="73"/>
      <c r="K27" s="71"/>
    </row>
    <row r="28" spans="1:11" ht="13.35" customHeight="1">
      <c r="A28" s="87"/>
      <c r="B28" s="89"/>
      <c r="C28" s="88"/>
      <c r="D28" s="88"/>
      <c r="E28" s="91"/>
      <c r="F28" s="70">
        <v>2</v>
      </c>
      <c r="G28" s="72"/>
      <c r="H28" s="73"/>
      <c r="I28" s="70"/>
      <c r="J28" s="73"/>
      <c r="K28" s="71"/>
    </row>
    <row r="29" spans="1:11" ht="13.35" customHeight="1">
      <c r="A29" s="87"/>
      <c r="B29" s="89"/>
      <c r="C29" s="88"/>
      <c r="D29" s="88"/>
      <c r="E29" s="91"/>
      <c r="F29" s="70">
        <v>3</v>
      </c>
      <c r="G29" s="72"/>
      <c r="H29" s="73"/>
      <c r="I29" s="70"/>
      <c r="J29" s="73"/>
      <c r="K29" s="71"/>
    </row>
    <row r="30" spans="1:11" ht="13.35" customHeight="1">
      <c r="A30" s="87"/>
      <c r="B30" s="89"/>
      <c r="C30" s="88"/>
      <c r="D30" s="88"/>
      <c r="E30" s="91"/>
      <c r="F30" s="70">
        <v>4</v>
      </c>
      <c r="G30" s="72"/>
      <c r="H30" s="73"/>
      <c r="I30" s="70"/>
      <c r="J30" s="73"/>
      <c r="K30" s="71"/>
    </row>
    <row r="31" spans="1:11" ht="13.35" customHeight="1">
      <c r="A31" s="87"/>
      <c r="B31" s="89"/>
      <c r="C31" s="88"/>
      <c r="D31" s="88"/>
      <c r="E31" s="91"/>
      <c r="F31" s="70">
        <v>5</v>
      </c>
      <c r="G31" s="72"/>
      <c r="H31" s="73"/>
      <c r="I31" s="70"/>
      <c r="J31" s="73"/>
      <c r="K31" s="71"/>
    </row>
    <row r="32" spans="1:11" ht="13.35" customHeight="1">
      <c r="A32" s="84">
        <f>IFERROR(IF(INDEX(Registro!$E$2:$E$100,MATCH(7,Registro!$T$2:$T$100,0))="","",7),"")</f>
        <v>7</v>
      </c>
      <c r="B32" s="85">
        <f>IFERROR(INDEX(Registro!$E$2:$E$100,MATCH(7,Registro!$T$2:$T$100,0)),"")</f>
        <v>1024585365</v>
      </c>
      <c r="C32" s="85" t="str">
        <f>IFERROR(INDEX(Registro!$F$2:$F$100,MATCH(7,Registro!$T$2:$T$100,0)),"")</f>
        <v>Cristian David Celis Garcia</v>
      </c>
      <c r="D32" s="85" t="str">
        <f>IFERROR(INDEX(Registro!$B$2:$B$100,MATCH(7,Registro!$T$2:$T$100,0)),"")</f>
        <v>Posgrados</v>
      </c>
      <c r="E32" s="90">
        <f>IFERROR(INDEX(Registro!$P$2:$P$100,MATCH(7,Registro!$T$2:$T$100,0)),"")</f>
        <v>73</v>
      </c>
      <c r="F32" s="66">
        <v>1</v>
      </c>
      <c r="G32" s="68"/>
      <c r="H32" s="69"/>
      <c r="I32" s="66"/>
      <c r="J32" s="69"/>
      <c r="K32" s="67"/>
    </row>
    <row r="33" spans="1:11" ht="13.35" customHeight="1">
      <c r="A33" s="84"/>
      <c r="B33" s="86"/>
      <c r="C33" s="85"/>
      <c r="D33" s="85"/>
      <c r="E33" s="90"/>
      <c r="F33" s="66">
        <v>2</v>
      </c>
      <c r="G33" s="68"/>
      <c r="H33" s="69"/>
      <c r="I33" s="66"/>
      <c r="J33" s="69"/>
      <c r="K33" s="67"/>
    </row>
    <row r="34" spans="1:11" ht="13.35" customHeight="1">
      <c r="A34" s="84"/>
      <c r="B34" s="86"/>
      <c r="C34" s="85"/>
      <c r="D34" s="85"/>
      <c r="E34" s="90"/>
      <c r="F34" s="66">
        <v>3</v>
      </c>
      <c r="G34" s="68"/>
      <c r="H34" s="69"/>
      <c r="I34" s="66"/>
      <c r="J34" s="69"/>
      <c r="K34" s="67"/>
    </row>
    <row r="35" spans="1:11" ht="13.35" customHeight="1">
      <c r="A35" s="84"/>
      <c r="B35" s="86"/>
      <c r="C35" s="85"/>
      <c r="D35" s="85"/>
      <c r="E35" s="90"/>
      <c r="F35" s="66">
        <v>4</v>
      </c>
      <c r="G35" s="68"/>
      <c r="H35" s="69"/>
      <c r="I35" s="66"/>
      <c r="J35" s="69"/>
      <c r="K35" s="67"/>
    </row>
    <row r="36" spans="1:11" ht="13.35" customHeight="1">
      <c r="A36" s="84"/>
      <c r="B36" s="86"/>
      <c r="C36" s="85"/>
      <c r="D36" s="85"/>
      <c r="E36" s="90"/>
      <c r="F36" s="66">
        <v>5</v>
      </c>
      <c r="G36" s="68"/>
      <c r="H36" s="69"/>
      <c r="I36" s="66"/>
      <c r="J36" s="69"/>
      <c r="K36" s="67"/>
    </row>
    <row r="37" spans="1:11" ht="13.35" customHeight="1">
      <c r="A37" s="87">
        <f>IFERROR(IF(INDEX(Registro!$E$2:$E$100,MATCH(8,Registro!$T$2:$T$100,0))="","",8),"")</f>
        <v>8</v>
      </c>
      <c r="B37" s="88">
        <f>IFERROR(INDEX(Registro!$E$2:$E$100,MATCH(8,Registro!$T$2:$T$100,0)),"")</f>
        <v>1000547797</v>
      </c>
      <c r="C37" s="88" t="str">
        <f>IFERROR(INDEX(Registro!$F$2:$F$100,MATCH(8,Registro!$T$2:$T$100,0)),"")</f>
        <v>Kamy Lizeth Rios Gomez</v>
      </c>
      <c r="D37" s="88" t="str">
        <f>IFERROR(INDEX(Registro!$B$2:$B$100,MATCH(8,Registro!$T$2:$T$100,0)),"")</f>
        <v>Posgrados</v>
      </c>
      <c r="E37" s="91">
        <f>IFERROR(INDEX(Registro!$P$2:$P$100,MATCH(8,Registro!$T$2:$T$100,0)),"")</f>
        <v>90</v>
      </c>
      <c r="F37" s="70">
        <v>1</v>
      </c>
      <c r="G37" s="72"/>
      <c r="H37" s="73"/>
      <c r="I37" s="70"/>
      <c r="J37" s="73"/>
      <c r="K37" s="71"/>
    </row>
    <row r="38" spans="1:11" ht="13.35" customHeight="1">
      <c r="A38" s="87"/>
      <c r="B38" s="89"/>
      <c r="C38" s="88"/>
      <c r="D38" s="88"/>
      <c r="E38" s="91"/>
      <c r="F38" s="70">
        <v>2</v>
      </c>
      <c r="G38" s="72"/>
      <c r="H38" s="73"/>
      <c r="I38" s="70"/>
      <c r="J38" s="73"/>
      <c r="K38" s="71"/>
    </row>
    <row r="39" spans="1:11" ht="13.35" customHeight="1">
      <c r="A39" s="87"/>
      <c r="B39" s="89"/>
      <c r="C39" s="88"/>
      <c r="D39" s="88"/>
      <c r="E39" s="91"/>
      <c r="F39" s="70">
        <v>3</v>
      </c>
      <c r="G39" s="72"/>
      <c r="H39" s="73"/>
      <c r="I39" s="70"/>
      <c r="J39" s="73"/>
      <c r="K39" s="71"/>
    </row>
    <row r="40" spans="1:11" ht="13.35" customHeight="1">
      <c r="A40" s="87"/>
      <c r="B40" s="89"/>
      <c r="C40" s="88"/>
      <c r="D40" s="88"/>
      <c r="E40" s="91"/>
      <c r="F40" s="70">
        <v>4</v>
      </c>
      <c r="G40" s="72"/>
      <c r="H40" s="73"/>
      <c r="I40" s="70"/>
      <c r="J40" s="73"/>
      <c r="K40" s="71"/>
    </row>
    <row r="41" spans="1:11" ht="13.35" customHeight="1">
      <c r="A41" s="87"/>
      <c r="B41" s="89"/>
      <c r="C41" s="88"/>
      <c r="D41" s="88"/>
      <c r="E41" s="91"/>
      <c r="F41" s="70">
        <v>5</v>
      </c>
      <c r="G41" s="72"/>
      <c r="H41" s="73"/>
      <c r="I41" s="70"/>
      <c r="J41" s="73"/>
      <c r="K41" s="71"/>
    </row>
    <row r="42" spans="1:11" ht="13.35" customHeight="1">
      <c r="A42" s="84">
        <f>IFERROR(IF(INDEX(Registro!$E$2:$E$100,MATCH(9,Registro!$T$2:$T$100,0))="","",9),"")</f>
        <v>9</v>
      </c>
      <c r="B42" s="85">
        <f>IFERROR(INDEX(Registro!$E$2:$E$100,MATCH(9,Registro!$T$2:$T$100,0)),"")</f>
        <v>1023867138</v>
      </c>
      <c r="C42" s="85" t="str">
        <f>IFERROR(INDEX(Registro!$F$2:$F$100,MATCH(9,Registro!$T$2:$T$100,0)),"")</f>
        <v>Yisell Dayana Castro González</v>
      </c>
      <c r="D42" s="85" t="str">
        <f>IFERROR(INDEX(Registro!$B$2:$B$100,MATCH(9,Registro!$T$2:$T$100,0)),"")</f>
        <v>Posgrados</v>
      </c>
      <c r="E42" s="90">
        <f>IFERROR(INDEX(Registro!$P$2:$P$100,MATCH(9,Registro!$T$2:$T$100,0)),"")</f>
        <v>72</v>
      </c>
      <c r="F42" s="66">
        <v>1</v>
      </c>
      <c r="G42" s="68"/>
      <c r="H42" s="69"/>
      <c r="I42" s="66"/>
      <c r="J42" s="69"/>
      <c r="K42" s="67"/>
    </row>
    <row r="43" spans="1:11" ht="13.35" customHeight="1">
      <c r="A43" s="84"/>
      <c r="B43" s="86"/>
      <c r="C43" s="85"/>
      <c r="D43" s="85"/>
      <c r="E43" s="90"/>
      <c r="F43" s="66">
        <v>2</v>
      </c>
      <c r="G43" s="68"/>
      <c r="H43" s="69"/>
      <c r="I43" s="66"/>
      <c r="J43" s="69"/>
      <c r="K43" s="67"/>
    </row>
    <row r="44" spans="1:11" ht="13.35" customHeight="1">
      <c r="A44" s="84"/>
      <c r="B44" s="86"/>
      <c r="C44" s="85"/>
      <c r="D44" s="85"/>
      <c r="E44" s="90"/>
      <c r="F44" s="66">
        <v>3</v>
      </c>
      <c r="G44" s="68"/>
      <c r="H44" s="69"/>
      <c r="I44" s="66"/>
      <c r="J44" s="69"/>
      <c r="K44" s="67"/>
    </row>
    <row r="45" spans="1:11" ht="13.35" customHeight="1">
      <c r="A45" s="84"/>
      <c r="B45" s="86"/>
      <c r="C45" s="85"/>
      <c r="D45" s="85"/>
      <c r="E45" s="90"/>
      <c r="F45" s="66">
        <v>4</v>
      </c>
      <c r="G45" s="68"/>
      <c r="H45" s="69"/>
      <c r="I45" s="66"/>
      <c r="J45" s="69"/>
      <c r="K45" s="67"/>
    </row>
    <row r="46" spans="1:11" ht="13.35" customHeight="1">
      <c r="A46" s="84"/>
      <c r="B46" s="86"/>
      <c r="C46" s="85"/>
      <c r="D46" s="85"/>
      <c r="E46" s="90"/>
      <c r="F46" s="66">
        <v>5</v>
      </c>
      <c r="G46" s="68"/>
      <c r="H46" s="69"/>
      <c r="I46" s="66"/>
      <c r="J46" s="69"/>
      <c r="K46" s="67"/>
    </row>
    <row r="47" spans="1:11" ht="13.35" customHeight="1">
      <c r="A47" s="87">
        <f>IFERROR(IF(INDEX(Registro!$E$2:$E$100,MATCH(10,Registro!$T$2:$T$100,0))="","",10),"")</f>
        <v>10</v>
      </c>
      <c r="B47" s="88">
        <f>IFERROR(INDEX(Registro!$E$2:$E$100,MATCH(10,Registro!$T$2:$T$100,0)),"")</f>
        <v>1000810776</v>
      </c>
      <c r="C47" s="88" t="str">
        <f>IFERROR(INDEX(Registro!$F$2:$F$100,MATCH(10,Registro!$T$2:$T$100,0)),"")</f>
        <v>Nataly Andrea Maecha Lizarazo</v>
      </c>
      <c r="D47" s="88" t="str">
        <f>IFERROR(INDEX(Registro!$B$2:$B$100,MATCH(10,Registro!$T$2:$T$100,0)),"")</f>
        <v>Posgrados</v>
      </c>
      <c r="E47" s="91">
        <f>IFERROR(INDEX(Registro!$P$2:$P$100,MATCH(10,Registro!$T$2:$T$100,0)),"")</f>
        <v>74</v>
      </c>
      <c r="F47" s="70">
        <v>1</v>
      </c>
      <c r="G47" s="72"/>
      <c r="H47" s="73"/>
      <c r="I47" s="70"/>
      <c r="J47" s="73"/>
      <c r="K47" s="71"/>
    </row>
    <row r="48" spans="1:11" ht="13.35" customHeight="1">
      <c r="A48" s="87"/>
      <c r="B48" s="89"/>
      <c r="C48" s="88"/>
      <c r="D48" s="88"/>
      <c r="E48" s="91"/>
      <c r="F48" s="70">
        <v>2</v>
      </c>
      <c r="G48" s="72"/>
      <c r="H48" s="73"/>
      <c r="I48" s="70"/>
      <c r="J48" s="73"/>
      <c r="K48" s="71"/>
    </row>
    <row r="49" spans="1:11" ht="13.35" customHeight="1">
      <c r="A49" s="87"/>
      <c r="B49" s="89"/>
      <c r="C49" s="88"/>
      <c r="D49" s="88"/>
      <c r="E49" s="91"/>
      <c r="F49" s="70">
        <v>3</v>
      </c>
      <c r="G49" s="72"/>
      <c r="H49" s="73"/>
      <c r="I49" s="70"/>
      <c r="J49" s="73"/>
      <c r="K49" s="71"/>
    </row>
    <row r="50" spans="1:11" ht="13.35" customHeight="1">
      <c r="A50" s="87"/>
      <c r="B50" s="89"/>
      <c r="C50" s="88"/>
      <c r="D50" s="88"/>
      <c r="E50" s="91"/>
      <c r="F50" s="70">
        <v>4</v>
      </c>
      <c r="G50" s="72"/>
      <c r="H50" s="73"/>
      <c r="I50" s="70"/>
      <c r="J50" s="73"/>
      <c r="K50" s="71"/>
    </row>
    <row r="51" spans="1:11" ht="13.35" customHeight="1">
      <c r="A51" s="87"/>
      <c r="B51" s="89"/>
      <c r="C51" s="88"/>
      <c r="D51" s="88"/>
      <c r="E51" s="91"/>
      <c r="F51" s="70">
        <v>5</v>
      </c>
      <c r="G51" s="72"/>
      <c r="H51" s="73"/>
      <c r="I51" s="70"/>
      <c r="J51" s="73"/>
      <c r="K51" s="71"/>
    </row>
    <row r="52" spans="1:11" ht="13.35" customHeight="1">
      <c r="A52" s="84">
        <f>IFERROR(IF(INDEX(Registro!$E$2:$E$100,MATCH(11,Registro!$T$2:$T$100,0))="","",11),"")</f>
        <v>11</v>
      </c>
      <c r="B52" s="85">
        <f>IFERROR(INDEX(Registro!$E$2:$E$100,MATCH(11,Registro!$T$2:$T$100,0)),"")</f>
        <v>1001271946</v>
      </c>
      <c r="C52" s="85" t="str">
        <f>IFERROR(INDEX(Registro!$F$2:$F$100,MATCH(11,Registro!$T$2:$T$100,0)),"")</f>
        <v>Luisa Fernanda Rodríguez Sarmiento</v>
      </c>
      <c r="D52" s="85" t="str">
        <f>IFERROR(INDEX(Registro!$B$2:$B$100,MATCH(11,Registro!$T$2:$T$100,0)),"")</f>
        <v>Posgrados</v>
      </c>
      <c r="E52" s="90">
        <f>IFERROR(INDEX(Registro!$P$2:$P$100,MATCH(11,Registro!$T$2:$T$100,0)),"")</f>
        <v>74</v>
      </c>
      <c r="F52" s="66">
        <v>1</v>
      </c>
      <c r="G52" s="68"/>
      <c r="H52" s="69"/>
      <c r="I52" s="66"/>
      <c r="J52" s="69"/>
      <c r="K52" s="67"/>
    </row>
    <row r="53" spans="1:11" ht="13.35" customHeight="1">
      <c r="A53" s="84"/>
      <c r="B53" s="86"/>
      <c r="C53" s="85"/>
      <c r="D53" s="85"/>
      <c r="E53" s="90"/>
      <c r="F53" s="66">
        <v>2</v>
      </c>
      <c r="G53" s="68"/>
      <c r="H53" s="69"/>
      <c r="I53" s="66"/>
      <c r="J53" s="69"/>
      <c r="K53" s="67"/>
    </row>
    <row r="54" spans="1:11" ht="13.35" customHeight="1">
      <c r="A54" s="84"/>
      <c r="B54" s="86"/>
      <c r="C54" s="85"/>
      <c r="D54" s="85"/>
      <c r="E54" s="90"/>
      <c r="F54" s="66">
        <v>3</v>
      </c>
      <c r="G54" s="68"/>
      <c r="H54" s="69"/>
      <c r="I54" s="66"/>
      <c r="J54" s="69"/>
      <c r="K54" s="67"/>
    </row>
    <row r="55" spans="1:11" ht="13.35" customHeight="1">
      <c r="A55" s="84"/>
      <c r="B55" s="86"/>
      <c r="C55" s="85"/>
      <c r="D55" s="85"/>
      <c r="E55" s="90"/>
      <c r="F55" s="66">
        <v>4</v>
      </c>
      <c r="G55" s="68"/>
      <c r="H55" s="69"/>
      <c r="I55" s="66"/>
      <c r="J55" s="69"/>
      <c r="K55" s="67"/>
    </row>
    <row r="56" spans="1:11" ht="13.35" customHeight="1">
      <c r="A56" s="84"/>
      <c r="B56" s="86"/>
      <c r="C56" s="85"/>
      <c r="D56" s="85"/>
      <c r="E56" s="90"/>
      <c r="F56" s="66">
        <v>5</v>
      </c>
      <c r="G56" s="68"/>
      <c r="H56" s="69"/>
      <c r="I56" s="66"/>
      <c r="J56" s="69"/>
      <c r="K56" s="67"/>
    </row>
    <row r="57" spans="1:11" ht="13.35" customHeight="1">
      <c r="A57" s="87">
        <f>IFERROR(IF(INDEX(Registro!$E$2:$E$100,MATCH(12,Registro!$T$2:$T$100,0))="","",12),"")</f>
        <v>12</v>
      </c>
      <c r="B57" s="88">
        <f>IFERROR(INDEX(Registro!$E$2:$E$100,MATCH(12,Registro!$T$2:$T$100,0)),"")</f>
        <v>1117813165</v>
      </c>
      <c r="C57" s="88" t="str">
        <f>IFERROR(INDEX(Registro!$F$2:$F$100,MATCH(12,Registro!$T$2:$T$100,0)),"")</f>
        <v>Yedinson Stiven Ramirez Perdómo</v>
      </c>
      <c r="D57" s="88" t="str">
        <f>IFERROR(INDEX(Registro!$B$2:$B$100,MATCH(12,Registro!$T$2:$T$100,0)),"")</f>
        <v>Posgrados</v>
      </c>
      <c r="E57" s="91">
        <f>IFERROR(INDEX(Registro!$P$2:$P$100,MATCH(12,Registro!$T$2:$T$100,0)),"")</f>
        <v>94</v>
      </c>
      <c r="F57" s="70">
        <v>1</v>
      </c>
      <c r="G57" s="72"/>
      <c r="H57" s="73"/>
      <c r="I57" s="70"/>
      <c r="J57" s="73"/>
      <c r="K57" s="71"/>
    </row>
    <row r="58" spans="1:11" ht="13.35" customHeight="1">
      <c r="A58" s="87"/>
      <c r="B58" s="89"/>
      <c r="C58" s="88"/>
      <c r="D58" s="88"/>
      <c r="E58" s="91"/>
      <c r="F58" s="70">
        <v>2</v>
      </c>
      <c r="G58" s="72"/>
      <c r="H58" s="73"/>
      <c r="I58" s="70"/>
      <c r="J58" s="73"/>
      <c r="K58" s="71"/>
    </row>
    <row r="59" spans="1:11" ht="13.35" customHeight="1">
      <c r="A59" s="87"/>
      <c r="B59" s="89"/>
      <c r="C59" s="88"/>
      <c r="D59" s="88"/>
      <c r="E59" s="91"/>
      <c r="F59" s="70">
        <v>3</v>
      </c>
      <c r="G59" s="72"/>
      <c r="H59" s="73"/>
      <c r="I59" s="70"/>
      <c r="J59" s="73"/>
      <c r="K59" s="71"/>
    </row>
    <row r="60" spans="1:11" ht="13.35" customHeight="1">
      <c r="A60" s="87"/>
      <c r="B60" s="89"/>
      <c r="C60" s="88"/>
      <c r="D60" s="88"/>
      <c r="E60" s="91"/>
      <c r="F60" s="70">
        <v>4</v>
      </c>
      <c r="G60" s="72"/>
      <c r="H60" s="73"/>
      <c r="I60" s="70"/>
      <c r="J60" s="73"/>
      <c r="K60" s="71"/>
    </row>
    <row r="61" spans="1:11" ht="13.35" customHeight="1">
      <c r="A61" s="87"/>
      <c r="B61" s="89"/>
      <c r="C61" s="88"/>
      <c r="D61" s="88"/>
      <c r="E61" s="91"/>
      <c r="F61" s="70">
        <v>5</v>
      </c>
      <c r="G61" s="72"/>
      <c r="H61" s="73"/>
      <c r="I61" s="70"/>
      <c r="J61" s="73"/>
      <c r="K61" s="71"/>
    </row>
    <row r="62" spans="1:11" ht="13.35" customHeight="1">
      <c r="A62" s="84">
        <f>IFERROR(IF(INDEX(Registro!$E$2:$E$100,MATCH(13,Registro!$T$2:$T$100,0))="","",13),"")</f>
        <v>13</v>
      </c>
      <c r="B62" s="85">
        <f>IFERROR(INDEX(Registro!$E$2:$E$100,MATCH(13,Registro!$T$2:$T$100,0)),"")</f>
        <v>1070595836</v>
      </c>
      <c r="C62" s="85" t="str">
        <f>IFERROR(INDEX(Registro!$F$2:$F$100,MATCH(13,Registro!$T$2:$T$100,0)),"")</f>
        <v>Hebert Julián Casilimas Ricardo</v>
      </c>
      <c r="D62" s="85" t="str">
        <f>IFERROR(INDEX(Registro!$B$2:$B$100,MATCH(13,Registro!$T$2:$T$100,0)),"")</f>
        <v>Posgrados</v>
      </c>
      <c r="E62" s="90">
        <f>IFERROR(INDEX(Registro!$P$2:$P$100,MATCH(13,Registro!$T$2:$T$100,0)),"")</f>
        <v>91</v>
      </c>
      <c r="F62" s="66">
        <v>1</v>
      </c>
      <c r="G62" s="68"/>
      <c r="H62" s="69"/>
      <c r="I62" s="66"/>
      <c r="J62" s="69"/>
      <c r="K62" s="67"/>
    </row>
    <row r="63" spans="1:11" ht="13.35" customHeight="1">
      <c r="A63" s="84"/>
      <c r="B63" s="86"/>
      <c r="C63" s="85"/>
      <c r="D63" s="85"/>
      <c r="E63" s="90"/>
      <c r="F63" s="66">
        <v>2</v>
      </c>
      <c r="G63" s="68"/>
      <c r="H63" s="69"/>
      <c r="I63" s="66"/>
      <c r="J63" s="69"/>
      <c r="K63" s="67"/>
    </row>
    <row r="64" spans="1:11" ht="13.35" customHeight="1">
      <c r="A64" s="84"/>
      <c r="B64" s="86"/>
      <c r="C64" s="85"/>
      <c r="D64" s="85"/>
      <c r="E64" s="90"/>
      <c r="F64" s="66">
        <v>3</v>
      </c>
      <c r="G64" s="68"/>
      <c r="H64" s="69"/>
      <c r="I64" s="66"/>
      <c r="J64" s="69"/>
      <c r="K64" s="67"/>
    </row>
    <row r="65" spans="1:11" ht="13.35" customHeight="1">
      <c r="A65" s="84"/>
      <c r="B65" s="86"/>
      <c r="C65" s="85"/>
      <c r="D65" s="85"/>
      <c r="E65" s="90"/>
      <c r="F65" s="66">
        <v>4</v>
      </c>
      <c r="G65" s="68"/>
      <c r="H65" s="69"/>
      <c r="I65" s="66"/>
      <c r="J65" s="69"/>
      <c r="K65" s="67"/>
    </row>
    <row r="66" spans="1:11" ht="13.35" customHeight="1">
      <c r="A66" s="84"/>
      <c r="B66" s="86"/>
      <c r="C66" s="85"/>
      <c r="D66" s="85"/>
      <c r="E66" s="90"/>
      <c r="F66" s="66">
        <v>5</v>
      </c>
      <c r="G66" s="68"/>
      <c r="H66" s="69"/>
      <c r="I66" s="66"/>
      <c r="J66" s="69"/>
      <c r="K66" s="67"/>
    </row>
    <row r="67" spans="1:11" ht="13.35" customHeight="1">
      <c r="A67" s="87" t="str">
        <f>IFERROR(IF(INDEX(Registro!$E$2:$E$100,MATCH(14,Registro!$T$2:$T$100,0))="","",14),"")</f>
        <v/>
      </c>
      <c r="B67" s="88" t="str">
        <f>IFERROR(INDEX(Registro!$E$2:$E$100,MATCH(14,Registro!$T$2:$T$100,0)),"")</f>
        <v/>
      </c>
      <c r="C67" s="88" t="str">
        <f>IFERROR(INDEX(Registro!$F$2:$F$100,MATCH(14,Registro!$T$2:$T$100,0)),"")</f>
        <v/>
      </c>
      <c r="D67" s="88" t="str">
        <f>IFERROR(INDEX(Registro!$B$2:$B$100,MATCH(14,Registro!$T$2:$T$100,0)),"")</f>
        <v/>
      </c>
      <c r="E67" s="91" t="str">
        <f>IFERROR(INDEX(Registro!$P$2:$P$100,MATCH(14,Registro!$T$2:$T$100,0)),"")</f>
        <v/>
      </c>
      <c r="F67" s="70">
        <v>1</v>
      </c>
      <c r="G67" s="72"/>
      <c r="H67" s="73"/>
      <c r="I67" s="70"/>
      <c r="J67" s="73"/>
      <c r="K67" s="71"/>
    </row>
    <row r="68" spans="1:11" ht="13.35" customHeight="1">
      <c r="A68" s="87"/>
      <c r="B68" s="89"/>
      <c r="C68" s="88"/>
      <c r="D68" s="88"/>
      <c r="E68" s="91"/>
      <c r="F68" s="70">
        <v>2</v>
      </c>
      <c r="G68" s="72"/>
      <c r="H68" s="73"/>
      <c r="I68" s="70"/>
      <c r="J68" s="73"/>
      <c r="K68" s="71"/>
    </row>
    <row r="69" spans="1:11" ht="13.35" customHeight="1">
      <c r="A69" s="87"/>
      <c r="B69" s="89"/>
      <c r="C69" s="88"/>
      <c r="D69" s="88"/>
      <c r="E69" s="91"/>
      <c r="F69" s="70">
        <v>3</v>
      </c>
      <c r="G69" s="72"/>
      <c r="H69" s="73"/>
      <c r="I69" s="70"/>
      <c r="J69" s="73"/>
      <c r="K69" s="71"/>
    </row>
    <row r="70" spans="1:11" ht="13.35" customHeight="1">
      <c r="A70" s="87"/>
      <c r="B70" s="89"/>
      <c r="C70" s="88"/>
      <c r="D70" s="88"/>
      <c r="E70" s="91"/>
      <c r="F70" s="70">
        <v>4</v>
      </c>
      <c r="G70" s="72"/>
      <c r="H70" s="73"/>
      <c r="I70" s="70"/>
      <c r="J70" s="73"/>
      <c r="K70" s="71"/>
    </row>
    <row r="71" spans="1:11" ht="13.35" customHeight="1">
      <c r="A71" s="87"/>
      <c r="B71" s="89"/>
      <c r="C71" s="88"/>
      <c r="D71" s="88"/>
      <c r="E71" s="91"/>
      <c r="F71" s="70">
        <v>5</v>
      </c>
      <c r="G71" s="72"/>
      <c r="H71" s="73"/>
      <c r="I71" s="70"/>
      <c r="J71" s="73"/>
      <c r="K71" s="71"/>
    </row>
    <row r="72" spans="1:11" ht="13.35" customHeight="1">
      <c r="A72" s="84" t="str">
        <f>IFERROR(IF(INDEX(Registro!$E$2:$E$100,MATCH(15,Registro!$T$2:$T$100,0))="","",15),"")</f>
        <v/>
      </c>
      <c r="B72" s="85" t="str">
        <f>IFERROR(INDEX(Registro!$E$2:$E$100,MATCH(15,Registro!$T$2:$T$100,0)),"")</f>
        <v/>
      </c>
      <c r="C72" s="85" t="str">
        <f>IFERROR(INDEX(Registro!$F$2:$F$100,MATCH(15,Registro!$T$2:$T$100,0)),"")</f>
        <v/>
      </c>
      <c r="D72" s="85" t="str">
        <f>IFERROR(INDEX(Registro!$B$2:$B$100,MATCH(15,Registro!$T$2:$T$100,0)),"")</f>
        <v/>
      </c>
      <c r="E72" s="90" t="str">
        <f>IFERROR(INDEX(Registro!$P$2:$P$100,MATCH(15,Registro!$T$2:$T$100,0)),"")</f>
        <v/>
      </c>
      <c r="F72" s="66">
        <v>1</v>
      </c>
      <c r="G72" s="68"/>
      <c r="H72" s="69"/>
      <c r="I72" s="66"/>
      <c r="J72" s="69"/>
      <c r="K72" s="67"/>
    </row>
    <row r="73" spans="1:11" ht="13.35" customHeight="1">
      <c r="A73" s="84"/>
      <c r="B73" s="86"/>
      <c r="C73" s="85"/>
      <c r="D73" s="85"/>
      <c r="E73" s="90"/>
      <c r="F73" s="66">
        <v>2</v>
      </c>
      <c r="G73" s="68"/>
      <c r="H73" s="69"/>
      <c r="I73" s="66"/>
      <c r="J73" s="69"/>
      <c r="K73" s="67"/>
    </row>
    <row r="74" spans="1:11" ht="13.35" customHeight="1">
      <c r="A74" s="84"/>
      <c r="B74" s="86"/>
      <c r="C74" s="85"/>
      <c r="D74" s="85"/>
      <c r="E74" s="90"/>
      <c r="F74" s="66">
        <v>3</v>
      </c>
      <c r="G74" s="68"/>
      <c r="H74" s="69"/>
      <c r="I74" s="66"/>
      <c r="J74" s="69"/>
      <c r="K74" s="67"/>
    </row>
    <row r="75" spans="1:11" ht="13.35" customHeight="1">
      <c r="A75" s="84"/>
      <c r="B75" s="86"/>
      <c r="C75" s="85"/>
      <c r="D75" s="85"/>
      <c r="E75" s="90"/>
      <c r="F75" s="66">
        <v>4</v>
      </c>
      <c r="G75" s="68"/>
      <c r="H75" s="69"/>
      <c r="I75" s="66"/>
      <c r="J75" s="69"/>
      <c r="K75" s="67"/>
    </row>
    <row r="76" spans="1:11" ht="13.35" customHeight="1">
      <c r="A76" s="84"/>
      <c r="B76" s="86"/>
      <c r="C76" s="85"/>
      <c r="D76" s="85"/>
      <c r="E76" s="90"/>
      <c r="F76" s="66">
        <v>5</v>
      </c>
      <c r="G76" s="68"/>
      <c r="H76" s="69"/>
      <c r="I76" s="66"/>
      <c r="J76" s="69"/>
      <c r="K76" s="67"/>
    </row>
    <row r="77" spans="1:11" ht="13.35" customHeight="1">
      <c r="A77" s="87" t="str">
        <f>IFERROR(IF(INDEX(Registro!$E$2:$E$100,MATCH(16,Registro!$T$2:$T$100,0))="","",16),"")</f>
        <v/>
      </c>
      <c r="B77" s="88" t="str">
        <f>IFERROR(INDEX(Registro!$E$2:$E$100,MATCH(16,Registro!$T$2:$T$100,0)),"")</f>
        <v/>
      </c>
      <c r="C77" s="88" t="str">
        <f>IFERROR(INDEX(Registro!$F$2:$F$100,MATCH(16,Registro!$T$2:$T$100,0)),"")</f>
        <v/>
      </c>
      <c r="D77" s="88" t="str">
        <f>IFERROR(INDEX(Registro!$B$2:$B$100,MATCH(16,Registro!$T$2:$T$100,0)),"")</f>
        <v/>
      </c>
      <c r="E77" s="91" t="str">
        <f>IFERROR(INDEX(Registro!$P$2:$P$100,MATCH(16,Registro!$T$2:$T$100,0)),"")</f>
        <v/>
      </c>
      <c r="F77" s="70">
        <v>1</v>
      </c>
      <c r="G77" s="72"/>
      <c r="H77" s="73"/>
      <c r="I77" s="70"/>
      <c r="J77" s="73"/>
      <c r="K77" s="71"/>
    </row>
    <row r="78" spans="1:11" ht="13.35" customHeight="1">
      <c r="A78" s="87"/>
      <c r="B78" s="89"/>
      <c r="C78" s="88"/>
      <c r="D78" s="88"/>
      <c r="E78" s="91"/>
      <c r="F78" s="70">
        <v>2</v>
      </c>
      <c r="G78" s="72"/>
      <c r="H78" s="73"/>
      <c r="I78" s="70"/>
      <c r="J78" s="73"/>
      <c r="K78" s="71"/>
    </row>
    <row r="79" spans="1:11" ht="13.35" customHeight="1">
      <c r="A79" s="87"/>
      <c r="B79" s="89"/>
      <c r="C79" s="88"/>
      <c r="D79" s="88"/>
      <c r="E79" s="91"/>
      <c r="F79" s="70">
        <v>3</v>
      </c>
      <c r="G79" s="72"/>
      <c r="H79" s="73"/>
      <c r="I79" s="70"/>
      <c r="J79" s="73"/>
      <c r="K79" s="71"/>
    </row>
    <row r="80" spans="1:11" ht="13.35" customHeight="1">
      <c r="A80" s="87"/>
      <c r="B80" s="89"/>
      <c r="C80" s="88"/>
      <c r="D80" s="88"/>
      <c r="E80" s="91"/>
      <c r="F80" s="70">
        <v>4</v>
      </c>
      <c r="G80" s="72"/>
      <c r="H80" s="73"/>
      <c r="I80" s="70"/>
      <c r="J80" s="73"/>
      <c r="K80" s="71"/>
    </row>
    <row r="81" spans="1:11" ht="13.35" customHeight="1">
      <c r="A81" s="87"/>
      <c r="B81" s="89"/>
      <c r="C81" s="88"/>
      <c r="D81" s="88"/>
      <c r="E81" s="91"/>
      <c r="F81" s="70">
        <v>5</v>
      </c>
      <c r="G81" s="72"/>
      <c r="H81" s="73"/>
      <c r="I81" s="70"/>
      <c r="J81" s="73"/>
      <c r="K81" s="71"/>
    </row>
    <row r="82" spans="1:11" ht="13.35" customHeight="1">
      <c r="A82" s="84" t="str">
        <f>IFERROR(IF(INDEX(Registro!$E$2:$E$100,MATCH(17,Registro!$T$2:$T$100,0))="","",17),"")</f>
        <v/>
      </c>
      <c r="B82" s="85" t="str">
        <f>IFERROR(INDEX(Registro!$E$2:$E$100,MATCH(17,Registro!$T$2:$T$100,0)),"")</f>
        <v/>
      </c>
      <c r="C82" s="85" t="str">
        <f>IFERROR(INDEX(Registro!$F$2:$F$100,MATCH(17,Registro!$T$2:$T$100,0)),"")</f>
        <v/>
      </c>
      <c r="D82" s="85" t="str">
        <f>IFERROR(INDEX(Registro!$B$2:$B$100,MATCH(17,Registro!$T$2:$T$100,0)),"")</f>
        <v/>
      </c>
      <c r="E82" s="90" t="str">
        <f>IFERROR(INDEX(Registro!$P$2:$P$100,MATCH(17,Registro!$T$2:$T$100,0)),"")</f>
        <v/>
      </c>
      <c r="F82" s="66">
        <v>1</v>
      </c>
      <c r="G82" s="68"/>
      <c r="H82" s="69"/>
      <c r="I82" s="66"/>
      <c r="J82" s="69"/>
      <c r="K82" s="67"/>
    </row>
    <row r="83" spans="1:11" ht="13.35" customHeight="1">
      <c r="A83" s="84"/>
      <c r="B83" s="86"/>
      <c r="C83" s="85"/>
      <c r="D83" s="85"/>
      <c r="E83" s="90"/>
      <c r="F83" s="66">
        <v>2</v>
      </c>
      <c r="G83" s="68"/>
      <c r="H83" s="69"/>
      <c r="I83" s="66"/>
      <c r="J83" s="69"/>
      <c r="K83" s="67"/>
    </row>
    <row r="84" spans="1:11" ht="13.35" customHeight="1">
      <c r="A84" s="84"/>
      <c r="B84" s="86"/>
      <c r="C84" s="85"/>
      <c r="D84" s="85"/>
      <c r="E84" s="90"/>
      <c r="F84" s="66">
        <v>3</v>
      </c>
      <c r="G84" s="68"/>
      <c r="H84" s="69"/>
      <c r="I84" s="66"/>
      <c r="J84" s="69"/>
      <c r="K84" s="67"/>
    </row>
    <row r="85" spans="1:11" ht="13.35" customHeight="1">
      <c r="A85" s="84"/>
      <c r="B85" s="86"/>
      <c r="C85" s="85"/>
      <c r="D85" s="85"/>
      <c r="E85" s="90"/>
      <c r="F85" s="66">
        <v>4</v>
      </c>
      <c r="G85" s="68"/>
      <c r="H85" s="69"/>
      <c r="I85" s="66"/>
      <c r="J85" s="69"/>
      <c r="K85" s="67"/>
    </row>
    <row r="86" spans="1:11" ht="13.35" customHeight="1">
      <c r="A86" s="84"/>
      <c r="B86" s="86"/>
      <c r="C86" s="85"/>
      <c r="D86" s="85"/>
      <c r="E86" s="90"/>
      <c r="F86" s="66">
        <v>5</v>
      </c>
      <c r="G86" s="68"/>
      <c r="H86" s="69"/>
      <c r="I86" s="66"/>
      <c r="J86" s="69"/>
      <c r="K86" s="67"/>
    </row>
    <row r="87" spans="1:11" ht="13.35" customHeight="1">
      <c r="A87" s="87" t="str">
        <f>IFERROR(IF(INDEX(Registro!$E$2:$E$100,MATCH(18,Registro!$T$2:$T$100,0))="","",18),"")</f>
        <v/>
      </c>
      <c r="B87" s="88" t="str">
        <f>IFERROR(INDEX(Registro!$E$2:$E$100,MATCH(18,Registro!$T$2:$T$100,0)),"")</f>
        <v/>
      </c>
      <c r="C87" s="88" t="str">
        <f>IFERROR(INDEX(Registro!$F$2:$F$100,MATCH(18,Registro!$T$2:$T$100,0)),"")</f>
        <v/>
      </c>
      <c r="D87" s="88" t="str">
        <f>IFERROR(INDEX(Registro!$B$2:$B$100,MATCH(18,Registro!$T$2:$T$100,0)),"")</f>
        <v/>
      </c>
      <c r="E87" s="91" t="str">
        <f>IFERROR(INDEX(Registro!$P$2:$P$100,MATCH(18,Registro!$T$2:$T$100,0)),"")</f>
        <v/>
      </c>
      <c r="F87" s="70">
        <v>1</v>
      </c>
      <c r="G87" s="72"/>
      <c r="H87" s="73"/>
      <c r="I87" s="70"/>
      <c r="J87" s="73"/>
      <c r="K87" s="71"/>
    </row>
    <row r="88" spans="1:11" ht="13.35" customHeight="1">
      <c r="A88" s="87"/>
      <c r="B88" s="89"/>
      <c r="C88" s="88"/>
      <c r="D88" s="88"/>
      <c r="E88" s="91"/>
      <c r="F88" s="70">
        <v>2</v>
      </c>
      <c r="G88" s="72"/>
      <c r="H88" s="73"/>
      <c r="I88" s="70"/>
      <c r="J88" s="73"/>
      <c r="K88" s="71"/>
    </row>
    <row r="89" spans="1:11" ht="13.35" customHeight="1">
      <c r="A89" s="87"/>
      <c r="B89" s="89"/>
      <c r="C89" s="88"/>
      <c r="D89" s="88"/>
      <c r="E89" s="91"/>
      <c r="F89" s="70">
        <v>3</v>
      </c>
      <c r="G89" s="72"/>
      <c r="H89" s="73"/>
      <c r="I89" s="70"/>
      <c r="J89" s="73"/>
      <c r="K89" s="71"/>
    </row>
    <row r="90" spans="1:11" ht="13.35" customHeight="1">
      <c r="A90" s="87"/>
      <c r="B90" s="89"/>
      <c r="C90" s="88"/>
      <c r="D90" s="88"/>
      <c r="E90" s="91"/>
      <c r="F90" s="70">
        <v>4</v>
      </c>
      <c r="G90" s="72"/>
      <c r="H90" s="73"/>
      <c r="I90" s="70"/>
      <c r="J90" s="73"/>
      <c r="K90" s="71"/>
    </row>
    <row r="91" spans="1:11" ht="13.35" customHeight="1">
      <c r="A91" s="87"/>
      <c r="B91" s="89"/>
      <c r="C91" s="88"/>
      <c r="D91" s="88"/>
      <c r="E91" s="91"/>
      <c r="F91" s="70">
        <v>5</v>
      </c>
      <c r="G91" s="72"/>
      <c r="H91" s="73"/>
      <c r="I91" s="70"/>
      <c r="J91" s="73"/>
      <c r="K91" s="71"/>
    </row>
    <row r="92" spans="1:11" ht="13.35" customHeight="1">
      <c r="A92" s="84" t="str">
        <f>IFERROR(IF(INDEX(Registro!$E$2:$E$100,MATCH(19,Registro!$T$2:$T$100,0))="","",19),"")</f>
        <v/>
      </c>
      <c r="B92" s="85" t="str">
        <f>IFERROR(INDEX(Registro!$E$2:$E$100,MATCH(19,Registro!$T$2:$T$100,0)),"")</f>
        <v/>
      </c>
      <c r="C92" s="85" t="str">
        <f>IFERROR(INDEX(Registro!$F$2:$F$100,MATCH(19,Registro!$T$2:$T$100,0)),"")</f>
        <v/>
      </c>
      <c r="D92" s="85" t="str">
        <f>IFERROR(INDEX(Registro!$B$2:$B$100,MATCH(19,Registro!$T$2:$T$100,0)),"")</f>
        <v/>
      </c>
      <c r="E92" s="90" t="str">
        <f>IFERROR(INDEX(Registro!$P$2:$P$100,MATCH(19,Registro!$T$2:$T$100,0)),"")</f>
        <v/>
      </c>
      <c r="F92" s="66">
        <v>1</v>
      </c>
      <c r="G92" s="68"/>
      <c r="H92" s="69"/>
      <c r="I92" s="66"/>
      <c r="J92" s="69"/>
      <c r="K92" s="67"/>
    </row>
    <row r="93" spans="1:11" ht="13.35" customHeight="1">
      <c r="A93" s="84"/>
      <c r="B93" s="86"/>
      <c r="C93" s="85"/>
      <c r="D93" s="85"/>
      <c r="E93" s="90"/>
      <c r="F93" s="66">
        <v>2</v>
      </c>
      <c r="G93" s="68"/>
      <c r="H93" s="69"/>
      <c r="I93" s="66"/>
      <c r="J93" s="69"/>
      <c r="K93" s="67"/>
    </row>
    <row r="94" spans="1:11" ht="13.35" customHeight="1">
      <c r="A94" s="84"/>
      <c r="B94" s="86"/>
      <c r="C94" s="85"/>
      <c r="D94" s="85"/>
      <c r="E94" s="90"/>
      <c r="F94" s="66">
        <v>3</v>
      </c>
      <c r="G94" s="68"/>
      <c r="H94" s="69"/>
      <c r="I94" s="66"/>
      <c r="J94" s="69"/>
      <c r="K94" s="67"/>
    </row>
    <row r="95" spans="1:11" ht="13.35" customHeight="1">
      <c r="A95" s="84"/>
      <c r="B95" s="86"/>
      <c r="C95" s="85"/>
      <c r="D95" s="85"/>
      <c r="E95" s="90"/>
      <c r="F95" s="66">
        <v>4</v>
      </c>
      <c r="G95" s="68"/>
      <c r="H95" s="69"/>
      <c r="I95" s="66"/>
      <c r="J95" s="69"/>
      <c r="K95" s="67"/>
    </row>
    <row r="96" spans="1:11" ht="13.35" customHeight="1">
      <c r="A96" s="84"/>
      <c r="B96" s="86"/>
      <c r="C96" s="85"/>
      <c r="D96" s="85"/>
      <c r="E96" s="90"/>
      <c r="F96" s="66">
        <v>5</v>
      </c>
      <c r="G96" s="68"/>
      <c r="H96" s="69"/>
      <c r="I96" s="66"/>
      <c r="J96" s="69"/>
      <c r="K96" s="67"/>
    </row>
    <row r="97" spans="1:11" ht="13.35" customHeight="1">
      <c r="A97" s="87" t="str">
        <f>IFERROR(IF(INDEX(Registro!$E$2:$E$100,MATCH(20,Registro!$T$2:$T$100,0))="","",20),"")</f>
        <v/>
      </c>
      <c r="B97" s="88" t="str">
        <f>IFERROR(INDEX(Registro!$E$2:$E$100,MATCH(20,Registro!$T$2:$T$100,0)),"")</f>
        <v/>
      </c>
      <c r="C97" s="88" t="str">
        <f>IFERROR(INDEX(Registro!$F$2:$F$100,MATCH(20,Registro!$T$2:$T$100,0)),"")</f>
        <v/>
      </c>
      <c r="D97" s="88" t="str">
        <f>IFERROR(INDEX(Registro!$B$2:$B$100,MATCH(20,Registro!$T$2:$T$100,0)),"")</f>
        <v/>
      </c>
      <c r="E97" s="91" t="str">
        <f>IFERROR(INDEX(Registro!$P$2:$P$100,MATCH(20,Registro!$T$2:$T$100,0)),"")</f>
        <v/>
      </c>
      <c r="F97" s="70">
        <v>1</v>
      </c>
      <c r="G97" s="72"/>
      <c r="H97" s="73"/>
      <c r="I97" s="70"/>
      <c r="J97" s="73"/>
      <c r="K97" s="71"/>
    </row>
    <row r="98" spans="1:11" ht="13.35" customHeight="1">
      <c r="A98" s="87"/>
      <c r="B98" s="89"/>
      <c r="C98" s="88"/>
      <c r="D98" s="88"/>
      <c r="E98" s="91"/>
      <c r="F98" s="70">
        <v>2</v>
      </c>
      <c r="G98" s="72"/>
      <c r="H98" s="73"/>
      <c r="I98" s="70"/>
      <c r="J98" s="73"/>
      <c r="K98" s="71"/>
    </row>
    <row r="99" spans="1:11" ht="13.35" customHeight="1">
      <c r="A99" s="87"/>
      <c r="B99" s="89"/>
      <c r="C99" s="88"/>
      <c r="D99" s="88"/>
      <c r="E99" s="91"/>
      <c r="F99" s="70">
        <v>3</v>
      </c>
      <c r="G99" s="72"/>
      <c r="H99" s="73"/>
      <c r="I99" s="70"/>
      <c r="J99" s="73"/>
      <c r="K99" s="71"/>
    </row>
    <row r="100" spans="1:11" ht="13.35" customHeight="1">
      <c r="A100" s="87"/>
      <c r="B100" s="89"/>
      <c r="C100" s="88"/>
      <c r="D100" s="88"/>
      <c r="E100" s="91"/>
      <c r="F100" s="70">
        <v>4</v>
      </c>
      <c r="G100" s="72"/>
      <c r="H100" s="73"/>
      <c r="I100" s="70"/>
      <c r="J100" s="73"/>
      <c r="K100" s="71"/>
    </row>
    <row r="101" spans="1:11" ht="13.35" customHeight="1">
      <c r="A101" s="87"/>
      <c r="B101" s="89"/>
      <c r="C101" s="88"/>
      <c r="D101" s="88"/>
      <c r="E101" s="91"/>
      <c r="F101" s="70">
        <v>5</v>
      </c>
      <c r="G101" s="72"/>
      <c r="H101" s="73"/>
      <c r="I101" s="70"/>
      <c r="J101" s="73"/>
      <c r="K101" s="71"/>
    </row>
    <row r="102" spans="1:11" ht="13.35" customHeight="1">
      <c r="A102" s="84" t="str">
        <f>IFERROR(IF(INDEX(Registro!$E$2:$E$100,MATCH(21,Registro!$T$2:$T$100,0))="","",21),"")</f>
        <v/>
      </c>
      <c r="B102" s="85" t="str">
        <f>IFERROR(INDEX(Registro!$E$2:$E$100,MATCH(21,Registro!$T$2:$T$100,0)),"")</f>
        <v/>
      </c>
      <c r="C102" s="85" t="str">
        <f>IFERROR(INDEX(Registro!$F$2:$F$100,MATCH(21,Registro!$T$2:$T$100,0)),"")</f>
        <v/>
      </c>
      <c r="D102" s="85" t="str">
        <f>IFERROR(INDEX(Registro!$B$2:$B$100,MATCH(21,Registro!$T$2:$T$100,0)),"")</f>
        <v/>
      </c>
      <c r="E102" s="90" t="str">
        <f>IFERROR(INDEX(Registro!$P$2:$P$100,MATCH(21,Registro!$T$2:$T$100,0)),"")</f>
        <v/>
      </c>
      <c r="F102" s="66">
        <v>1</v>
      </c>
      <c r="G102" s="68"/>
      <c r="H102" s="69"/>
      <c r="I102" s="66"/>
      <c r="J102" s="69"/>
      <c r="K102" s="67"/>
    </row>
    <row r="103" spans="1:11" ht="13.35" customHeight="1">
      <c r="A103" s="84"/>
      <c r="B103" s="86"/>
      <c r="C103" s="85"/>
      <c r="D103" s="85"/>
      <c r="E103" s="90"/>
      <c r="F103" s="66">
        <v>2</v>
      </c>
      <c r="G103" s="68"/>
      <c r="H103" s="69"/>
      <c r="I103" s="66"/>
      <c r="J103" s="69"/>
      <c r="K103" s="67"/>
    </row>
    <row r="104" spans="1:11" ht="13.35" customHeight="1">
      <c r="A104" s="84"/>
      <c r="B104" s="86"/>
      <c r="C104" s="85"/>
      <c r="D104" s="85"/>
      <c r="E104" s="90"/>
      <c r="F104" s="66">
        <v>3</v>
      </c>
      <c r="G104" s="68"/>
      <c r="H104" s="69"/>
      <c r="I104" s="66"/>
      <c r="J104" s="69"/>
      <c r="K104" s="67"/>
    </row>
    <row r="105" spans="1:11" ht="13.35" customHeight="1">
      <c r="A105" s="84"/>
      <c r="B105" s="86"/>
      <c r="C105" s="85"/>
      <c r="D105" s="85"/>
      <c r="E105" s="90"/>
      <c r="F105" s="66">
        <v>4</v>
      </c>
      <c r="G105" s="68"/>
      <c r="H105" s="69"/>
      <c r="I105" s="66"/>
      <c r="J105" s="69"/>
      <c r="K105" s="67"/>
    </row>
    <row r="106" spans="1:11" ht="13.35" customHeight="1">
      <c r="A106" s="84"/>
      <c r="B106" s="86"/>
      <c r="C106" s="85"/>
      <c r="D106" s="85"/>
      <c r="E106" s="90"/>
      <c r="F106" s="66">
        <v>5</v>
      </c>
      <c r="G106" s="68"/>
      <c r="H106" s="69"/>
      <c r="I106" s="66"/>
      <c r="J106" s="69"/>
      <c r="K106" s="67"/>
    </row>
    <row r="107" spans="1:11" ht="13.35" customHeight="1">
      <c r="A107" s="87" t="str">
        <f>IFERROR(IF(INDEX(Registro!$E$2:$E$100,MATCH(22,Registro!$T$2:$T$100,0))="","",22),"")</f>
        <v/>
      </c>
      <c r="B107" s="88" t="str">
        <f>IFERROR(INDEX(Registro!$E$2:$E$100,MATCH(22,Registro!$T$2:$T$100,0)),"")</f>
        <v/>
      </c>
      <c r="C107" s="88" t="str">
        <f>IFERROR(INDEX(Registro!$F$2:$F$100,MATCH(22,Registro!$T$2:$T$100,0)),"")</f>
        <v/>
      </c>
      <c r="D107" s="88" t="str">
        <f>IFERROR(INDEX(Registro!$B$2:$B$100,MATCH(22,Registro!$T$2:$T$100,0)),"")</f>
        <v/>
      </c>
      <c r="E107" s="91" t="str">
        <f>IFERROR(INDEX(Registro!$P$2:$P$100,MATCH(22,Registro!$T$2:$T$100,0)),"")</f>
        <v/>
      </c>
      <c r="F107" s="70">
        <v>1</v>
      </c>
      <c r="G107" s="72"/>
      <c r="H107" s="73"/>
      <c r="I107" s="70"/>
      <c r="J107" s="73"/>
      <c r="K107" s="71"/>
    </row>
    <row r="108" spans="1:11" ht="13.35" customHeight="1">
      <c r="A108" s="87"/>
      <c r="B108" s="89"/>
      <c r="C108" s="88"/>
      <c r="D108" s="88"/>
      <c r="E108" s="91"/>
      <c r="F108" s="70">
        <v>2</v>
      </c>
      <c r="G108" s="72"/>
      <c r="H108" s="73"/>
      <c r="I108" s="70"/>
      <c r="J108" s="73"/>
      <c r="K108" s="71"/>
    </row>
    <row r="109" spans="1:11" ht="13.35" customHeight="1">
      <c r="A109" s="87"/>
      <c r="B109" s="89"/>
      <c r="C109" s="88"/>
      <c r="D109" s="88"/>
      <c r="E109" s="91"/>
      <c r="F109" s="70">
        <v>3</v>
      </c>
      <c r="G109" s="72"/>
      <c r="H109" s="73"/>
      <c r="I109" s="70"/>
      <c r="J109" s="73"/>
      <c r="K109" s="71"/>
    </row>
    <row r="110" spans="1:11" ht="13.35" customHeight="1">
      <c r="A110" s="87"/>
      <c r="B110" s="89"/>
      <c r="C110" s="88"/>
      <c r="D110" s="88"/>
      <c r="E110" s="91"/>
      <c r="F110" s="70">
        <v>4</v>
      </c>
      <c r="G110" s="72"/>
      <c r="H110" s="73"/>
      <c r="I110" s="70"/>
      <c r="J110" s="73"/>
      <c r="K110" s="71"/>
    </row>
    <row r="111" spans="1:11" ht="13.35" customHeight="1">
      <c r="A111" s="87"/>
      <c r="B111" s="89"/>
      <c r="C111" s="88"/>
      <c r="D111" s="88"/>
      <c r="E111" s="91"/>
      <c r="F111" s="70">
        <v>5</v>
      </c>
      <c r="G111" s="72"/>
      <c r="H111" s="73"/>
      <c r="I111" s="70"/>
      <c r="J111" s="73"/>
      <c r="K111" s="71"/>
    </row>
    <row r="112" spans="1:11" ht="13.35" customHeight="1">
      <c r="A112" s="84" t="str">
        <f>IFERROR(IF(INDEX(Registro!$E$2:$E$100,MATCH(23,Registro!$T$2:$T$100,0))="","",23),"")</f>
        <v/>
      </c>
      <c r="B112" s="85" t="str">
        <f>IFERROR(INDEX(Registro!$E$2:$E$100,MATCH(23,Registro!$T$2:$T$100,0)),"")</f>
        <v/>
      </c>
      <c r="C112" s="85" t="str">
        <f>IFERROR(INDEX(Registro!$F$2:$F$100,MATCH(23,Registro!$T$2:$T$100,0)),"")</f>
        <v/>
      </c>
      <c r="D112" s="85" t="str">
        <f>IFERROR(INDEX(Registro!$B$2:$B$100,MATCH(23,Registro!$T$2:$T$100,0)),"")</f>
        <v/>
      </c>
      <c r="E112" s="90" t="str">
        <f>IFERROR(INDEX(Registro!$P$2:$P$100,MATCH(23,Registro!$T$2:$T$100,0)),"")</f>
        <v/>
      </c>
      <c r="F112" s="66">
        <v>1</v>
      </c>
      <c r="G112" s="68"/>
      <c r="H112" s="69"/>
      <c r="I112" s="66"/>
      <c r="J112" s="69"/>
      <c r="K112" s="67"/>
    </row>
    <row r="113" spans="1:11" ht="13.35" customHeight="1">
      <c r="A113" s="84"/>
      <c r="B113" s="86"/>
      <c r="C113" s="85"/>
      <c r="D113" s="85"/>
      <c r="E113" s="90"/>
      <c r="F113" s="66">
        <v>2</v>
      </c>
      <c r="G113" s="68"/>
      <c r="H113" s="69"/>
      <c r="I113" s="66"/>
      <c r="J113" s="69"/>
      <c r="K113" s="67"/>
    </row>
    <row r="114" spans="1:11" ht="13.35" customHeight="1">
      <c r="A114" s="84"/>
      <c r="B114" s="86"/>
      <c r="C114" s="85"/>
      <c r="D114" s="85"/>
      <c r="E114" s="90"/>
      <c r="F114" s="66">
        <v>3</v>
      </c>
      <c r="G114" s="68"/>
      <c r="H114" s="69"/>
      <c r="I114" s="66"/>
      <c r="J114" s="69"/>
      <c r="K114" s="67"/>
    </row>
    <row r="115" spans="1:11" ht="13.35" customHeight="1">
      <c r="A115" s="84"/>
      <c r="B115" s="86"/>
      <c r="C115" s="85"/>
      <c r="D115" s="85"/>
      <c r="E115" s="90"/>
      <c r="F115" s="66">
        <v>4</v>
      </c>
      <c r="G115" s="68"/>
      <c r="H115" s="69"/>
      <c r="I115" s="66"/>
      <c r="J115" s="69"/>
      <c r="K115" s="67"/>
    </row>
    <row r="116" spans="1:11" ht="13.35" customHeight="1">
      <c r="A116" s="84"/>
      <c r="B116" s="86"/>
      <c r="C116" s="85"/>
      <c r="D116" s="85"/>
      <c r="E116" s="90"/>
      <c r="F116" s="66">
        <v>5</v>
      </c>
      <c r="G116" s="68"/>
      <c r="H116" s="69"/>
      <c r="I116" s="66"/>
      <c r="J116" s="69"/>
      <c r="K116" s="67"/>
    </row>
    <row r="117" spans="1:11" ht="13.35" customHeight="1">
      <c r="A117" s="87" t="str">
        <f>IFERROR(IF(INDEX(Registro!$E$2:$E$100,MATCH(24,Registro!$T$2:$T$100,0))="","",24),"")</f>
        <v/>
      </c>
      <c r="B117" s="88" t="str">
        <f>IFERROR(INDEX(Registro!$E$2:$E$100,MATCH(24,Registro!$T$2:$T$100,0)),"")</f>
        <v/>
      </c>
      <c r="C117" s="88" t="str">
        <f>IFERROR(INDEX(Registro!$F$2:$F$100,MATCH(24,Registro!$T$2:$T$100,0)),"")</f>
        <v/>
      </c>
      <c r="D117" s="88" t="str">
        <f>IFERROR(INDEX(Registro!$B$2:$B$100,MATCH(24,Registro!$T$2:$T$100,0)),"")</f>
        <v/>
      </c>
      <c r="E117" s="91" t="str">
        <f>IFERROR(INDEX(Registro!$P$2:$P$100,MATCH(24,Registro!$T$2:$T$100,0)),"")</f>
        <v/>
      </c>
      <c r="F117" s="70">
        <v>1</v>
      </c>
      <c r="G117" s="72"/>
      <c r="H117" s="73"/>
      <c r="I117" s="70"/>
      <c r="J117" s="73"/>
      <c r="K117" s="71"/>
    </row>
    <row r="118" spans="1:11" ht="13.35" customHeight="1">
      <c r="A118" s="87"/>
      <c r="B118" s="89"/>
      <c r="C118" s="88"/>
      <c r="D118" s="88"/>
      <c r="E118" s="91"/>
      <c r="F118" s="70">
        <v>2</v>
      </c>
      <c r="G118" s="72"/>
      <c r="H118" s="73"/>
      <c r="I118" s="70"/>
      <c r="J118" s="73"/>
      <c r="K118" s="71"/>
    </row>
    <row r="119" spans="1:11" ht="13.35" customHeight="1">
      <c r="A119" s="87"/>
      <c r="B119" s="89"/>
      <c r="C119" s="88"/>
      <c r="D119" s="88"/>
      <c r="E119" s="91"/>
      <c r="F119" s="70">
        <v>3</v>
      </c>
      <c r="G119" s="72"/>
      <c r="H119" s="73"/>
      <c r="I119" s="70"/>
      <c r="J119" s="73"/>
      <c r="K119" s="71"/>
    </row>
    <row r="120" spans="1:11" ht="13.35" customHeight="1">
      <c r="A120" s="87"/>
      <c r="B120" s="89"/>
      <c r="C120" s="88"/>
      <c r="D120" s="88"/>
      <c r="E120" s="91"/>
      <c r="F120" s="70">
        <v>4</v>
      </c>
      <c r="G120" s="72"/>
      <c r="H120" s="73"/>
      <c r="I120" s="70"/>
      <c r="J120" s="73"/>
      <c r="K120" s="71"/>
    </row>
    <row r="121" spans="1:11" ht="13.35" customHeight="1">
      <c r="A121" s="87"/>
      <c r="B121" s="89"/>
      <c r="C121" s="88"/>
      <c r="D121" s="88"/>
      <c r="E121" s="91"/>
      <c r="F121" s="70">
        <v>5</v>
      </c>
      <c r="G121" s="72"/>
      <c r="H121" s="73"/>
      <c r="I121" s="70"/>
      <c r="J121" s="73"/>
      <c r="K121" s="71"/>
    </row>
    <row r="122" spans="1:11" ht="13.35" customHeight="1">
      <c r="A122" s="84" t="str">
        <f>IFERROR(IF(INDEX(Registro!$E$2:$E$100,MATCH(25,Registro!$T$2:$T$100,0))="","",25),"")</f>
        <v/>
      </c>
      <c r="B122" s="85" t="str">
        <f>IFERROR(INDEX(Registro!$E$2:$E$100,MATCH(25,Registro!$T$2:$T$100,0)),"")</f>
        <v/>
      </c>
      <c r="C122" s="85" t="str">
        <f>IFERROR(INDEX(Registro!$F$2:$F$100,MATCH(25,Registro!$T$2:$T$100,0)),"")</f>
        <v/>
      </c>
      <c r="D122" s="85" t="str">
        <f>IFERROR(INDEX(Registro!$B$2:$B$100,MATCH(25,Registro!$T$2:$T$100,0)),"")</f>
        <v/>
      </c>
      <c r="E122" s="90" t="str">
        <f>IFERROR(INDEX(Registro!$P$2:$P$100,MATCH(25,Registro!$T$2:$T$100,0)),"")</f>
        <v/>
      </c>
      <c r="F122" s="66">
        <v>1</v>
      </c>
      <c r="G122" s="68"/>
      <c r="H122" s="69"/>
      <c r="I122" s="66"/>
      <c r="J122" s="69"/>
      <c r="K122" s="67"/>
    </row>
    <row r="123" spans="1:11" ht="13.35" customHeight="1">
      <c r="A123" s="84"/>
      <c r="B123" s="86"/>
      <c r="C123" s="85"/>
      <c r="D123" s="85"/>
      <c r="E123" s="90"/>
      <c r="F123" s="66">
        <v>2</v>
      </c>
      <c r="G123" s="68"/>
      <c r="H123" s="69"/>
      <c r="I123" s="66"/>
      <c r="J123" s="69"/>
      <c r="K123" s="67"/>
    </row>
    <row r="124" spans="1:11" ht="13.35" customHeight="1">
      <c r="A124" s="84"/>
      <c r="B124" s="86"/>
      <c r="C124" s="85"/>
      <c r="D124" s="85"/>
      <c r="E124" s="90"/>
      <c r="F124" s="66">
        <v>3</v>
      </c>
      <c r="G124" s="68"/>
      <c r="H124" s="69"/>
      <c r="I124" s="66"/>
      <c r="J124" s="69"/>
      <c r="K124" s="67"/>
    </row>
    <row r="125" spans="1:11" ht="13.35" customHeight="1">
      <c r="A125" s="84"/>
      <c r="B125" s="86"/>
      <c r="C125" s="85"/>
      <c r="D125" s="85"/>
      <c r="E125" s="90"/>
      <c r="F125" s="66">
        <v>4</v>
      </c>
      <c r="G125" s="68"/>
      <c r="H125" s="69"/>
      <c r="I125" s="66"/>
      <c r="J125" s="69"/>
      <c r="K125" s="67"/>
    </row>
    <row r="126" spans="1:11" ht="13.35" customHeight="1">
      <c r="A126" s="84"/>
      <c r="B126" s="86"/>
      <c r="C126" s="85"/>
      <c r="D126" s="85"/>
      <c r="E126" s="90"/>
      <c r="F126" s="66">
        <v>5</v>
      </c>
      <c r="G126" s="68"/>
      <c r="H126" s="69"/>
      <c r="I126" s="66"/>
      <c r="J126" s="69"/>
      <c r="K126" s="67"/>
    </row>
    <row r="127" spans="1:11" ht="13.35" customHeight="1">
      <c r="A127" s="87" t="str">
        <f>IFERROR(IF(INDEX(Registro!$E$2:$E$100,MATCH(26,Registro!$T$2:$T$100,0))="","",26),"")</f>
        <v/>
      </c>
      <c r="B127" s="88" t="str">
        <f>IFERROR(INDEX(Registro!$E$2:$E$100,MATCH(26,Registro!$T$2:$T$100,0)),"")</f>
        <v/>
      </c>
      <c r="C127" s="88" t="str">
        <f>IFERROR(INDEX(Registro!$F$2:$F$100,MATCH(26,Registro!$T$2:$T$100,0)),"")</f>
        <v/>
      </c>
      <c r="D127" s="88" t="str">
        <f>IFERROR(INDEX(Registro!$B$2:$B$100,MATCH(26,Registro!$T$2:$T$100,0)),"")</f>
        <v/>
      </c>
      <c r="E127" s="91" t="str">
        <f>IFERROR(INDEX(Registro!$P$2:$P$100,MATCH(26,Registro!$T$2:$T$100,0)),"")</f>
        <v/>
      </c>
      <c r="F127" s="70">
        <v>1</v>
      </c>
      <c r="G127" s="72"/>
      <c r="H127" s="73"/>
      <c r="I127" s="70"/>
      <c r="J127" s="73"/>
      <c r="K127" s="71"/>
    </row>
    <row r="128" spans="1:11" ht="13.35" customHeight="1">
      <c r="A128" s="87"/>
      <c r="B128" s="89"/>
      <c r="C128" s="88"/>
      <c r="D128" s="88"/>
      <c r="E128" s="91"/>
      <c r="F128" s="70">
        <v>2</v>
      </c>
      <c r="G128" s="72"/>
      <c r="H128" s="73"/>
      <c r="I128" s="70"/>
      <c r="J128" s="73"/>
      <c r="K128" s="71"/>
    </row>
    <row r="129" spans="1:11" ht="13.35" customHeight="1">
      <c r="A129" s="87"/>
      <c r="B129" s="89"/>
      <c r="C129" s="88"/>
      <c r="D129" s="88"/>
      <c r="E129" s="91"/>
      <c r="F129" s="70">
        <v>3</v>
      </c>
      <c r="G129" s="72"/>
      <c r="H129" s="73"/>
      <c r="I129" s="70"/>
      <c r="J129" s="73"/>
      <c r="K129" s="71"/>
    </row>
    <row r="130" spans="1:11" ht="13.35" customHeight="1">
      <c r="A130" s="87"/>
      <c r="B130" s="89"/>
      <c r="C130" s="88"/>
      <c r="D130" s="88"/>
      <c r="E130" s="91"/>
      <c r="F130" s="70">
        <v>4</v>
      </c>
      <c r="G130" s="72"/>
      <c r="H130" s="73"/>
      <c r="I130" s="70"/>
      <c r="J130" s="73"/>
      <c r="K130" s="71"/>
    </row>
    <row r="131" spans="1:11" ht="13.35" customHeight="1">
      <c r="A131" s="87"/>
      <c r="B131" s="89"/>
      <c r="C131" s="88"/>
      <c r="D131" s="88"/>
      <c r="E131" s="91"/>
      <c r="F131" s="70">
        <v>5</v>
      </c>
      <c r="G131" s="72"/>
      <c r="H131" s="73"/>
      <c r="I131" s="70"/>
      <c r="J131" s="73"/>
      <c r="K131" s="71"/>
    </row>
    <row r="132" spans="1:11" ht="13.35" customHeight="1">
      <c r="A132" s="84" t="str">
        <f>IFERROR(IF(INDEX(Registro!$E$2:$E$100,MATCH(27,Registro!$T$2:$T$100,0))="","",27),"")</f>
        <v/>
      </c>
      <c r="B132" s="85" t="str">
        <f>IFERROR(INDEX(Registro!$E$2:$E$100,MATCH(27,Registro!$T$2:$T$100,0)),"")</f>
        <v/>
      </c>
      <c r="C132" s="85" t="str">
        <f>IFERROR(INDEX(Registro!$F$2:$F$100,MATCH(27,Registro!$T$2:$T$100,0)),"")</f>
        <v/>
      </c>
      <c r="D132" s="85" t="str">
        <f>IFERROR(INDEX(Registro!$B$2:$B$100,MATCH(27,Registro!$T$2:$T$100,0)),"")</f>
        <v/>
      </c>
      <c r="E132" s="90" t="str">
        <f>IFERROR(INDEX(Registro!$P$2:$P$100,MATCH(27,Registro!$T$2:$T$100,0)),"")</f>
        <v/>
      </c>
      <c r="F132" s="66">
        <v>1</v>
      </c>
      <c r="G132" s="68"/>
      <c r="H132" s="69"/>
      <c r="I132" s="66"/>
      <c r="J132" s="69"/>
      <c r="K132" s="67"/>
    </row>
    <row r="133" spans="1:11" ht="13.35" customHeight="1">
      <c r="A133" s="84"/>
      <c r="B133" s="86"/>
      <c r="C133" s="85"/>
      <c r="D133" s="85"/>
      <c r="E133" s="90"/>
      <c r="F133" s="66">
        <v>2</v>
      </c>
      <c r="G133" s="68"/>
      <c r="H133" s="69"/>
      <c r="I133" s="66"/>
      <c r="J133" s="69"/>
      <c r="K133" s="67"/>
    </row>
    <row r="134" spans="1:11" ht="13.35" customHeight="1">
      <c r="A134" s="84"/>
      <c r="B134" s="86"/>
      <c r="C134" s="85"/>
      <c r="D134" s="85"/>
      <c r="E134" s="90"/>
      <c r="F134" s="66">
        <v>3</v>
      </c>
      <c r="G134" s="68"/>
      <c r="H134" s="69"/>
      <c r="I134" s="66"/>
      <c r="J134" s="69"/>
      <c r="K134" s="67"/>
    </row>
    <row r="135" spans="1:11" ht="13.35" customHeight="1">
      <c r="A135" s="84"/>
      <c r="B135" s="86"/>
      <c r="C135" s="85"/>
      <c r="D135" s="85"/>
      <c r="E135" s="90"/>
      <c r="F135" s="66">
        <v>4</v>
      </c>
      <c r="G135" s="68"/>
      <c r="H135" s="69"/>
      <c r="I135" s="66"/>
      <c r="J135" s="69"/>
      <c r="K135" s="67"/>
    </row>
    <row r="136" spans="1:11" ht="13.35" customHeight="1">
      <c r="A136" s="84"/>
      <c r="B136" s="86"/>
      <c r="C136" s="85"/>
      <c r="D136" s="85"/>
      <c r="E136" s="90"/>
      <c r="F136" s="66">
        <v>5</v>
      </c>
      <c r="G136" s="68"/>
      <c r="H136" s="69"/>
      <c r="I136" s="66"/>
      <c r="J136" s="69"/>
      <c r="K136" s="67"/>
    </row>
    <row r="137" spans="1:11" ht="13.35" customHeight="1">
      <c r="A137" s="87" t="str">
        <f>IFERROR(IF(INDEX(Registro!$E$2:$E$100,MATCH(28,Registro!$T$2:$T$100,0))="","",28),"")</f>
        <v/>
      </c>
      <c r="B137" s="88" t="str">
        <f>IFERROR(INDEX(Registro!$E$2:$E$100,MATCH(28,Registro!$T$2:$T$100,0)),"")</f>
        <v/>
      </c>
      <c r="C137" s="88" t="str">
        <f>IFERROR(INDEX(Registro!$F$2:$F$100,MATCH(28,Registro!$T$2:$T$100,0)),"")</f>
        <v/>
      </c>
      <c r="D137" s="88" t="str">
        <f>IFERROR(INDEX(Registro!$B$2:$B$100,MATCH(28,Registro!$T$2:$T$100,0)),"")</f>
        <v/>
      </c>
      <c r="E137" s="91" t="str">
        <f>IFERROR(INDEX(Registro!$P$2:$P$100,MATCH(28,Registro!$T$2:$T$100,0)),"")</f>
        <v/>
      </c>
      <c r="F137" s="70">
        <v>1</v>
      </c>
      <c r="G137" s="72"/>
      <c r="H137" s="73"/>
      <c r="I137" s="70"/>
      <c r="J137" s="73"/>
      <c r="K137" s="71"/>
    </row>
    <row r="138" spans="1:11" ht="13.35" customHeight="1">
      <c r="A138" s="87"/>
      <c r="B138" s="89"/>
      <c r="C138" s="88"/>
      <c r="D138" s="88"/>
      <c r="E138" s="91"/>
      <c r="F138" s="70">
        <v>2</v>
      </c>
      <c r="G138" s="72"/>
      <c r="H138" s="73"/>
      <c r="I138" s="70"/>
      <c r="J138" s="73"/>
      <c r="K138" s="71"/>
    </row>
    <row r="139" spans="1:11" ht="13.35" customHeight="1">
      <c r="A139" s="87"/>
      <c r="B139" s="89"/>
      <c r="C139" s="88"/>
      <c r="D139" s="88"/>
      <c r="E139" s="91"/>
      <c r="F139" s="70">
        <v>3</v>
      </c>
      <c r="G139" s="72"/>
      <c r="H139" s="73"/>
      <c r="I139" s="70"/>
      <c r="J139" s="73"/>
      <c r="K139" s="71"/>
    </row>
    <row r="140" spans="1:11" ht="13.35" customHeight="1">
      <c r="A140" s="87"/>
      <c r="B140" s="89"/>
      <c r="C140" s="88"/>
      <c r="D140" s="88"/>
      <c r="E140" s="91"/>
      <c r="F140" s="70">
        <v>4</v>
      </c>
      <c r="G140" s="72"/>
      <c r="H140" s="73"/>
      <c r="I140" s="70"/>
      <c r="J140" s="73"/>
      <c r="K140" s="71"/>
    </row>
    <row r="141" spans="1:11" ht="13.35" customHeight="1">
      <c r="A141" s="87"/>
      <c r="B141" s="89"/>
      <c r="C141" s="88"/>
      <c r="D141" s="88"/>
      <c r="E141" s="91"/>
      <c r="F141" s="70">
        <v>5</v>
      </c>
      <c r="G141" s="72"/>
      <c r="H141" s="73"/>
      <c r="I141" s="70"/>
      <c r="J141" s="73"/>
      <c r="K141" s="71"/>
    </row>
    <row r="142" spans="1:11" ht="13.35" customHeight="1">
      <c r="A142" s="84" t="str">
        <f>IFERROR(IF(INDEX(Registro!$E$2:$E$100,MATCH(29,Registro!$T$2:$T$100,0))="","",29),"")</f>
        <v/>
      </c>
      <c r="B142" s="85" t="str">
        <f>IFERROR(INDEX(Registro!$E$2:$E$100,MATCH(29,Registro!$T$2:$T$100,0)),"")</f>
        <v/>
      </c>
      <c r="C142" s="85" t="str">
        <f>IFERROR(INDEX(Registro!$F$2:$F$100,MATCH(29,Registro!$T$2:$T$100,0)),"")</f>
        <v/>
      </c>
      <c r="D142" s="85" t="str">
        <f>IFERROR(INDEX(Registro!$B$2:$B$100,MATCH(29,Registro!$T$2:$T$100,0)),"")</f>
        <v/>
      </c>
      <c r="E142" s="90" t="str">
        <f>IFERROR(INDEX(Registro!$P$2:$P$100,MATCH(29,Registro!$T$2:$T$100,0)),"")</f>
        <v/>
      </c>
      <c r="F142" s="66">
        <v>1</v>
      </c>
      <c r="G142" s="68"/>
      <c r="H142" s="69"/>
      <c r="I142" s="66"/>
      <c r="J142" s="69"/>
      <c r="K142" s="67"/>
    </row>
    <row r="143" spans="1:11" ht="13.35" customHeight="1">
      <c r="A143" s="84"/>
      <c r="B143" s="86"/>
      <c r="C143" s="85"/>
      <c r="D143" s="85"/>
      <c r="E143" s="90"/>
      <c r="F143" s="66">
        <v>2</v>
      </c>
      <c r="G143" s="68"/>
      <c r="H143" s="69"/>
      <c r="I143" s="66"/>
      <c r="J143" s="69"/>
      <c r="K143" s="67"/>
    </row>
    <row r="144" spans="1:11" ht="13.35" customHeight="1">
      <c r="A144" s="84"/>
      <c r="B144" s="86"/>
      <c r="C144" s="85"/>
      <c r="D144" s="85"/>
      <c r="E144" s="90"/>
      <c r="F144" s="66">
        <v>3</v>
      </c>
      <c r="G144" s="68"/>
      <c r="H144" s="69"/>
      <c r="I144" s="66"/>
      <c r="J144" s="69"/>
      <c r="K144" s="67"/>
    </row>
    <row r="145" spans="1:11" ht="13.35" customHeight="1">
      <c r="A145" s="84"/>
      <c r="B145" s="86"/>
      <c r="C145" s="85"/>
      <c r="D145" s="85"/>
      <c r="E145" s="90"/>
      <c r="F145" s="66">
        <v>4</v>
      </c>
      <c r="G145" s="68"/>
      <c r="H145" s="69"/>
      <c r="I145" s="66"/>
      <c r="J145" s="69"/>
      <c r="K145" s="67"/>
    </row>
    <row r="146" spans="1:11" ht="13.35" customHeight="1">
      <c r="A146" s="84"/>
      <c r="B146" s="86"/>
      <c r="C146" s="85"/>
      <c r="D146" s="85"/>
      <c r="E146" s="90"/>
      <c r="F146" s="66">
        <v>5</v>
      </c>
      <c r="G146" s="68"/>
      <c r="H146" s="69"/>
      <c r="I146" s="66"/>
      <c r="J146" s="69"/>
      <c r="K146" s="67"/>
    </row>
    <row r="147" spans="1:11" ht="13.35" customHeight="1">
      <c r="A147" s="87" t="str">
        <f>IFERROR(IF(INDEX(Registro!$E$2:$E$100,MATCH(30,Registro!$T$2:$T$100,0))="","",30),"")</f>
        <v/>
      </c>
      <c r="B147" s="88" t="str">
        <f>IFERROR(INDEX(Registro!$E$2:$E$100,MATCH(30,Registro!$T$2:$T$100,0)),"")</f>
        <v/>
      </c>
      <c r="C147" s="88" t="str">
        <f>IFERROR(INDEX(Registro!$F$2:$F$100,MATCH(30,Registro!$T$2:$T$100,0)),"")</f>
        <v/>
      </c>
      <c r="D147" s="88" t="str">
        <f>IFERROR(INDEX(Registro!$B$2:$B$100,MATCH(30,Registro!$T$2:$T$100,0)),"")</f>
        <v/>
      </c>
      <c r="E147" s="91" t="str">
        <f>IFERROR(INDEX(Registro!$P$2:$P$100,MATCH(30,Registro!$T$2:$T$100,0)),"")</f>
        <v/>
      </c>
      <c r="F147" s="70">
        <v>1</v>
      </c>
      <c r="G147" s="72"/>
      <c r="H147" s="73"/>
      <c r="I147" s="70"/>
      <c r="J147" s="73"/>
      <c r="K147" s="71"/>
    </row>
    <row r="148" spans="1:11" ht="13.35" customHeight="1">
      <c r="A148" s="87"/>
      <c r="B148" s="89"/>
      <c r="C148" s="88"/>
      <c r="D148" s="88"/>
      <c r="E148" s="91"/>
      <c r="F148" s="70">
        <v>2</v>
      </c>
      <c r="G148" s="72"/>
      <c r="H148" s="73"/>
      <c r="I148" s="70"/>
      <c r="J148" s="73"/>
      <c r="K148" s="71"/>
    </row>
    <row r="149" spans="1:11" ht="13.35" customHeight="1">
      <c r="A149" s="87"/>
      <c r="B149" s="89"/>
      <c r="C149" s="88"/>
      <c r="D149" s="88"/>
      <c r="E149" s="91"/>
      <c r="F149" s="70">
        <v>3</v>
      </c>
      <c r="G149" s="72"/>
      <c r="H149" s="73"/>
      <c r="I149" s="70"/>
      <c r="J149" s="73"/>
      <c r="K149" s="71"/>
    </row>
    <row r="150" spans="1:11" ht="13.35" customHeight="1">
      <c r="A150" s="87"/>
      <c r="B150" s="89"/>
      <c r="C150" s="88"/>
      <c r="D150" s="88"/>
      <c r="E150" s="91"/>
      <c r="F150" s="70">
        <v>4</v>
      </c>
      <c r="G150" s="72"/>
      <c r="H150" s="73"/>
      <c r="I150" s="70"/>
      <c r="J150" s="73"/>
      <c r="K150" s="71"/>
    </row>
    <row r="151" spans="1:11" ht="13.35" customHeight="1">
      <c r="A151" s="87"/>
      <c r="B151" s="89"/>
      <c r="C151" s="88"/>
      <c r="D151" s="88"/>
      <c r="E151" s="91"/>
      <c r="F151" s="70">
        <v>5</v>
      </c>
      <c r="G151" s="72"/>
      <c r="H151" s="73"/>
      <c r="I151" s="70"/>
      <c r="J151" s="73"/>
      <c r="K151" s="71"/>
    </row>
    <row r="152" spans="1:11">
      <c r="E152" s="92"/>
    </row>
    <row r="153" spans="1:11" ht="15.75">
      <c r="A153" s="74" t="s">
        <v>177</v>
      </c>
      <c r="B153" s="74"/>
      <c r="C153" s="74"/>
      <c r="D153" s="74"/>
      <c r="E153" s="93"/>
      <c r="F153" s="74"/>
      <c r="G153" s="74"/>
      <c r="H153" s="74"/>
      <c r="I153" s="74"/>
      <c r="J153" s="74"/>
    </row>
    <row r="154" spans="1:11" ht="20.100000000000001" customHeight="1">
      <c r="A154" s="75" t="s">
        <v>118</v>
      </c>
      <c r="B154" s="75" t="s">
        <v>4</v>
      </c>
      <c r="C154" s="75" t="s">
        <v>5</v>
      </c>
      <c r="D154" s="75" t="s">
        <v>1</v>
      </c>
      <c r="E154" s="94" t="s">
        <v>184</v>
      </c>
      <c r="F154" s="75" t="s">
        <v>178</v>
      </c>
      <c r="G154" s="75" t="s">
        <v>179</v>
      </c>
      <c r="H154" s="75" t="s">
        <v>180</v>
      </c>
      <c r="I154" s="75" t="s">
        <v>181</v>
      </c>
      <c r="J154" s="75" t="s">
        <v>182</v>
      </c>
    </row>
    <row r="155" spans="1:11" ht="13.35" customHeight="1">
      <c r="A155" s="66">
        <f>IF(B155="","",1)</f>
        <v>1</v>
      </c>
      <c r="B155" s="76">
        <f>$B$2</f>
        <v>1193156026</v>
      </c>
      <c r="C155" s="77" t="str">
        <f>$C$2</f>
        <v>Sara Isabel Molina Sánchez</v>
      </c>
      <c r="D155" s="77" t="str">
        <f>$D$2</f>
        <v>Posgrados</v>
      </c>
      <c r="E155" s="95">
        <f>$E$2</f>
        <v>72</v>
      </c>
      <c r="F155" s="66" t="e">
        <f>IF($B155="","",SUM(#REF!))</f>
        <v>#REF!</v>
      </c>
      <c r="G155" s="66">
        <f>IF($B155="","",SUM(H2:H6))</f>
        <v>0</v>
      </c>
      <c r="H155" s="78" t="str">
        <f>IFERROR(AVERAGE(J2:J6),"")</f>
        <v/>
      </c>
      <c r="I155" s="79"/>
      <c r="J155" s="80"/>
    </row>
    <row r="156" spans="1:11" ht="13.35" customHeight="1">
      <c r="A156" s="66">
        <f>IF(B156="","",2)</f>
        <v>2</v>
      </c>
      <c r="B156" s="76">
        <f>$B$7</f>
        <v>1016001652</v>
      </c>
      <c r="C156" s="77" t="str">
        <f>$C$7</f>
        <v>Helen Sofia Calderon Camelo</v>
      </c>
      <c r="D156" s="77" t="str">
        <f>$D$7</f>
        <v>Posgrados</v>
      </c>
      <c r="E156" s="95">
        <f>$E$7</f>
        <v>70</v>
      </c>
      <c r="F156" s="66" t="e">
        <f>IF($B156="","",SUM(#REF!))</f>
        <v>#REF!</v>
      </c>
      <c r="G156" s="66">
        <f>IF($B156="","",SUM(H7:H11))</f>
        <v>0</v>
      </c>
      <c r="H156" s="78" t="str">
        <f>IFERROR(AVERAGE(J7:J11),"")</f>
        <v/>
      </c>
      <c r="I156" s="79"/>
      <c r="J156" s="80"/>
    </row>
    <row r="157" spans="1:11" ht="13.35" customHeight="1">
      <c r="A157" s="66">
        <f>IF(B157="","",3)</f>
        <v>3</v>
      </c>
      <c r="B157" s="76">
        <f>$B$12</f>
        <v>1001314657</v>
      </c>
      <c r="C157" s="77" t="str">
        <f>$C$12</f>
        <v>Thomas Bernardo Fernandez Laverde</v>
      </c>
      <c r="D157" s="77" t="str">
        <f>$D$12</f>
        <v>Posgrados</v>
      </c>
      <c r="E157" s="95">
        <f>$E$12</f>
        <v>72</v>
      </c>
      <c r="F157" s="66" t="e">
        <f>IF($B157="","",SUM(#REF!))</f>
        <v>#REF!</v>
      </c>
      <c r="G157" s="66">
        <f>IF($B157="","",SUM(H12:H16))</f>
        <v>0</v>
      </c>
      <c r="H157" s="78" t="str">
        <f>IFERROR(AVERAGE(J12:J16),"")</f>
        <v/>
      </c>
      <c r="I157" s="79"/>
      <c r="J157" s="80"/>
    </row>
    <row r="158" spans="1:11" ht="13.35" customHeight="1">
      <c r="A158" s="66">
        <f>IF(B158="","",4)</f>
        <v>4</v>
      </c>
      <c r="B158" s="76">
        <f>$B$17</f>
        <v>1033096735</v>
      </c>
      <c r="C158" s="77" t="str">
        <f>$C$17</f>
        <v>Pablo Steven Ochoa Rodriguez</v>
      </c>
      <c r="D158" s="77" t="str">
        <f>$D$17</f>
        <v>Posgrados</v>
      </c>
      <c r="E158" s="95">
        <f>$E$17</f>
        <v>81</v>
      </c>
      <c r="F158" s="66" t="e">
        <f>IF($B158="","",SUM(#REF!))</f>
        <v>#REF!</v>
      </c>
      <c r="G158" s="66">
        <f>IF($B158="","",SUM(H17:H21))</f>
        <v>0</v>
      </c>
      <c r="H158" s="78" t="str">
        <f>IFERROR(AVERAGE(J17:J21),"")</f>
        <v/>
      </c>
      <c r="I158" s="79"/>
      <c r="J158" s="80"/>
    </row>
    <row r="159" spans="1:11" ht="13.35" customHeight="1">
      <c r="A159" s="66">
        <f>IF(B159="","",5)</f>
        <v>5</v>
      </c>
      <c r="B159" s="76">
        <f>$B$22</f>
        <v>1004961429</v>
      </c>
      <c r="C159" s="77" t="str">
        <f>$C$22</f>
        <v>Jhon Stiven Marin Valencia</v>
      </c>
      <c r="D159" s="77" t="str">
        <f>$D$22</f>
        <v>Posgrados</v>
      </c>
      <c r="E159" s="95">
        <f>$E$22</f>
        <v>73</v>
      </c>
      <c r="F159" s="66" t="e">
        <f>IF($B159="","",SUM(#REF!))</f>
        <v>#REF!</v>
      </c>
      <c r="G159" s="66">
        <f>IF($B159="","",SUM(H22:H26))</f>
        <v>0</v>
      </c>
      <c r="H159" s="78" t="str">
        <f>IFERROR(AVERAGE(J22:J26),"")</f>
        <v/>
      </c>
      <c r="I159" s="79"/>
      <c r="J159" s="80"/>
    </row>
    <row r="160" spans="1:11" ht="13.35" customHeight="1">
      <c r="A160" s="66">
        <f>IF(B160="","",6)</f>
        <v>6</v>
      </c>
      <c r="B160" s="76">
        <f>$B$27</f>
        <v>53121281</v>
      </c>
      <c r="C160" s="77" t="str">
        <f>$C$27</f>
        <v>Yulieth Paola Rodriguez Cañon</v>
      </c>
      <c r="D160" s="77" t="str">
        <f>$D$27</f>
        <v>Posgrados</v>
      </c>
      <c r="E160" s="95">
        <f>$E$27</f>
        <v>78</v>
      </c>
      <c r="F160" s="66" t="e">
        <f>IF($B160="","",SUM(#REF!))</f>
        <v>#REF!</v>
      </c>
      <c r="G160" s="66">
        <f>IF($B160="","",SUM(H27:H31))</f>
        <v>0</v>
      </c>
      <c r="H160" s="78" t="str">
        <f>IFERROR(AVERAGE(J27:J31),"")</f>
        <v/>
      </c>
      <c r="I160" s="79"/>
      <c r="J160" s="80"/>
    </row>
    <row r="161" spans="1:10" ht="13.35" customHeight="1">
      <c r="A161" s="66">
        <f>IF(B161="","",7)</f>
        <v>7</v>
      </c>
      <c r="B161" s="76">
        <f>$B$32</f>
        <v>1024585365</v>
      </c>
      <c r="C161" s="77" t="str">
        <f>$C$32</f>
        <v>Cristian David Celis Garcia</v>
      </c>
      <c r="D161" s="77" t="str">
        <f>$D$32</f>
        <v>Posgrados</v>
      </c>
      <c r="E161" s="95">
        <f>$E$32</f>
        <v>73</v>
      </c>
      <c r="F161" s="66" t="e">
        <f>IF($B161="","",SUM(#REF!))</f>
        <v>#REF!</v>
      </c>
      <c r="G161" s="66">
        <f>IF($B161="","",SUM(H32:H36))</f>
        <v>0</v>
      </c>
      <c r="H161" s="78" t="str">
        <f>IFERROR(AVERAGE(J32:J36),"")</f>
        <v/>
      </c>
      <c r="I161" s="79"/>
      <c r="J161" s="80"/>
    </row>
    <row r="162" spans="1:10" ht="13.35" customHeight="1">
      <c r="A162" s="66">
        <f>IF(B162="","",8)</f>
        <v>8</v>
      </c>
      <c r="B162" s="76">
        <f>$B$37</f>
        <v>1000547797</v>
      </c>
      <c r="C162" s="77" t="str">
        <f>$C$37</f>
        <v>Kamy Lizeth Rios Gomez</v>
      </c>
      <c r="D162" s="77" t="str">
        <f>$D$37</f>
        <v>Posgrados</v>
      </c>
      <c r="E162" s="95">
        <f>$E$37</f>
        <v>90</v>
      </c>
      <c r="F162" s="66" t="e">
        <f>IF($B162="","",SUM(#REF!))</f>
        <v>#REF!</v>
      </c>
      <c r="G162" s="66">
        <f>IF($B162="","",SUM(H37:H41))</f>
        <v>0</v>
      </c>
      <c r="H162" s="78" t="str">
        <f>IFERROR(AVERAGE(J37:J41),"")</f>
        <v/>
      </c>
      <c r="I162" s="79"/>
      <c r="J162" s="80"/>
    </row>
    <row r="163" spans="1:10" ht="13.35" customHeight="1">
      <c r="A163" s="66">
        <f>IF(B163="","",9)</f>
        <v>9</v>
      </c>
      <c r="B163" s="76">
        <f>$B$42</f>
        <v>1023867138</v>
      </c>
      <c r="C163" s="77" t="str">
        <f>$C$42</f>
        <v>Yisell Dayana Castro González</v>
      </c>
      <c r="D163" s="77" t="str">
        <f>$D$42</f>
        <v>Posgrados</v>
      </c>
      <c r="E163" s="95">
        <f>$E$42</f>
        <v>72</v>
      </c>
      <c r="F163" s="66" t="e">
        <f>IF($B163="","",SUM(#REF!))</f>
        <v>#REF!</v>
      </c>
      <c r="G163" s="66">
        <f>IF($B163="","",SUM(H42:H46))</f>
        <v>0</v>
      </c>
      <c r="H163" s="78" t="str">
        <f>IFERROR(AVERAGE(J42:J46),"")</f>
        <v/>
      </c>
      <c r="I163" s="79"/>
      <c r="J163" s="80"/>
    </row>
    <row r="164" spans="1:10" ht="13.35" customHeight="1">
      <c r="A164" s="66">
        <f>IF(B164="","",10)</f>
        <v>10</v>
      </c>
      <c r="B164" s="76">
        <f>$B$47</f>
        <v>1000810776</v>
      </c>
      <c r="C164" s="77" t="str">
        <f>$C$47</f>
        <v>Nataly Andrea Maecha Lizarazo</v>
      </c>
      <c r="D164" s="77" t="str">
        <f>$D$47</f>
        <v>Posgrados</v>
      </c>
      <c r="E164" s="95">
        <f>$E$47</f>
        <v>74</v>
      </c>
      <c r="F164" s="66" t="e">
        <f>IF($B164="","",SUM(#REF!))</f>
        <v>#REF!</v>
      </c>
      <c r="G164" s="66">
        <f>IF($B164="","",SUM(H47:H51))</f>
        <v>0</v>
      </c>
      <c r="H164" s="78" t="str">
        <f>IFERROR(AVERAGE(J47:J51),"")</f>
        <v/>
      </c>
      <c r="I164" s="79"/>
      <c r="J164" s="80"/>
    </row>
    <row r="165" spans="1:10" ht="13.35" customHeight="1">
      <c r="A165" s="66">
        <f>IF(B165="","",11)</f>
        <v>11</v>
      </c>
      <c r="B165" s="76">
        <f>$B$52</f>
        <v>1001271946</v>
      </c>
      <c r="C165" s="77" t="str">
        <f>$C$52</f>
        <v>Luisa Fernanda Rodríguez Sarmiento</v>
      </c>
      <c r="D165" s="77" t="str">
        <f>$D$52</f>
        <v>Posgrados</v>
      </c>
      <c r="E165" s="95">
        <f>$E$52</f>
        <v>74</v>
      </c>
      <c r="F165" s="66" t="e">
        <f>IF($B165="","",SUM(#REF!))</f>
        <v>#REF!</v>
      </c>
      <c r="G165" s="66">
        <f>IF($B165="","",SUM(H52:H56))</f>
        <v>0</v>
      </c>
      <c r="H165" s="78" t="str">
        <f>IFERROR(AVERAGE(J52:J56),"")</f>
        <v/>
      </c>
      <c r="I165" s="79"/>
      <c r="J165" s="80"/>
    </row>
    <row r="166" spans="1:10" ht="13.35" customHeight="1">
      <c r="A166" s="66">
        <f>IF(B166="","",12)</f>
        <v>12</v>
      </c>
      <c r="B166" s="76">
        <f>$B$57</f>
        <v>1117813165</v>
      </c>
      <c r="C166" s="77" t="str">
        <f>$C$57</f>
        <v>Yedinson Stiven Ramirez Perdómo</v>
      </c>
      <c r="D166" s="77" t="str">
        <f>$D$57</f>
        <v>Posgrados</v>
      </c>
      <c r="E166" s="95">
        <f>$E$57</f>
        <v>94</v>
      </c>
      <c r="F166" s="66" t="e">
        <f>IF($B166="","",SUM(#REF!))</f>
        <v>#REF!</v>
      </c>
      <c r="G166" s="66">
        <f>IF($B166="","",SUM(H57:H61))</f>
        <v>0</v>
      </c>
      <c r="H166" s="78" t="str">
        <f>IFERROR(AVERAGE(J57:J61),"")</f>
        <v/>
      </c>
      <c r="I166" s="79"/>
      <c r="J166" s="80"/>
    </row>
    <row r="167" spans="1:10" ht="13.35" customHeight="1">
      <c r="A167" s="66">
        <f>IF(B167="","",13)</f>
        <v>13</v>
      </c>
      <c r="B167" s="76">
        <f>$B$62</f>
        <v>1070595836</v>
      </c>
      <c r="C167" s="77" t="str">
        <f>$C$62</f>
        <v>Hebert Julián Casilimas Ricardo</v>
      </c>
      <c r="D167" s="77" t="str">
        <f>$D$62</f>
        <v>Posgrados</v>
      </c>
      <c r="E167" s="95">
        <f>$E$62</f>
        <v>91</v>
      </c>
      <c r="F167" s="66" t="e">
        <f>IF($B167="","",SUM(#REF!))</f>
        <v>#REF!</v>
      </c>
      <c r="G167" s="66">
        <f>IF($B167="","",SUM(H62:H66))</f>
        <v>0</v>
      </c>
      <c r="H167" s="78" t="str">
        <f>IFERROR(AVERAGE(J62:J66),"")</f>
        <v/>
      </c>
      <c r="I167" s="79"/>
      <c r="J167" s="80"/>
    </row>
    <row r="168" spans="1:10" ht="13.35" customHeight="1">
      <c r="A168" s="66" t="str">
        <f>IF(B168="","",14)</f>
        <v/>
      </c>
      <c r="B168" s="76" t="str">
        <f>$B$67</f>
        <v/>
      </c>
      <c r="C168" s="77" t="str">
        <f>$C$67</f>
        <v/>
      </c>
      <c r="D168" s="77" t="str">
        <f>$D$67</f>
        <v/>
      </c>
      <c r="E168" s="95" t="str">
        <f>$E$67</f>
        <v/>
      </c>
      <c r="F168" s="66" t="str">
        <f>IF($B168="","",SUM(#REF!))</f>
        <v/>
      </c>
      <c r="G168" s="66" t="str">
        <f>IF($B168="","",SUM(H67:H71))</f>
        <v/>
      </c>
      <c r="H168" s="78" t="str">
        <f>IFERROR(AVERAGE(J67:J71),"")</f>
        <v/>
      </c>
      <c r="I168" s="79"/>
      <c r="J168" s="80"/>
    </row>
    <row r="169" spans="1:10" ht="13.35" customHeight="1">
      <c r="A169" s="66" t="str">
        <f>IF(B169="","",15)</f>
        <v/>
      </c>
      <c r="B169" s="76" t="str">
        <f>$B$72</f>
        <v/>
      </c>
      <c r="C169" s="77" t="str">
        <f>$C$72</f>
        <v/>
      </c>
      <c r="D169" s="77" t="str">
        <f>$D$72</f>
        <v/>
      </c>
      <c r="E169" s="95" t="str">
        <f>$E$72</f>
        <v/>
      </c>
      <c r="F169" s="66" t="str">
        <f>IF($B169="","",SUM(#REF!))</f>
        <v/>
      </c>
      <c r="G169" s="66" t="str">
        <f>IF($B169="","",SUM(H72:H76))</f>
        <v/>
      </c>
      <c r="H169" s="78" t="str">
        <f>IFERROR(AVERAGE(J72:J76),"")</f>
        <v/>
      </c>
      <c r="I169" s="79"/>
      <c r="J169" s="80"/>
    </row>
    <row r="170" spans="1:10" ht="13.35" customHeight="1">
      <c r="A170" s="66" t="str">
        <f>IF(B170="","",16)</f>
        <v/>
      </c>
      <c r="B170" s="76" t="str">
        <f>$B$77</f>
        <v/>
      </c>
      <c r="C170" s="77" t="str">
        <f>$C$77</f>
        <v/>
      </c>
      <c r="D170" s="77" t="str">
        <f>$D$77</f>
        <v/>
      </c>
      <c r="E170" s="95" t="str">
        <f>$E$77</f>
        <v/>
      </c>
      <c r="F170" s="66" t="str">
        <f>IF($B170="","",SUM(#REF!))</f>
        <v/>
      </c>
      <c r="G170" s="66" t="str">
        <f>IF($B170="","",SUM(H77:H81))</f>
        <v/>
      </c>
      <c r="H170" s="78" t="str">
        <f>IFERROR(AVERAGE(J77:J81),"")</f>
        <v/>
      </c>
      <c r="I170" s="79"/>
      <c r="J170" s="80"/>
    </row>
    <row r="171" spans="1:10" ht="13.35" customHeight="1">
      <c r="A171" s="66" t="str">
        <f>IF(B171="","",17)</f>
        <v/>
      </c>
      <c r="B171" s="76" t="str">
        <f>$B$82</f>
        <v/>
      </c>
      <c r="C171" s="77" t="str">
        <f>$C$82</f>
        <v/>
      </c>
      <c r="D171" s="77" t="str">
        <f>$D$82</f>
        <v/>
      </c>
      <c r="E171" s="95" t="str">
        <f>$E$82</f>
        <v/>
      </c>
      <c r="F171" s="66" t="str">
        <f>IF($B171="","",SUM(#REF!))</f>
        <v/>
      </c>
      <c r="G171" s="66" t="str">
        <f>IF($B171="","",SUM(H82:H86))</f>
        <v/>
      </c>
      <c r="H171" s="78" t="str">
        <f>IFERROR(AVERAGE(J82:J86),"")</f>
        <v/>
      </c>
      <c r="I171" s="79"/>
      <c r="J171" s="80"/>
    </row>
    <row r="172" spans="1:10" ht="13.35" customHeight="1">
      <c r="A172" s="66" t="str">
        <f>IF(B172="","",18)</f>
        <v/>
      </c>
      <c r="B172" s="76" t="str">
        <f>$B$87</f>
        <v/>
      </c>
      <c r="C172" s="77" t="str">
        <f>$C$87</f>
        <v/>
      </c>
      <c r="D172" s="77" t="str">
        <f>$D$87</f>
        <v/>
      </c>
      <c r="E172" s="95" t="str">
        <f>$E$87</f>
        <v/>
      </c>
      <c r="F172" s="66" t="str">
        <f>IF($B172="","",SUM(#REF!))</f>
        <v/>
      </c>
      <c r="G172" s="66" t="str">
        <f>IF($B172="","",SUM(H87:H91))</f>
        <v/>
      </c>
      <c r="H172" s="78" t="str">
        <f>IFERROR(AVERAGE(J87:J91),"")</f>
        <v/>
      </c>
      <c r="I172" s="79"/>
      <c r="J172" s="80"/>
    </row>
    <row r="173" spans="1:10" ht="13.35" customHeight="1">
      <c r="A173" s="66" t="str">
        <f>IF(B173="","",19)</f>
        <v/>
      </c>
      <c r="B173" s="76" t="str">
        <f>$B$92</f>
        <v/>
      </c>
      <c r="C173" s="77" t="str">
        <f>$C$92</f>
        <v/>
      </c>
      <c r="D173" s="77" t="str">
        <f>$D$92</f>
        <v/>
      </c>
      <c r="E173" s="95" t="str">
        <f>$E$92</f>
        <v/>
      </c>
      <c r="F173" s="66" t="str">
        <f>IF($B173="","",SUM(#REF!))</f>
        <v/>
      </c>
      <c r="G173" s="66" t="str">
        <f>IF($B173="","",SUM(H92:H96))</f>
        <v/>
      </c>
      <c r="H173" s="78" t="str">
        <f>IFERROR(AVERAGE(J92:J96),"")</f>
        <v/>
      </c>
      <c r="I173" s="79"/>
      <c r="J173" s="80"/>
    </row>
    <row r="174" spans="1:10" ht="13.35" customHeight="1">
      <c r="A174" s="66" t="str">
        <f>IF(B174="","",20)</f>
        <v/>
      </c>
      <c r="B174" s="76" t="str">
        <f>$B$97</f>
        <v/>
      </c>
      <c r="C174" s="77" t="str">
        <f>$C$97</f>
        <v/>
      </c>
      <c r="D174" s="77" t="str">
        <f>$D$97</f>
        <v/>
      </c>
      <c r="E174" s="95" t="str">
        <f>$E$97</f>
        <v/>
      </c>
      <c r="F174" s="66" t="str">
        <f>IF($B174="","",SUM(#REF!))</f>
        <v/>
      </c>
      <c r="G174" s="66" t="str">
        <f>IF($B174="","",SUM(H97:H101))</f>
        <v/>
      </c>
      <c r="H174" s="78" t="str">
        <f>IFERROR(AVERAGE(J97:J101),"")</f>
        <v/>
      </c>
      <c r="I174" s="79"/>
      <c r="J174" s="80"/>
    </row>
    <row r="175" spans="1:10" ht="13.35" customHeight="1">
      <c r="A175" s="66" t="str">
        <f>IF(B175="","",21)</f>
        <v/>
      </c>
      <c r="B175" s="76" t="str">
        <f>$B$102</f>
        <v/>
      </c>
      <c r="C175" s="77" t="str">
        <f>$C$102</f>
        <v/>
      </c>
      <c r="D175" s="77" t="str">
        <f>$D$102</f>
        <v/>
      </c>
      <c r="E175" s="95" t="str">
        <f>$E$102</f>
        <v/>
      </c>
      <c r="F175" s="66" t="str">
        <f>IF($B175="","",SUM(#REF!))</f>
        <v/>
      </c>
      <c r="G175" s="66" t="str">
        <f>IF($B175="","",SUM(H102:H106))</f>
        <v/>
      </c>
      <c r="H175" s="78" t="str">
        <f>IFERROR(AVERAGE(J102:J106),"")</f>
        <v/>
      </c>
      <c r="I175" s="79"/>
      <c r="J175" s="80"/>
    </row>
    <row r="176" spans="1:10" ht="13.35" customHeight="1">
      <c r="A176" s="66" t="str">
        <f>IF(B176="","",22)</f>
        <v/>
      </c>
      <c r="B176" s="76" t="str">
        <f>$B$107</f>
        <v/>
      </c>
      <c r="C176" s="77" t="str">
        <f>$C$107</f>
        <v/>
      </c>
      <c r="D176" s="77" t="str">
        <f>$D$107</f>
        <v/>
      </c>
      <c r="E176" s="95" t="str">
        <f>$E$107</f>
        <v/>
      </c>
      <c r="F176" s="66" t="str">
        <f>IF($B176="","",SUM(#REF!))</f>
        <v/>
      </c>
      <c r="G176" s="66" t="str">
        <f>IF($B176="","",SUM(H107:H111))</f>
        <v/>
      </c>
      <c r="H176" s="78" t="str">
        <f>IFERROR(AVERAGE(J107:J111),"")</f>
        <v/>
      </c>
      <c r="I176" s="79"/>
      <c r="J176" s="80"/>
    </row>
    <row r="177" spans="1:10" ht="13.35" customHeight="1">
      <c r="A177" s="66" t="str">
        <f>IF(B177="","",23)</f>
        <v/>
      </c>
      <c r="B177" s="76" t="str">
        <f>$B$112</f>
        <v/>
      </c>
      <c r="C177" s="77" t="str">
        <f>$C$112</f>
        <v/>
      </c>
      <c r="D177" s="77" t="str">
        <f>$D$112</f>
        <v/>
      </c>
      <c r="E177" s="95" t="str">
        <f>$E$112</f>
        <v/>
      </c>
      <c r="F177" s="66" t="str">
        <f>IF($B177="","",SUM(#REF!))</f>
        <v/>
      </c>
      <c r="G177" s="66" t="str">
        <f>IF($B177="","",SUM(H112:H116))</f>
        <v/>
      </c>
      <c r="H177" s="78" t="str">
        <f>IFERROR(AVERAGE(J112:J116),"")</f>
        <v/>
      </c>
      <c r="I177" s="79"/>
      <c r="J177" s="80"/>
    </row>
    <row r="178" spans="1:10" ht="13.35" customHeight="1">
      <c r="A178" s="66" t="str">
        <f>IF(B178="","",24)</f>
        <v/>
      </c>
      <c r="B178" s="76" t="str">
        <f>$B$117</f>
        <v/>
      </c>
      <c r="C178" s="77" t="str">
        <f>$C$117</f>
        <v/>
      </c>
      <c r="D178" s="77" t="str">
        <f>$D$117</f>
        <v/>
      </c>
      <c r="E178" s="95" t="str">
        <f>$E$117</f>
        <v/>
      </c>
      <c r="F178" s="66" t="str">
        <f>IF($B178="","",SUM(#REF!))</f>
        <v/>
      </c>
      <c r="G178" s="66" t="str">
        <f>IF($B178="","",SUM(H117:H121))</f>
        <v/>
      </c>
      <c r="H178" s="78" t="str">
        <f>IFERROR(AVERAGE(J117:J121),"")</f>
        <v/>
      </c>
      <c r="I178" s="79"/>
      <c r="J178" s="80"/>
    </row>
    <row r="179" spans="1:10" ht="13.35" customHeight="1">
      <c r="A179" s="66" t="str">
        <f>IF(B179="","",25)</f>
        <v/>
      </c>
      <c r="B179" s="76" t="str">
        <f>$B$122</f>
        <v/>
      </c>
      <c r="C179" s="77" t="str">
        <f>$C$122</f>
        <v/>
      </c>
      <c r="D179" s="77" t="str">
        <f>$D$122</f>
        <v/>
      </c>
      <c r="E179" s="95" t="str">
        <f>$E$122</f>
        <v/>
      </c>
      <c r="F179" s="66" t="str">
        <f>IF($B179="","",SUM(#REF!))</f>
        <v/>
      </c>
      <c r="G179" s="66" t="str">
        <f>IF($B179="","",SUM(H122:H126))</f>
        <v/>
      </c>
      <c r="H179" s="78" t="str">
        <f>IFERROR(AVERAGE(J122:J126),"")</f>
        <v/>
      </c>
      <c r="I179" s="79"/>
      <c r="J179" s="80"/>
    </row>
    <row r="180" spans="1:10" ht="13.35" customHeight="1">
      <c r="A180" s="66" t="str">
        <f>IF(B180="","",26)</f>
        <v/>
      </c>
      <c r="B180" s="76" t="str">
        <f>$B$127</f>
        <v/>
      </c>
      <c r="C180" s="77" t="str">
        <f>$C$127</f>
        <v/>
      </c>
      <c r="D180" s="77" t="str">
        <f>$D$127</f>
        <v/>
      </c>
      <c r="E180" s="95" t="str">
        <f>$E$127</f>
        <v/>
      </c>
      <c r="F180" s="66" t="str">
        <f>IF($B180="","",SUM(#REF!))</f>
        <v/>
      </c>
      <c r="G180" s="66" t="str">
        <f>IF($B180="","",SUM(H127:H131))</f>
        <v/>
      </c>
      <c r="H180" s="78" t="str">
        <f>IFERROR(AVERAGE(J127:J131),"")</f>
        <v/>
      </c>
      <c r="I180" s="79"/>
      <c r="J180" s="80"/>
    </row>
    <row r="181" spans="1:10" ht="13.35" customHeight="1">
      <c r="A181" s="66" t="str">
        <f>IF(B181="","",27)</f>
        <v/>
      </c>
      <c r="B181" s="76" t="str">
        <f>$B$132</f>
        <v/>
      </c>
      <c r="C181" s="77" t="str">
        <f>$C$132</f>
        <v/>
      </c>
      <c r="D181" s="77" t="str">
        <f>$D$132</f>
        <v/>
      </c>
      <c r="E181" s="95" t="str">
        <f>$E$132</f>
        <v/>
      </c>
      <c r="F181" s="66" t="str">
        <f>IF($B181="","",SUM(#REF!))</f>
        <v/>
      </c>
      <c r="G181" s="66" t="str">
        <f>IF($B181="","",SUM(H132:H136))</f>
        <v/>
      </c>
      <c r="H181" s="78" t="str">
        <f>IFERROR(AVERAGE(J132:J136),"")</f>
        <v/>
      </c>
      <c r="I181" s="79"/>
      <c r="J181" s="80"/>
    </row>
    <row r="182" spans="1:10" ht="13.35" customHeight="1">
      <c r="A182" s="66" t="str">
        <f>IF(B182="","",28)</f>
        <v/>
      </c>
      <c r="B182" s="76" t="str">
        <f>$B$137</f>
        <v/>
      </c>
      <c r="C182" s="77" t="str">
        <f>$C$137</f>
        <v/>
      </c>
      <c r="D182" s="77" t="str">
        <f>$D$137</f>
        <v/>
      </c>
      <c r="E182" s="95" t="str">
        <f>$E$137</f>
        <v/>
      </c>
      <c r="F182" s="66" t="str">
        <f>IF($B182="","",SUM(#REF!))</f>
        <v/>
      </c>
      <c r="G182" s="66" t="str">
        <f>IF($B182="","",SUM(H137:H141))</f>
        <v/>
      </c>
      <c r="H182" s="78" t="str">
        <f>IFERROR(AVERAGE(J137:J141),"")</f>
        <v/>
      </c>
      <c r="I182" s="79"/>
      <c r="J182" s="80"/>
    </row>
    <row r="183" spans="1:10" ht="13.35" customHeight="1">
      <c r="A183" s="66" t="str">
        <f>IF(B183="","",29)</f>
        <v/>
      </c>
      <c r="B183" s="76" t="str">
        <f>$B$142</f>
        <v/>
      </c>
      <c r="C183" s="77" t="str">
        <f>$C$142</f>
        <v/>
      </c>
      <c r="D183" s="77" t="str">
        <f>$D$142</f>
        <v/>
      </c>
      <c r="E183" s="95" t="str">
        <f>$E$142</f>
        <v/>
      </c>
      <c r="F183" s="66" t="str">
        <f>IF($B183="","",SUM(#REF!))</f>
        <v/>
      </c>
      <c r="G183" s="66" t="str">
        <f>IF($B183="","",SUM(H142:H146))</f>
        <v/>
      </c>
      <c r="H183" s="78" t="str">
        <f>IFERROR(AVERAGE(J142:J146),"")</f>
        <v/>
      </c>
      <c r="I183" s="79"/>
      <c r="J183" s="80"/>
    </row>
    <row r="184" spans="1:10" ht="13.35" customHeight="1">
      <c r="A184" s="66" t="str">
        <f>IF(B184="","",30)</f>
        <v/>
      </c>
      <c r="B184" s="76" t="str">
        <f>$B$147</f>
        <v/>
      </c>
      <c r="C184" s="77" t="str">
        <f>$C$147</f>
        <v/>
      </c>
      <c r="D184" s="77" t="str">
        <f>$D$147</f>
        <v/>
      </c>
      <c r="E184" s="95" t="str">
        <f>$E$147</f>
        <v/>
      </c>
      <c r="F184" s="66" t="str">
        <f>IF($B184="","",SUM(#REF!))</f>
        <v/>
      </c>
      <c r="G184" s="66" t="str">
        <f>IF($B184="","",SUM(H147:H151))</f>
        <v/>
      </c>
      <c r="H184" s="78" t="str">
        <f>IFERROR(AVERAGE(J147:J151),"")</f>
        <v/>
      </c>
      <c r="I184" s="79"/>
      <c r="J184" s="80"/>
    </row>
  </sheetData>
  <mergeCells count="150">
    <mergeCell ref="A132:A136"/>
    <mergeCell ref="B132:B136"/>
    <mergeCell ref="C132:C136"/>
    <mergeCell ref="D132:D136"/>
    <mergeCell ref="E132:E136"/>
    <mergeCell ref="A147:A151"/>
    <mergeCell ref="B147:B151"/>
    <mergeCell ref="C147:C151"/>
    <mergeCell ref="D147:D151"/>
    <mergeCell ref="E147:E151"/>
    <mergeCell ref="A137:A141"/>
    <mergeCell ref="B137:B141"/>
    <mergeCell ref="C137:C141"/>
    <mergeCell ref="D137:D141"/>
    <mergeCell ref="E137:E141"/>
    <mergeCell ref="A142:A146"/>
    <mergeCell ref="B142:B146"/>
    <mergeCell ref="C142:C146"/>
    <mergeCell ref="D142:D146"/>
    <mergeCell ref="E142:E146"/>
    <mergeCell ref="A122:A126"/>
    <mergeCell ref="B122:B126"/>
    <mergeCell ref="C122:C126"/>
    <mergeCell ref="D122:D126"/>
    <mergeCell ref="E122:E126"/>
    <mergeCell ref="A127:A131"/>
    <mergeCell ref="B127:B131"/>
    <mergeCell ref="C127:C131"/>
    <mergeCell ref="D127:D131"/>
    <mergeCell ref="E127:E131"/>
    <mergeCell ref="A112:A116"/>
    <mergeCell ref="B112:B116"/>
    <mergeCell ref="C112:C116"/>
    <mergeCell ref="D112:D116"/>
    <mergeCell ref="E112:E116"/>
    <mergeCell ref="A117:A121"/>
    <mergeCell ref="B117:B121"/>
    <mergeCell ref="C117:C121"/>
    <mergeCell ref="D117:D121"/>
    <mergeCell ref="E117:E121"/>
    <mergeCell ref="A102:A106"/>
    <mergeCell ref="B102:B106"/>
    <mergeCell ref="C102:C106"/>
    <mergeCell ref="D102:D106"/>
    <mergeCell ref="E102:E106"/>
    <mergeCell ref="A107:A111"/>
    <mergeCell ref="B107:B111"/>
    <mergeCell ref="C107:C111"/>
    <mergeCell ref="D107:D111"/>
    <mergeCell ref="E107:E111"/>
    <mergeCell ref="A92:A96"/>
    <mergeCell ref="B92:B96"/>
    <mergeCell ref="C92:C96"/>
    <mergeCell ref="D92:D96"/>
    <mergeCell ref="E92:E96"/>
    <mergeCell ref="A97:A101"/>
    <mergeCell ref="B97:B101"/>
    <mergeCell ref="C97:C101"/>
    <mergeCell ref="D97:D101"/>
    <mergeCell ref="E97:E101"/>
    <mergeCell ref="A82:A86"/>
    <mergeCell ref="B82:B86"/>
    <mergeCell ref="C82:C86"/>
    <mergeCell ref="D82:D86"/>
    <mergeCell ref="E82:E86"/>
    <mergeCell ref="A87:A91"/>
    <mergeCell ref="B87:B91"/>
    <mergeCell ref="C87:C91"/>
    <mergeCell ref="D87:D91"/>
    <mergeCell ref="E87:E91"/>
    <mergeCell ref="A72:A76"/>
    <mergeCell ref="B72:B76"/>
    <mergeCell ref="C72:C76"/>
    <mergeCell ref="D72:D76"/>
    <mergeCell ref="E72:E76"/>
    <mergeCell ref="A77:A81"/>
    <mergeCell ref="B77:B81"/>
    <mergeCell ref="C77:C81"/>
    <mergeCell ref="D77:D81"/>
    <mergeCell ref="E77:E81"/>
    <mergeCell ref="A62:A66"/>
    <mergeCell ref="B62:B66"/>
    <mergeCell ref="C62:C66"/>
    <mergeCell ref="D62:D66"/>
    <mergeCell ref="E62:E66"/>
    <mergeCell ref="A67:A71"/>
    <mergeCell ref="B67:B71"/>
    <mergeCell ref="C67:C71"/>
    <mergeCell ref="D67:D71"/>
    <mergeCell ref="E67:E71"/>
    <mergeCell ref="A52:A56"/>
    <mergeCell ref="B52:B56"/>
    <mergeCell ref="C52:C56"/>
    <mergeCell ref="D52:D56"/>
    <mergeCell ref="E52:E56"/>
    <mergeCell ref="A57:A61"/>
    <mergeCell ref="B57:B61"/>
    <mergeCell ref="C57:C61"/>
    <mergeCell ref="D57:D61"/>
    <mergeCell ref="E57:E61"/>
    <mergeCell ref="A42:A46"/>
    <mergeCell ref="B42:B46"/>
    <mergeCell ref="C42:C46"/>
    <mergeCell ref="D42:D46"/>
    <mergeCell ref="E42:E46"/>
    <mergeCell ref="A47:A51"/>
    <mergeCell ref="B47:B51"/>
    <mergeCell ref="C47:C51"/>
    <mergeCell ref="D47:D51"/>
    <mergeCell ref="E47:E51"/>
    <mergeCell ref="A32:A36"/>
    <mergeCell ref="B32:B36"/>
    <mergeCell ref="C32:C36"/>
    <mergeCell ref="D32:D36"/>
    <mergeCell ref="E32:E36"/>
    <mergeCell ref="A37:A41"/>
    <mergeCell ref="B37:B41"/>
    <mergeCell ref="C37:C41"/>
    <mergeCell ref="D37:D41"/>
    <mergeCell ref="E37:E41"/>
    <mergeCell ref="A22:A26"/>
    <mergeCell ref="B22:B26"/>
    <mergeCell ref="C22:C26"/>
    <mergeCell ref="D22:D26"/>
    <mergeCell ref="E22:E26"/>
    <mergeCell ref="A27:A31"/>
    <mergeCell ref="B27:B31"/>
    <mergeCell ref="C27:C31"/>
    <mergeCell ref="D27:D31"/>
    <mergeCell ref="E27:E31"/>
    <mergeCell ref="A12:A16"/>
    <mergeCell ref="B12:B16"/>
    <mergeCell ref="C12:C16"/>
    <mergeCell ref="D12:D16"/>
    <mergeCell ref="E12:E16"/>
    <mergeCell ref="A17:A21"/>
    <mergeCell ref="B17:B21"/>
    <mergeCell ref="C17:C21"/>
    <mergeCell ref="D17:D21"/>
    <mergeCell ref="E17:E21"/>
    <mergeCell ref="A2:A6"/>
    <mergeCell ref="B2:B6"/>
    <mergeCell ref="C2:C6"/>
    <mergeCell ref="D2:D6"/>
    <mergeCell ref="E2:E6"/>
    <mergeCell ref="A7:A11"/>
    <mergeCell ref="B7:B11"/>
    <mergeCell ref="C7:C11"/>
    <mergeCell ref="D7:D11"/>
    <mergeCell ref="E7:E11"/>
  </mergeCells>
  <conditionalFormatting sqref="I155:I184">
    <cfRule type="expression" dxfId="1" priority="1">
      <formula>I155="Sí"</formula>
    </cfRule>
    <cfRule type="expression" dxfId="0" priority="2">
      <formula>I155="No"</formula>
    </cfRule>
  </conditionalFormatting>
  <dataValidations count="5">
    <dataValidation type="whole" operator="greaterThanOrEqual" allowBlank="1" showErrorMessage="1" errorTitle="Valor inválido" error="Ingresa un número igual o mayor a 0." sqref="H2:H151" xr:uid="{53A76B28-90FB-489F-8434-FF22C72E3996}">
      <formula1>0</formula1>
    </dataValidation>
    <dataValidation type="date" operator="greaterThanOrEqual" allowBlank="1" showErrorMessage="1" errorTitle="Fecha inválida" error="Ingresa una fecha válida (DD/MM/AAAA)." sqref="G2:G151" xr:uid="{91BC26E3-EEE8-449B-863E-945CFEC2CF49}">
      <formula1>DATE(2020,1,1)</formula1>
    </dataValidation>
    <dataValidation type="whole" allowBlank="1" showErrorMessage="1" errorTitle="Valor fuera de rango" error="La actitud se califica de 1 a 5." sqref="J2:J151" xr:uid="{6BD76E45-46DD-419C-A5D0-52A84DA3D8AC}">
      <formula1>1</formula1>
      <formula2>5</formula2>
    </dataValidation>
    <dataValidation type="list" allowBlank="1" sqref="I2:I151 I155:I184" xr:uid="{4AE3507A-C182-4E5D-ADBD-341010D3A3DE}">
      <formula1>"Sí,No"</formula1>
    </dataValidation>
    <dataValidation type="list" allowBlank="1" sqref="F2:F151" xr:uid="{7D9B4586-77AF-4A2D-BE33-305B91F90513}">
      <formula1>"1,2,3,4,5"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AEF43-BC30-4228-B040-022E37EBEEEA}">
  <dimension ref="A1:O24"/>
  <sheetViews>
    <sheetView workbookViewId="0">
      <selection activeCell="H6" sqref="H6"/>
    </sheetView>
  </sheetViews>
  <sheetFormatPr baseColWidth="10" defaultRowHeight="15"/>
  <cols>
    <col min="1" max="1" width="77.140625" bestFit="1" customWidth="1"/>
    <col min="2" max="2" width="20.140625" bestFit="1" customWidth="1"/>
    <col min="3" max="3" width="12.5703125" bestFit="1" customWidth="1"/>
    <col min="4" max="4" width="9.42578125" bestFit="1" customWidth="1"/>
    <col min="5" max="5" width="12.5703125" bestFit="1" customWidth="1"/>
    <col min="7" max="7" width="40.7109375" bestFit="1" customWidth="1"/>
    <col min="8" max="8" width="14.85546875" bestFit="1" customWidth="1"/>
    <col min="11" max="11" width="43.5703125" bestFit="1" customWidth="1"/>
    <col min="12" max="12" width="20.140625" bestFit="1" customWidth="1"/>
    <col min="13" max="13" width="11.28515625" bestFit="1" customWidth="1"/>
    <col min="14" max="14" width="9.42578125" bestFit="1" customWidth="1"/>
    <col min="15" max="15" width="12.5703125" bestFit="1" customWidth="1"/>
  </cols>
  <sheetData>
    <row r="1" spans="1:15" ht="21">
      <c r="A1" s="62" t="s">
        <v>165</v>
      </c>
    </row>
    <row r="2" spans="1:15" ht="15.75">
      <c r="A2" s="63" t="s">
        <v>166</v>
      </c>
    </row>
    <row r="4" spans="1:15">
      <c r="A4" s="61" t="s">
        <v>167</v>
      </c>
      <c r="G4" s="61" t="s">
        <v>168</v>
      </c>
      <c r="K4" s="61" t="s">
        <v>169</v>
      </c>
    </row>
    <row r="5" spans="1:15">
      <c r="A5" s="58" t="s">
        <v>163</v>
      </c>
      <c r="B5" s="58" t="s">
        <v>161</v>
      </c>
      <c r="G5" s="58" t="s">
        <v>159</v>
      </c>
      <c r="H5" t="s">
        <v>164</v>
      </c>
      <c r="K5" s="58" t="s">
        <v>170</v>
      </c>
      <c r="L5" s="58" t="s">
        <v>161</v>
      </c>
    </row>
    <row r="6" spans="1:15">
      <c r="A6" s="58" t="s">
        <v>159</v>
      </c>
      <c r="B6" t="s">
        <v>143</v>
      </c>
      <c r="C6" t="s">
        <v>146</v>
      </c>
      <c r="D6" t="s">
        <v>162</v>
      </c>
      <c r="E6" t="s">
        <v>160</v>
      </c>
      <c r="G6" s="59" t="s">
        <v>19</v>
      </c>
      <c r="H6" s="60">
        <v>70.791666666666671</v>
      </c>
      <c r="K6" s="58" t="s">
        <v>159</v>
      </c>
      <c r="L6" t="s">
        <v>143</v>
      </c>
      <c r="M6" t="s">
        <v>146</v>
      </c>
      <c r="N6" t="s">
        <v>162</v>
      </c>
      <c r="O6" t="s">
        <v>160</v>
      </c>
    </row>
    <row r="7" spans="1:15">
      <c r="A7" s="59" t="s">
        <v>19</v>
      </c>
      <c r="B7">
        <v>13</v>
      </c>
      <c r="C7">
        <v>11</v>
      </c>
      <c r="E7">
        <v>24</v>
      </c>
      <c r="G7" s="59" t="s">
        <v>75</v>
      </c>
      <c r="H7" s="60" t="e">
        <v>#VALUE!</v>
      </c>
      <c r="K7" s="59" t="s">
        <v>20</v>
      </c>
      <c r="L7">
        <v>13</v>
      </c>
      <c r="M7">
        <v>20</v>
      </c>
      <c r="N7">
        <v>1</v>
      </c>
      <c r="O7">
        <v>34</v>
      </c>
    </row>
    <row r="8" spans="1:15">
      <c r="A8" s="59" t="s">
        <v>75</v>
      </c>
      <c r="C8">
        <v>9</v>
      </c>
      <c r="D8">
        <v>1</v>
      </c>
      <c r="E8">
        <v>10</v>
      </c>
      <c r="G8" s="59" t="s">
        <v>160</v>
      </c>
      <c r="H8" s="60" t="e">
        <v>#VALUE!</v>
      </c>
      <c r="K8" s="59" t="s">
        <v>160</v>
      </c>
      <c r="L8">
        <v>13</v>
      </c>
      <c r="M8">
        <v>20</v>
      </c>
      <c r="N8">
        <v>1</v>
      </c>
      <c r="O8">
        <v>34</v>
      </c>
    </row>
    <row r="9" spans="1:15">
      <c r="A9" s="59" t="s">
        <v>160</v>
      </c>
      <c r="B9">
        <v>13</v>
      </c>
      <c r="C9">
        <v>20</v>
      </c>
      <c r="D9">
        <v>1</v>
      </c>
      <c r="E9">
        <v>34</v>
      </c>
    </row>
    <row r="18" spans="1:8" ht="15.75">
      <c r="A18" s="63" t="s">
        <v>171</v>
      </c>
    </row>
    <row r="20" spans="1:8">
      <c r="A20" s="61" t="s">
        <v>172</v>
      </c>
      <c r="G20" s="61" t="s">
        <v>174</v>
      </c>
    </row>
    <row r="21" spans="1:8">
      <c r="A21" s="58" t="s">
        <v>173</v>
      </c>
      <c r="B21" s="58" t="s">
        <v>161</v>
      </c>
      <c r="G21" s="58" t="s">
        <v>159</v>
      </c>
      <c r="H21" t="s">
        <v>175</v>
      </c>
    </row>
    <row r="22" spans="1:8">
      <c r="A22" s="58" t="s">
        <v>159</v>
      </c>
      <c r="B22" t="s">
        <v>143</v>
      </c>
      <c r="C22" t="s">
        <v>160</v>
      </c>
      <c r="G22" s="59" t="s">
        <v>19</v>
      </c>
      <c r="H22" s="60">
        <v>78</v>
      </c>
    </row>
    <row r="23" spans="1:8">
      <c r="A23" s="59" t="s">
        <v>19</v>
      </c>
      <c r="B23">
        <v>13</v>
      </c>
      <c r="C23">
        <v>13</v>
      </c>
      <c r="G23" s="59" t="s">
        <v>160</v>
      </c>
      <c r="H23" s="60">
        <v>78</v>
      </c>
    </row>
    <row r="24" spans="1:8">
      <c r="A24" s="59" t="s">
        <v>160</v>
      </c>
      <c r="B24">
        <v>13</v>
      </c>
      <c r="C24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FBFBF"/>
  </sheetPr>
  <dimension ref="A1:K1000"/>
  <sheetViews>
    <sheetView zoomScaleNormal="100" workbookViewId="0">
      <selection activeCell="C7" sqref="C7"/>
    </sheetView>
  </sheetViews>
  <sheetFormatPr baseColWidth="10" defaultColWidth="14.42578125" defaultRowHeight="15"/>
  <cols>
    <col min="1" max="1" width="26" customWidth="1"/>
    <col min="2" max="2" width="25.5703125" customWidth="1"/>
    <col min="3" max="3" width="39" customWidth="1"/>
    <col min="4" max="4" width="16.42578125" customWidth="1"/>
    <col min="5" max="5" width="25.85546875" customWidth="1"/>
    <col min="6" max="6" width="19.140625" customWidth="1"/>
    <col min="7" max="7" width="16.85546875" customWidth="1"/>
    <col min="8" max="8" width="10.28515625" customWidth="1"/>
    <col min="9" max="9" width="8.5703125" customWidth="1"/>
    <col min="10" max="10" width="32" customWidth="1"/>
    <col min="11" max="11" width="6.42578125" customWidth="1"/>
    <col min="12" max="26" width="8.5703125" customWidth="1"/>
  </cols>
  <sheetData>
    <row r="1" spans="1:11" ht="15" customHeight="1">
      <c r="A1" s="32" t="s">
        <v>134</v>
      </c>
      <c r="B1" s="50">
        <v>70</v>
      </c>
      <c r="C1" s="51" t="s">
        <v>135</v>
      </c>
    </row>
    <row r="2" spans="1:11" ht="14.25" customHeight="1">
      <c r="A2" t="s">
        <v>136</v>
      </c>
      <c r="B2">
        <v>5</v>
      </c>
      <c r="C2" t="s">
        <v>137</v>
      </c>
    </row>
    <row r="3" spans="1:11" ht="15" customHeight="1">
      <c r="D3" s="52" t="s">
        <v>1</v>
      </c>
      <c r="E3" s="52" t="s">
        <v>3</v>
      </c>
      <c r="F3" s="52" t="s">
        <v>8</v>
      </c>
      <c r="G3" s="52" t="s">
        <v>138</v>
      </c>
      <c r="H3" s="52" t="s">
        <v>16</v>
      </c>
      <c r="J3" s="52" t="s">
        <v>139</v>
      </c>
      <c r="K3" s="52" t="s">
        <v>140</v>
      </c>
    </row>
    <row r="4" spans="1:11" ht="15" customHeight="1">
      <c r="D4" s="38" t="s">
        <v>75</v>
      </c>
      <c r="E4" s="38" t="s">
        <v>141</v>
      </c>
      <c r="F4" s="38" t="s">
        <v>78</v>
      </c>
      <c r="G4" s="38" t="s">
        <v>142</v>
      </c>
      <c r="H4" s="38" t="s">
        <v>143</v>
      </c>
      <c r="J4" t="s">
        <v>62</v>
      </c>
      <c r="K4">
        <v>5</v>
      </c>
    </row>
    <row r="5" spans="1:11" ht="15" customHeight="1">
      <c r="D5" s="38" t="s">
        <v>111</v>
      </c>
      <c r="E5" s="38" t="s">
        <v>144</v>
      </c>
      <c r="F5" s="38" t="s">
        <v>115</v>
      </c>
      <c r="G5" s="38" t="s">
        <v>145</v>
      </c>
      <c r="H5" s="38" t="s">
        <v>146</v>
      </c>
      <c r="J5" t="s">
        <v>147</v>
      </c>
      <c r="K5">
        <v>10</v>
      </c>
    </row>
    <row r="6" spans="1:11" ht="15" customHeight="1">
      <c r="D6" s="38" t="s">
        <v>19</v>
      </c>
      <c r="E6" s="38" t="s">
        <v>20</v>
      </c>
      <c r="F6" s="38" t="s">
        <v>116</v>
      </c>
      <c r="G6" s="38" t="s">
        <v>148</v>
      </c>
      <c r="J6" t="s">
        <v>149</v>
      </c>
      <c r="K6">
        <v>10</v>
      </c>
    </row>
    <row r="7" spans="1:11" ht="15" customHeight="1">
      <c r="D7" s="38" t="s">
        <v>132</v>
      </c>
      <c r="E7" s="38"/>
      <c r="F7" t="s">
        <v>23</v>
      </c>
      <c r="G7" s="38"/>
      <c r="J7" t="s">
        <v>150</v>
      </c>
      <c r="K7">
        <v>20</v>
      </c>
    </row>
    <row r="8" spans="1:11" ht="15" customHeight="1">
      <c r="D8" s="38"/>
      <c r="E8" s="38"/>
      <c r="J8" t="s">
        <v>151</v>
      </c>
      <c r="K8">
        <v>50</v>
      </c>
    </row>
    <row r="9" spans="1:11" ht="14.25" customHeight="1">
      <c r="J9" t="s">
        <v>152</v>
      </c>
      <c r="K9">
        <v>5</v>
      </c>
    </row>
    <row r="10" spans="1:11" ht="14.25" customHeight="1"/>
    <row r="11" spans="1:11" ht="14.25" customHeight="1">
      <c r="G11" s="53"/>
    </row>
    <row r="12" spans="1:11" ht="27.75" customHeight="1">
      <c r="D12" s="53" t="s">
        <v>153</v>
      </c>
      <c r="E12" s="53"/>
      <c r="F12" s="53"/>
      <c r="G12" s="54"/>
    </row>
    <row r="13" spans="1:11" ht="14.25" customHeight="1">
      <c r="D13" s="55"/>
      <c r="E13" s="55"/>
      <c r="F13" s="56"/>
      <c r="G13" s="54"/>
    </row>
    <row r="14" spans="1:11" ht="14.25" customHeight="1">
      <c r="D14" s="55" t="s">
        <v>154</v>
      </c>
      <c r="E14" s="55"/>
      <c r="F14" s="56"/>
      <c r="G14" s="54"/>
    </row>
    <row r="15" spans="1:11" ht="14.25" customHeight="1">
      <c r="D15" s="55" t="s">
        <v>155</v>
      </c>
      <c r="E15" s="55"/>
      <c r="F15" s="56"/>
      <c r="G15" s="54"/>
    </row>
    <row r="16" spans="1:11" ht="14.25" customHeight="1">
      <c r="D16" s="55" t="s">
        <v>156</v>
      </c>
      <c r="E16" s="55"/>
      <c r="F16" s="56"/>
      <c r="G16" s="54"/>
    </row>
    <row r="17" spans="4:7" ht="14.25" customHeight="1">
      <c r="D17" s="55" t="s">
        <v>157</v>
      </c>
      <c r="E17" s="55"/>
      <c r="F17" s="56"/>
      <c r="G17" s="54"/>
    </row>
    <row r="18" spans="4:7" ht="28.5" customHeight="1">
      <c r="D18" s="55" t="s">
        <v>158</v>
      </c>
      <c r="E18" s="55"/>
      <c r="F18" s="56"/>
      <c r="G18" s="54"/>
    </row>
    <row r="19" spans="4:7" ht="14.25" customHeight="1">
      <c r="D19" s="54"/>
      <c r="E19" s="55"/>
      <c r="F19" s="57"/>
    </row>
    <row r="20" spans="4:7" ht="14.25" customHeight="1"/>
    <row r="21" spans="4:7" ht="14.25" customHeight="1"/>
    <row r="22" spans="4:7" ht="14.25" customHeight="1"/>
    <row r="23" spans="4:7" ht="14.25" customHeight="1"/>
    <row r="24" spans="4:7" ht="14.25" customHeight="1"/>
    <row r="25" spans="4:7" ht="14.25" customHeight="1"/>
    <row r="26" spans="4:7" ht="14.25" customHeight="1"/>
    <row r="27" spans="4:7" ht="14.25" customHeight="1"/>
    <row r="28" spans="4:7" ht="14.25" customHeight="1"/>
    <row r="29" spans="4:7" ht="14.25" customHeight="1"/>
    <row r="30" spans="4:7" ht="14.25" customHeight="1"/>
    <row r="31" spans="4:7" ht="14.25" customHeight="1"/>
    <row r="32" spans="4:7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5</vt:i4>
      </vt:variant>
    </vt:vector>
  </HeadingPairs>
  <TitlesOfParts>
    <vt:vector size="11" baseType="lpstr">
      <vt:lpstr>Registro</vt:lpstr>
      <vt:lpstr>Resumen</vt:lpstr>
      <vt:lpstr>Resumen OJT</vt:lpstr>
      <vt:lpstr>OJT</vt:lpstr>
      <vt:lpstr>Estadisticas</vt:lpstr>
      <vt:lpstr>Parametros</vt:lpstr>
      <vt:lpstr>Lista_Aprueba</vt:lpstr>
      <vt:lpstr>Lista_Campana</vt:lpstr>
      <vt:lpstr>Lista_Cargo</vt:lpstr>
      <vt:lpstr>Lista_Estado</vt:lpstr>
      <vt:lpstr>Lista_Formador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YEISON HERNAN OLAYA TRIVIÑO</cp:lastModifiedBy>
  <cp:revision>3</cp:revision>
  <dcterms:created xsi:type="dcterms:W3CDTF">2026-07-03T17:03:29Z</dcterms:created>
  <dcterms:modified xsi:type="dcterms:W3CDTF">2026-07-28T14:00:44Z</dcterms:modified>
  <dc:language>en-US</dc:language>
</cp:coreProperties>
</file>