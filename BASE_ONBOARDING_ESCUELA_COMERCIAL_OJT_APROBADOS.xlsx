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yeison_oyolat_cun_edu_co/Documents/Documentos/Margaret/"/>
    </mc:Choice>
  </mc:AlternateContent>
  <xr:revisionPtr revIDLastSave="7" documentId="11_B3F48B37777F670F5B25B82890F36AE38C4A6048" xr6:coauthVersionLast="47" xr6:coauthVersionMax="47" xr10:uidLastSave="{45A0AA4D-D6D9-4AF5-B1C9-02C14CB23BB9}"/>
  <bookViews>
    <workbookView xWindow="-120" yWindow="-120" windowWidth="29040" windowHeight="15720" tabRatio="500" activeTab="3" xr2:uid="{00000000-000D-0000-FFFF-FFFF00000000}"/>
  </bookViews>
  <sheets>
    <sheet name="Registro" sheetId="1" r:id="rId1"/>
    <sheet name="Resumen" sheetId="2" r:id="rId2"/>
    <sheet name="Parametros" sheetId="3" r:id="rId3"/>
    <sheet name="OJT" sheetId="4" r:id="rId4"/>
  </sheets>
  <definedNames>
    <definedName name="Lista_Aprueba">Parametros!$H$4:$H$30</definedName>
    <definedName name="Lista_Campana">Parametros!$D$4:$D$30</definedName>
    <definedName name="Lista_Cargo">Parametros!$E$4:$E$30</definedName>
    <definedName name="Lista_Estado">Parametros!$G$4:$G$29</definedName>
    <definedName name="Lista_Formador">Parametros!$F$4:$F$30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4" l="1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C26" i="2"/>
  <c r="B26" i="2"/>
  <c r="D25" i="2"/>
  <c r="C25" i="2"/>
  <c r="B25" i="2"/>
  <c r="D24" i="2"/>
  <c r="C24" i="2"/>
  <c r="B24" i="2"/>
  <c r="B23" i="2"/>
  <c r="C18" i="2"/>
  <c r="D18" i="2" s="1"/>
  <c r="B18" i="2"/>
  <c r="C17" i="2"/>
  <c r="D17" i="2" s="1"/>
  <c r="B17" i="2"/>
  <c r="B16" i="2"/>
  <c r="C15" i="2"/>
  <c r="D15" i="2" s="1"/>
  <c r="B15" i="2"/>
  <c r="B14" i="2"/>
  <c r="B9" i="2"/>
  <c r="B8" i="2"/>
  <c r="B3" i="2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Q96" i="1"/>
  <c r="T96" i="1" s="1"/>
  <c r="P96" i="1"/>
  <c r="A96" i="1"/>
  <c r="Q95" i="1"/>
  <c r="T95" i="1" s="1"/>
  <c r="P95" i="1"/>
  <c r="A95" i="1"/>
  <c r="Q94" i="1"/>
  <c r="T94" i="1" s="1"/>
  <c r="P94" i="1"/>
  <c r="A94" i="1"/>
  <c r="Q93" i="1"/>
  <c r="T93" i="1" s="1"/>
  <c r="P93" i="1"/>
  <c r="A93" i="1"/>
  <c r="Q92" i="1"/>
  <c r="T92" i="1" s="1"/>
  <c r="P92" i="1"/>
  <c r="A92" i="1"/>
  <c r="Q91" i="1"/>
  <c r="T91" i="1" s="1"/>
  <c r="P91" i="1"/>
  <c r="A91" i="1"/>
  <c r="Q90" i="1"/>
  <c r="T90" i="1" s="1"/>
  <c r="P90" i="1"/>
  <c r="A90" i="1"/>
  <c r="Q89" i="1"/>
  <c r="T89" i="1" s="1"/>
  <c r="P89" i="1"/>
  <c r="A89" i="1"/>
  <c r="Q88" i="1"/>
  <c r="T88" i="1" s="1"/>
  <c r="P88" i="1"/>
  <c r="A88" i="1"/>
  <c r="Q87" i="1"/>
  <c r="T87" i="1" s="1"/>
  <c r="P87" i="1"/>
  <c r="A87" i="1"/>
  <c r="Q86" i="1"/>
  <c r="T86" i="1" s="1"/>
  <c r="P86" i="1"/>
  <c r="A86" i="1"/>
  <c r="Q85" i="1"/>
  <c r="T85" i="1" s="1"/>
  <c r="P85" i="1"/>
  <c r="A85" i="1"/>
  <c r="Q84" i="1"/>
  <c r="T84" i="1" s="1"/>
  <c r="P84" i="1"/>
  <c r="A84" i="1"/>
  <c r="Q83" i="1"/>
  <c r="T83" i="1" s="1"/>
  <c r="P83" i="1"/>
  <c r="A83" i="1"/>
  <c r="Q82" i="1"/>
  <c r="T82" i="1" s="1"/>
  <c r="P82" i="1"/>
  <c r="A82" i="1"/>
  <c r="Q81" i="1"/>
  <c r="T81" i="1" s="1"/>
  <c r="P81" i="1"/>
  <c r="A81" i="1"/>
  <c r="Q80" i="1"/>
  <c r="T80" i="1" s="1"/>
  <c r="P80" i="1"/>
  <c r="A80" i="1"/>
  <c r="Q79" i="1"/>
  <c r="T79" i="1" s="1"/>
  <c r="P79" i="1"/>
  <c r="A79" i="1"/>
  <c r="Q78" i="1"/>
  <c r="T78" i="1" s="1"/>
  <c r="P78" i="1"/>
  <c r="A78" i="1"/>
  <c r="Q77" i="1"/>
  <c r="T77" i="1" s="1"/>
  <c r="P77" i="1"/>
  <c r="A77" i="1"/>
  <c r="Q76" i="1"/>
  <c r="T76" i="1" s="1"/>
  <c r="P76" i="1"/>
  <c r="A76" i="1"/>
  <c r="Q75" i="1"/>
  <c r="T75" i="1" s="1"/>
  <c r="P75" i="1"/>
  <c r="A75" i="1"/>
  <c r="Q74" i="1"/>
  <c r="T74" i="1" s="1"/>
  <c r="P74" i="1"/>
  <c r="A74" i="1"/>
  <c r="Q73" i="1"/>
  <c r="T73" i="1" s="1"/>
  <c r="P73" i="1"/>
  <c r="A73" i="1"/>
  <c r="Q72" i="1"/>
  <c r="T72" i="1" s="1"/>
  <c r="P72" i="1"/>
  <c r="A72" i="1"/>
  <c r="Q71" i="1"/>
  <c r="T71" i="1" s="1"/>
  <c r="P71" i="1"/>
  <c r="A71" i="1"/>
  <c r="Q70" i="1"/>
  <c r="T70" i="1" s="1"/>
  <c r="P70" i="1"/>
  <c r="A70" i="1"/>
  <c r="Q69" i="1"/>
  <c r="T69" i="1" s="1"/>
  <c r="P69" i="1"/>
  <c r="A69" i="1"/>
  <c r="Q68" i="1"/>
  <c r="T68" i="1" s="1"/>
  <c r="P68" i="1"/>
  <c r="A68" i="1"/>
  <c r="Q67" i="1"/>
  <c r="T67" i="1" s="1"/>
  <c r="P67" i="1"/>
  <c r="A67" i="1"/>
  <c r="Q66" i="1"/>
  <c r="T66" i="1" s="1"/>
  <c r="P66" i="1"/>
  <c r="A66" i="1"/>
  <c r="Q65" i="1"/>
  <c r="T65" i="1" s="1"/>
  <c r="P65" i="1"/>
  <c r="A65" i="1"/>
  <c r="Q64" i="1"/>
  <c r="T64" i="1" s="1"/>
  <c r="P64" i="1"/>
  <c r="A64" i="1"/>
  <c r="Q63" i="1"/>
  <c r="T63" i="1" s="1"/>
  <c r="P63" i="1"/>
  <c r="A63" i="1"/>
  <c r="Q62" i="1"/>
  <c r="T62" i="1" s="1"/>
  <c r="P62" i="1"/>
  <c r="A62" i="1"/>
  <c r="Q61" i="1"/>
  <c r="T61" i="1" s="1"/>
  <c r="P61" i="1"/>
  <c r="A61" i="1"/>
  <c r="Q60" i="1"/>
  <c r="T60" i="1" s="1"/>
  <c r="P60" i="1"/>
  <c r="A60" i="1"/>
  <c r="Q59" i="1"/>
  <c r="T59" i="1" s="1"/>
  <c r="P59" i="1"/>
  <c r="A59" i="1"/>
  <c r="Q58" i="1"/>
  <c r="T58" i="1" s="1"/>
  <c r="P58" i="1"/>
  <c r="A58" i="1"/>
  <c r="Q57" i="1"/>
  <c r="T57" i="1" s="1"/>
  <c r="P57" i="1"/>
  <c r="A57" i="1"/>
  <c r="Q56" i="1"/>
  <c r="T56" i="1" s="1"/>
  <c r="P56" i="1"/>
  <c r="A56" i="1"/>
  <c r="Q55" i="1"/>
  <c r="T55" i="1" s="1"/>
  <c r="P55" i="1"/>
  <c r="A55" i="1"/>
  <c r="Q54" i="1"/>
  <c r="T54" i="1" s="1"/>
  <c r="P54" i="1"/>
  <c r="A54" i="1"/>
  <c r="Q53" i="1"/>
  <c r="T53" i="1" s="1"/>
  <c r="P53" i="1"/>
  <c r="A53" i="1"/>
  <c r="Q52" i="1"/>
  <c r="T52" i="1" s="1"/>
  <c r="P52" i="1"/>
  <c r="A52" i="1"/>
  <c r="Q51" i="1"/>
  <c r="T51" i="1" s="1"/>
  <c r="P51" i="1"/>
  <c r="A51" i="1"/>
  <c r="Q50" i="1"/>
  <c r="T50" i="1" s="1"/>
  <c r="P50" i="1"/>
  <c r="A50" i="1"/>
  <c r="Q49" i="1"/>
  <c r="T49" i="1" s="1"/>
  <c r="P49" i="1"/>
  <c r="A49" i="1"/>
  <c r="Q48" i="1"/>
  <c r="T48" i="1" s="1"/>
  <c r="P48" i="1"/>
  <c r="A48" i="1"/>
  <c r="Q47" i="1"/>
  <c r="T47" i="1" s="1"/>
  <c r="P47" i="1"/>
  <c r="A47" i="1"/>
  <c r="Q46" i="1"/>
  <c r="T46" i="1" s="1"/>
  <c r="P46" i="1"/>
  <c r="A46" i="1"/>
  <c r="Q45" i="1"/>
  <c r="T45" i="1" s="1"/>
  <c r="P45" i="1"/>
  <c r="A45" i="1"/>
  <c r="Q44" i="1"/>
  <c r="T44" i="1" s="1"/>
  <c r="P44" i="1"/>
  <c r="A44" i="1"/>
  <c r="Q43" i="1"/>
  <c r="T43" i="1" s="1"/>
  <c r="P43" i="1"/>
  <c r="A43" i="1"/>
  <c r="Q42" i="1"/>
  <c r="T42" i="1" s="1"/>
  <c r="P42" i="1"/>
  <c r="A42" i="1"/>
  <c r="Q41" i="1"/>
  <c r="T41" i="1" s="1"/>
  <c r="P41" i="1"/>
  <c r="A41" i="1"/>
  <c r="Q40" i="1"/>
  <c r="T40" i="1" s="1"/>
  <c r="P40" i="1"/>
  <c r="A40" i="1"/>
  <c r="Q39" i="1"/>
  <c r="T39" i="1" s="1"/>
  <c r="P39" i="1"/>
  <c r="A39" i="1"/>
  <c r="Q38" i="1"/>
  <c r="T38" i="1" s="1"/>
  <c r="P38" i="1"/>
  <c r="A38" i="1"/>
  <c r="Q37" i="1"/>
  <c r="T37" i="1" s="1"/>
  <c r="P37" i="1"/>
  <c r="A37" i="1"/>
  <c r="Q36" i="1"/>
  <c r="T36" i="1" s="1"/>
  <c r="P36" i="1"/>
  <c r="A36" i="1"/>
  <c r="P35" i="1"/>
  <c r="Q35" i="1" s="1"/>
  <c r="T35" i="1" s="1"/>
  <c r="A35" i="1"/>
  <c r="P34" i="1"/>
  <c r="Q34" i="1" s="1"/>
  <c r="T34" i="1" s="1"/>
  <c r="A34" i="1"/>
  <c r="P33" i="1"/>
  <c r="Q33" i="1" s="1"/>
  <c r="T33" i="1" s="1"/>
  <c r="A33" i="1"/>
  <c r="P32" i="1"/>
  <c r="A32" i="1"/>
  <c r="P31" i="1"/>
  <c r="Q31" i="1" s="1"/>
  <c r="T31" i="1" s="1"/>
  <c r="A31" i="1"/>
  <c r="P30" i="1"/>
  <c r="Q30" i="1" s="1"/>
  <c r="T30" i="1" s="1"/>
  <c r="A30" i="1"/>
  <c r="P29" i="1"/>
  <c r="Q29" i="1" s="1"/>
  <c r="T29" i="1" s="1"/>
  <c r="A29" i="1"/>
  <c r="P28" i="1"/>
  <c r="Q28" i="1" s="1"/>
  <c r="T28" i="1" s="1"/>
  <c r="A28" i="1"/>
  <c r="P27" i="1"/>
  <c r="Q27" i="1" s="1"/>
  <c r="T27" i="1" s="1"/>
  <c r="A27" i="1"/>
  <c r="P26" i="1"/>
  <c r="Q26" i="1" s="1"/>
  <c r="A26" i="1"/>
  <c r="P25" i="1"/>
  <c r="Q25" i="1" s="1"/>
  <c r="T25" i="1" s="1"/>
  <c r="A25" i="1"/>
  <c r="P24" i="1"/>
  <c r="Q24" i="1" s="1"/>
  <c r="T24" i="1" s="1"/>
  <c r="A24" i="1"/>
  <c r="P23" i="1"/>
  <c r="Q23" i="1" s="1"/>
  <c r="A23" i="1"/>
  <c r="P22" i="1"/>
  <c r="Q22" i="1" s="1"/>
  <c r="T22" i="1" s="1"/>
  <c r="A22" i="1"/>
  <c r="P21" i="1"/>
  <c r="Q21" i="1" s="1"/>
  <c r="A21" i="1"/>
  <c r="P20" i="1"/>
  <c r="Q20" i="1" s="1"/>
  <c r="A20" i="1"/>
  <c r="P19" i="1"/>
  <c r="Q19" i="1" s="1"/>
  <c r="A19" i="1"/>
  <c r="P18" i="1"/>
  <c r="Q18" i="1" s="1"/>
  <c r="A18" i="1"/>
  <c r="P17" i="1"/>
  <c r="Q17" i="1" s="1"/>
  <c r="A17" i="1"/>
  <c r="P16" i="1"/>
  <c r="Q16" i="1" s="1"/>
  <c r="A16" i="1"/>
  <c r="P15" i="1"/>
  <c r="Q15" i="1" s="1"/>
  <c r="T15" i="1" s="1"/>
  <c r="A15" i="1"/>
  <c r="P14" i="1"/>
  <c r="Q14" i="1" s="1"/>
  <c r="T14" i="1" s="1"/>
  <c r="A14" i="1"/>
  <c r="P13" i="1"/>
  <c r="Q13" i="1" s="1"/>
  <c r="T13" i="1" s="1"/>
  <c r="A13" i="1"/>
  <c r="P12" i="1"/>
  <c r="Q12" i="1" s="1"/>
  <c r="A12" i="1"/>
  <c r="P11" i="1"/>
  <c r="Q11" i="1" s="1"/>
  <c r="A11" i="1"/>
  <c r="P10" i="1"/>
  <c r="Q10" i="1" s="1"/>
  <c r="T10" i="1" s="1"/>
  <c r="A10" i="1"/>
  <c r="P9" i="1"/>
  <c r="Q9" i="1" s="1"/>
  <c r="A9" i="1"/>
  <c r="P8" i="1"/>
  <c r="Q8" i="1" s="1"/>
  <c r="T8" i="1" s="1"/>
  <c r="A8" i="1"/>
  <c r="P7" i="1"/>
  <c r="Q7" i="1" s="1"/>
  <c r="T7" i="1" s="1"/>
  <c r="A7" i="1"/>
  <c r="P6" i="1"/>
  <c r="Q6" i="1" s="1"/>
  <c r="A6" i="1"/>
  <c r="P5" i="1"/>
  <c r="Q5" i="1" s="1"/>
  <c r="T5" i="1" s="1"/>
  <c r="A5" i="1"/>
  <c r="P4" i="1"/>
  <c r="Q4" i="1" s="1"/>
  <c r="T4" i="1" s="1"/>
  <c r="A4" i="1"/>
  <c r="P3" i="1"/>
  <c r="Q3" i="1" s="1"/>
  <c r="T3" i="1" s="1"/>
  <c r="A3" i="1"/>
  <c r="P2" i="1"/>
  <c r="Q2" i="1" s="1"/>
  <c r="A2" i="1"/>
  <c r="B7" i="2" l="1"/>
  <c r="Q32" i="1"/>
  <c r="D23" i="2"/>
  <c r="T26" i="1"/>
  <c r="T2" i="1"/>
  <c r="C16" i="2"/>
  <c r="D16" i="2" s="1"/>
  <c r="T21" i="1"/>
  <c r="T19" i="1"/>
  <c r="T16" i="1"/>
  <c r="T20" i="1"/>
  <c r="T18" i="1"/>
  <c r="T12" i="1"/>
  <c r="T23" i="1"/>
  <c r="T17" i="1"/>
  <c r="T11" i="1"/>
  <c r="T9" i="1"/>
  <c r="T6" i="1"/>
  <c r="G5" i="4" l="1"/>
  <c r="H5" i="4"/>
  <c r="A6" i="4"/>
  <c r="B6" i="4"/>
  <c r="C6" i="4"/>
  <c r="D6" i="4"/>
  <c r="E6" i="4"/>
  <c r="F6" i="4"/>
  <c r="G6" i="4"/>
  <c r="H6" i="4"/>
  <c r="A7" i="4"/>
  <c r="B7" i="4"/>
  <c r="C7" i="4"/>
  <c r="D7" i="4"/>
  <c r="E7" i="4"/>
  <c r="F7" i="4"/>
  <c r="G7" i="4"/>
  <c r="H7" i="4"/>
  <c r="A8" i="4"/>
  <c r="B8" i="4"/>
  <c r="C8" i="4"/>
  <c r="D8" i="4"/>
  <c r="E8" i="4"/>
  <c r="F8" i="4"/>
  <c r="G8" i="4"/>
  <c r="H8" i="4"/>
  <c r="A9" i="4"/>
  <c r="B9" i="4"/>
  <c r="C9" i="4"/>
  <c r="D9" i="4"/>
  <c r="E9" i="4"/>
  <c r="F9" i="4"/>
  <c r="G9" i="4"/>
  <c r="H9" i="4"/>
  <c r="A10" i="4"/>
  <c r="B10" i="4"/>
  <c r="C10" i="4"/>
  <c r="D10" i="4"/>
  <c r="E10" i="4"/>
  <c r="F10" i="4"/>
  <c r="G10" i="4"/>
  <c r="H10" i="4"/>
  <c r="A11" i="4"/>
  <c r="B11" i="4"/>
  <c r="C11" i="4"/>
  <c r="D11" i="4"/>
  <c r="E11" i="4"/>
  <c r="F11" i="4"/>
  <c r="G11" i="4"/>
  <c r="H11" i="4"/>
  <c r="A12" i="4"/>
  <c r="B12" i="4"/>
  <c r="C12" i="4"/>
  <c r="D12" i="4"/>
  <c r="E12" i="4"/>
  <c r="F12" i="4"/>
  <c r="G12" i="4"/>
  <c r="H12" i="4"/>
  <c r="A13" i="4"/>
  <c r="B13" i="4"/>
  <c r="C13" i="4"/>
  <c r="D13" i="4"/>
  <c r="E13" i="4"/>
  <c r="F13" i="4"/>
  <c r="G13" i="4"/>
  <c r="H13" i="4"/>
  <c r="A14" i="4"/>
  <c r="B14" i="4"/>
  <c r="C14" i="4"/>
  <c r="D14" i="4"/>
  <c r="E14" i="4"/>
  <c r="F14" i="4"/>
  <c r="G14" i="4"/>
  <c r="H14" i="4"/>
  <c r="B15" i="4"/>
  <c r="C15" i="4"/>
  <c r="D15" i="4"/>
  <c r="E15" i="4"/>
  <c r="F15" i="4"/>
  <c r="G15" i="4"/>
  <c r="H15" i="4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B19" i="4"/>
  <c r="C19" i="4"/>
  <c r="D19" i="4"/>
  <c r="E19" i="4"/>
  <c r="F19" i="4"/>
  <c r="G19" i="4"/>
  <c r="H19" i="4"/>
  <c r="B20" i="4"/>
  <c r="C20" i="4"/>
  <c r="D20" i="4"/>
  <c r="E20" i="4"/>
  <c r="F20" i="4"/>
  <c r="G20" i="4"/>
  <c r="H20" i="4"/>
  <c r="B21" i="4"/>
  <c r="C21" i="4"/>
  <c r="D21" i="4"/>
  <c r="E21" i="4"/>
  <c r="F21" i="4"/>
  <c r="G21" i="4"/>
  <c r="H21" i="4"/>
  <c r="B22" i="4"/>
  <c r="C22" i="4"/>
  <c r="D22" i="4"/>
  <c r="E22" i="4"/>
  <c r="F22" i="4"/>
  <c r="G22" i="4"/>
  <c r="H22" i="4"/>
  <c r="B23" i="4"/>
  <c r="C23" i="4"/>
  <c r="D23" i="4"/>
  <c r="E23" i="4"/>
  <c r="F23" i="4"/>
  <c r="G23" i="4"/>
  <c r="H23" i="4"/>
  <c r="B24" i="4"/>
  <c r="C24" i="4"/>
  <c r="D24" i="4"/>
  <c r="E24" i="4"/>
  <c r="F24" i="4"/>
  <c r="G24" i="4"/>
  <c r="H24" i="4"/>
  <c r="B25" i="4"/>
  <c r="C25" i="4"/>
  <c r="D25" i="4"/>
  <c r="E25" i="4"/>
  <c r="F25" i="4"/>
  <c r="G25" i="4"/>
  <c r="H25" i="4"/>
  <c r="B26" i="4"/>
  <c r="C26" i="4"/>
  <c r="D26" i="4"/>
  <c r="E26" i="4"/>
  <c r="F26" i="4"/>
  <c r="G26" i="4"/>
  <c r="H26" i="4"/>
  <c r="D41" i="4"/>
  <c r="E41" i="4"/>
  <c r="F41" i="4"/>
  <c r="G41" i="4"/>
  <c r="H41" i="4"/>
  <c r="B42" i="4"/>
  <c r="C42" i="4"/>
  <c r="D42" i="4"/>
  <c r="E42" i="4"/>
  <c r="F42" i="4"/>
  <c r="G42" i="4"/>
  <c r="H42" i="4"/>
  <c r="B43" i="4"/>
  <c r="C43" i="4"/>
  <c r="D43" i="4"/>
  <c r="E43" i="4"/>
  <c r="F43" i="4"/>
  <c r="G43" i="4"/>
  <c r="H43" i="4"/>
  <c r="B44" i="4"/>
  <c r="C44" i="4"/>
  <c r="D44" i="4"/>
  <c r="E44" i="4"/>
  <c r="F44" i="4"/>
  <c r="G44" i="4"/>
  <c r="H44" i="4"/>
  <c r="B45" i="4"/>
  <c r="C45" i="4"/>
  <c r="D45" i="4"/>
  <c r="E45" i="4"/>
  <c r="F45" i="4"/>
  <c r="G45" i="4"/>
  <c r="H45" i="4"/>
  <c r="B46" i="4"/>
  <c r="C46" i="4"/>
  <c r="D46" i="4"/>
  <c r="E46" i="4"/>
  <c r="F46" i="4"/>
  <c r="G46" i="4"/>
  <c r="H46" i="4"/>
  <c r="B47" i="4"/>
  <c r="C47" i="4"/>
  <c r="D47" i="4"/>
  <c r="E47" i="4"/>
  <c r="F47" i="4"/>
  <c r="G47" i="4"/>
  <c r="H47" i="4"/>
  <c r="B48" i="4"/>
  <c r="C48" i="4"/>
  <c r="D48" i="4"/>
  <c r="E48" i="4"/>
  <c r="F48" i="4"/>
  <c r="G48" i="4"/>
  <c r="H48" i="4"/>
  <c r="B49" i="4"/>
  <c r="C49" i="4"/>
  <c r="D49" i="4"/>
  <c r="E49" i="4"/>
  <c r="F49" i="4"/>
  <c r="G49" i="4"/>
  <c r="H49" i="4"/>
  <c r="B50" i="4"/>
  <c r="C50" i="4"/>
  <c r="D50" i="4"/>
  <c r="E50" i="4"/>
  <c r="F50" i="4"/>
  <c r="G50" i="4"/>
  <c r="H50" i="4"/>
  <c r="B51" i="4"/>
  <c r="C51" i="4"/>
  <c r="D51" i="4"/>
  <c r="E51" i="4"/>
  <c r="F51" i="4"/>
  <c r="G51" i="4"/>
  <c r="H51" i="4"/>
  <c r="B77" i="4"/>
  <c r="A2" i="4"/>
  <c r="D2" i="4"/>
  <c r="F2" i="4"/>
  <c r="B3" i="4"/>
  <c r="D3" i="4"/>
  <c r="G3" i="4"/>
  <c r="A4" i="4"/>
  <c r="D4" i="4"/>
  <c r="F4" i="4"/>
  <c r="G4" i="4"/>
  <c r="B5" i="4"/>
  <c r="D5" i="4"/>
  <c r="B27" i="4"/>
  <c r="D27" i="4"/>
  <c r="G27" i="4"/>
  <c r="C28" i="4"/>
  <c r="E28" i="4"/>
  <c r="C29" i="4"/>
  <c r="F29" i="4"/>
  <c r="D30" i="4"/>
  <c r="H30" i="4"/>
  <c r="B31" i="4"/>
  <c r="F31" i="4"/>
  <c r="D32" i="4"/>
  <c r="H32" i="4"/>
  <c r="B33" i="4"/>
  <c r="F33" i="4"/>
  <c r="B34" i="4"/>
  <c r="D34" i="4"/>
  <c r="G34" i="4"/>
  <c r="C35" i="4"/>
  <c r="F35" i="4"/>
  <c r="E36" i="4"/>
  <c r="H36" i="4"/>
  <c r="C37" i="4"/>
  <c r="G37" i="4"/>
  <c r="B38" i="4"/>
  <c r="E38" i="4"/>
  <c r="H38" i="4"/>
  <c r="C39" i="4"/>
  <c r="G39" i="4"/>
  <c r="E40" i="4"/>
  <c r="G40" i="4"/>
  <c r="B41" i="4"/>
  <c r="C52" i="4"/>
  <c r="F52" i="4"/>
  <c r="B53" i="4"/>
  <c r="D53" i="4"/>
  <c r="H53" i="4"/>
  <c r="C54" i="4"/>
  <c r="F54" i="4"/>
  <c r="B55" i="4"/>
  <c r="D55" i="4"/>
  <c r="H55" i="4"/>
  <c r="B56" i="4"/>
  <c r="F56" i="4"/>
  <c r="D57" i="4"/>
  <c r="G57" i="4"/>
  <c r="B58" i="4"/>
  <c r="F58" i="4"/>
  <c r="D59" i="4"/>
  <c r="G59" i="4"/>
  <c r="B60" i="4"/>
  <c r="F60" i="4"/>
  <c r="C61" i="4"/>
  <c r="G61" i="4"/>
  <c r="B62" i="4"/>
  <c r="D62" i="4"/>
  <c r="G62" i="4"/>
  <c r="B63" i="4"/>
  <c r="E63" i="4"/>
  <c r="F64" i="4"/>
  <c r="H64" i="4"/>
  <c r="D65" i="4"/>
  <c r="F65" i="4"/>
  <c r="B66" i="4"/>
  <c r="E66" i="4"/>
  <c r="G66" i="4"/>
  <c r="C67" i="4"/>
  <c r="E67" i="4"/>
  <c r="G67" i="4"/>
  <c r="C68" i="4"/>
  <c r="F68" i="4"/>
  <c r="H68" i="4"/>
  <c r="B69" i="4"/>
  <c r="E69" i="4"/>
  <c r="G69" i="4"/>
  <c r="C70" i="4"/>
  <c r="F70" i="4"/>
  <c r="H70" i="4"/>
  <c r="B71" i="4"/>
  <c r="E71" i="4"/>
  <c r="F71" i="4"/>
  <c r="C72" i="4"/>
  <c r="E72" i="4"/>
  <c r="H72" i="4"/>
  <c r="B73" i="4"/>
  <c r="D73" i="4"/>
  <c r="F73" i="4"/>
  <c r="C74" i="4"/>
  <c r="E74" i="4"/>
  <c r="H74" i="4"/>
  <c r="B75" i="4"/>
  <c r="D75" i="4"/>
  <c r="G75" i="4"/>
  <c r="E77" i="4"/>
  <c r="H77" i="4"/>
  <c r="B78" i="4"/>
  <c r="D78" i="4"/>
  <c r="G78" i="4"/>
  <c r="C79" i="4"/>
  <c r="F79" i="4"/>
  <c r="H79" i="4"/>
  <c r="B80" i="4"/>
  <c r="E80" i="4"/>
  <c r="G80" i="4"/>
  <c r="D81" i="4"/>
  <c r="F81" i="4"/>
  <c r="B82" i="4"/>
  <c r="E82" i="4"/>
  <c r="G82" i="4"/>
  <c r="D83" i="4"/>
  <c r="E83" i="4"/>
  <c r="F83" i="4"/>
  <c r="G83" i="4"/>
  <c r="H83" i="4"/>
  <c r="B84" i="4"/>
  <c r="C84" i="4"/>
  <c r="D84" i="4"/>
  <c r="E84" i="4"/>
  <c r="F84" i="4"/>
  <c r="G84" i="4"/>
  <c r="H84" i="4"/>
  <c r="B85" i="4"/>
  <c r="C85" i="4"/>
  <c r="D85" i="4"/>
  <c r="E85" i="4"/>
  <c r="F85" i="4"/>
  <c r="G85" i="4"/>
  <c r="H85" i="4"/>
  <c r="B86" i="4"/>
  <c r="C86" i="4"/>
  <c r="D86" i="4"/>
  <c r="E86" i="4"/>
  <c r="F86" i="4"/>
  <c r="G86" i="4"/>
  <c r="H86" i="4"/>
  <c r="B87" i="4"/>
  <c r="C87" i="4"/>
  <c r="D87" i="4"/>
  <c r="E87" i="4"/>
  <c r="F87" i="4"/>
  <c r="G87" i="4"/>
  <c r="H87" i="4"/>
  <c r="B88" i="4"/>
  <c r="C88" i="4"/>
  <c r="D88" i="4"/>
  <c r="E88" i="4"/>
  <c r="F88" i="4"/>
  <c r="G88" i="4"/>
  <c r="H88" i="4"/>
  <c r="B89" i="4"/>
  <c r="C89" i="4"/>
  <c r="D89" i="4"/>
  <c r="E89" i="4"/>
  <c r="F89" i="4"/>
  <c r="G89" i="4"/>
  <c r="H89" i="4"/>
  <c r="B90" i="4"/>
  <c r="C90" i="4"/>
  <c r="D90" i="4"/>
  <c r="E90" i="4"/>
  <c r="F90" i="4"/>
  <c r="G90" i="4"/>
  <c r="H90" i="4"/>
  <c r="B91" i="4"/>
  <c r="C91" i="4"/>
  <c r="D91" i="4"/>
  <c r="E91" i="4"/>
  <c r="F91" i="4"/>
  <c r="G91" i="4"/>
  <c r="H91" i="4"/>
  <c r="B92" i="4"/>
  <c r="C92" i="4"/>
  <c r="D92" i="4"/>
  <c r="E92" i="4"/>
  <c r="F92" i="4"/>
  <c r="G92" i="4"/>
  <c r="H92" i="4"/>
  <c r="B93" i="4"/>
  <c r="C93" i="4"/>
  <c r="D93" i="4"/>
  <c r="E93" i="4"/>
  <c r="F93" i="4"/>
  <c r="G93" i="4"/>
  <c r="H93" i="4"/>
  <c r="B94" i="4"/>
  <c r="C94" i="4"/>
  <c r="D94" i="4"/>
  <c r="E94" i="4"/>
  <c r="F94" i="4"/>
  <c r="G94" i="4"/>
  <c r="H94" i="4"/>
  <c r="B95" i="4"/>
  <c r="C95" i="4"/>
  <c r="D95" i="4"/>
  <c r="E95" i="4"/>
  <c r="F95" i="4"/>
  <c r="G95" i="4"/>
  <c r="H95" i="4"/>
  <c r="B96" i="4"/>
  <c r="C96" i="4"/>
  <c r="D96" i="4"/>
  <c r="E96" i="4"/>
  <c r="F96" i="4"/>
  <c r="G96" i="4"/>
  <c r="H96" i="4"/>
  <c r="B97" i="4"/>
  <c r="C97" i="4"/>
  <c r="D97" i="4"/>
  <c r="E97" i="4"/>
  <c r="F97" i="4"/>
  <c r="G97" i="4"/>
  <c r="H97" i="4"/>
  <c r="B98" i="4"/>
  <c r="C98" i="4"/>
  <c r="D98" i="4"/>
  <c r="E98" i="4"/>
  <c r="F98" i="4"/>
  <c r="G98" i="4"/>
  <c r="H98" i="4"/>
  <c r="B99" i="4"/>
  <c r="C99" i="4"/>
  <c r="D99" i="4"/>
  <c r="E99" i="4"/>
  <c r="F99" i="4"/>
  <c r="G99" i="4"/>
  <c r="H99" i="4"/>
  <c r="B100" i="4"/>
  <c r="C100" i="4"/>
  <c r="D100" i="4"/>
  <c r="E100" i="4"/>
  <c r="F100" i="4"/>
  <c r="G100" i="4"/>
  <c r="H100" i="4"/>
  <c r="B101" i="4"/>
  <c r="C101" i="4"/>
  <c r="D101" i="4"/>
  <c r="E101" i="4"/>
  <c r="F101" i="4"/>
  <c r="G101" i="4"/>
  <c r="H101" i="4"/>
  <c r="B102" i="4"/>
  <c r="C2" i="4"/>
  <c r="E2" i="4"/>
  <c r="A3" i="4"/>
  <c r="C3" i="4"/>
  <c r="F3" i="4"/>
  <c r="H3" i="4"/>
  <c r="C4" i="4"/>
  <c r="E4" i="4"/>
  <c r="H4" i="4"/>
  <c r="C5" i="4"/>
  <c r="E5" i="4"/>
  <c r="C27" i="4"/>
  <c r="F27" i="4"/>
  <c r="H27" i="4"/>
  <c r="D28" i="4"/>
  <c r="H28" i="4"/>
  <c r="D29" i="4"/>
  <c r="G29" i="4"/>
  <c r="C30" i="4"/>
  <c r="F30" i="4"/>
  <c r="D31" i="4"/>
  <c r="G31" i="4"/>
  <c r="C32" i="4"/>
  <c r="E32" i="4"/>
  <c r="E33" i="4"/>
  <c r="G33" i="4"/>
  <c r="C34" i="4"/>
  <c r="F34" i="4"/>
  <c r="D35" i="4"/>
  <c r="H35" i="4"/>
  <c r="C36" i="4"/>
  <c r="F36" i="4"/>
  <c r="D37" i="4"/>
  <c r="H37" i="4"/>
  <c r="C38" i="4"/>
  <c r="G38" i="4"/>
  <c r="B39" i="4"/>
  <c r="E39" i="4"/>
  <c r="H39" i="4"/>
  <c r="D40" i="4"/>
  <c r="F40" i="4"/>
  <c r="C41" i="4"/>
  <c r="E52" i="4"/>
  <c r="H52" i="4"/>
  <c r="C53" i="4"/>
  <c r="F53" i="4"/>
  <c r="E54" i="4"/>
  <c r="G54" i="4"/>
  <c r="C55" i="4"/>
  <c r="E55" i="4"/>
  <c r="D56" i="4"/>
  <c r="G56" i="4"/>
  <c r="B57" i="4"/>
  <c r="E57" i="4"/>
  <c r="D58" i="4"/>
  <c r="G58" i="4"/>
  <c r="B59" i="4"/>
  <c r="F59" i="4"/>
  <c r="E60" i="4"/>
  <c r="H60" i="4"/>
  <c r="E61" i="4"/>
  <c r="H61" i="4"/>
  <c r="E62" i="4"/>
  <c r="H62" i="4"/>
  <c r="D63" i="4"/>
  <c r="G63" i="4"/>
  <c r="B64" i="4"/>
  <c r="E64" i="4"/>
  <c r="E65" i="4"/>
  <c r="H65" i="4"/>
  <c r="C66" i="4"/>
  <c r="E116" i="4"/>
  <c r="F116" i="4"/>
  <c r="G116" i="4"/>
  <c r="H116" i="4"/>
  <c r="B117" i="4"/>
  <c r="C117" i="4"/>
  <c r="D117" i="4"/>
  <c r="E117" i="4"/>
  <c r="F117" i="4"/>
  <c r="G117" i="4"/>
  <c r="H117" i="4"/>
  <c r="B118" i="4"/>
  <c r="C118" i="4"/>
  <c r="D118" i="4"/>
  <c r="E118" i="4"/>
  <c r="F118" i="4"/>
  <c r="G118" i="4"/>
  <c r="H118" i="4"/>
  <c r="B119" i="4"/>
  <c r="C119" i="4"/>
  <c r="D119" i="4"/>
  <c r="E119" i="4"/>
  <c r="F119" i="4"/>
  <c r="G119" i="4"/>
  <c r="H119" i="4"/>
  <c r="B120" i="4"/>
  <c r="C120" i="4"/>
  <c r="D120" i="4"/>
  <c r="E120" i="4"/>
  <c r="F120" i="4"/>
  <c r="G120" i="4"/>
  <c r="H120" i="4"/>
  <c r="B121" i="4"/>
  <c r="C121" i="4"/>
  <c r="D121" i="4"/>
  <c r="E121" i="4"/>
  <c r="F121" i="4"/>
  <c r="G121" i="4"/>
  <c r="H121" i="4"/>
  <c r="B122" i="4"/>
  <c r="C122" i="4"/>
  <c r="D122" i="4"/>
  <c r="E122" i="4"/>
  <c r="F122" i="4"/>
  <c r="G122" i="4"/>
  <c r="H122" i="4"/>
  <c r="B123" i="4"/>
  <c r="C123" i="4"/>
  <c r="D123" i="4"/>
  <c r="E123" i="4"/>
  <c r="F123" i="4"/>
  <c r="G123" i="4"/>
  <c r="H123" i="4"/>
  <c r="B124" i="4"/>
  <c r="C124" i="4"/>
  <c r="D124" i="4"/>
  <c r="E124" i="4"/>
  <c r="F124" i="4"/>
  <c r="G124" i="4"/>
  <c r="H124" i="4"/>
  <c r="B125" i="4"/>
  <c r="C125" i="4"/>
  <c r="D125" i="4"/>
  <c r="E125" i="4"/>
  <c r="F125" i="4"/>
  <c r="G125" i="4"/>
  <c r="H125" i="4"/>
  <c r="B126" i="4"/>
  <c r="C126" i="4"/>
  <c r="D126" i="4"/>
  <c r="E126" i="4"/>
  <c r="F126" i="4"/>
  <c r="G126" i="4"/>
  <c r="H126" i="4"/>
  <c r="B127" i="4"/>
  <c r="G2" i="4"/>
  <c r="E3" i="4"/>
  <c r="B4" i="4"/>
  <c r="F28" i="4"/>
  <c r="B29" i="4"/>
  <c r="H29" i="4"/>
  <c r="E30" i="4"/>
  <c r="C31" i="4"/>
  <c r="H31" i="4"/>
  <c r="F32" i="4"/>
  <c r="C33" i="4"/>
  <c r="H33" i="4"/>
  <c r="E34" i="4"/>
  <c r="B35" i="4"/>
  <c r="G35" i="4"/>
  <c r="D36" i="4"/>
  <c r="B37" i="4"/>
  <c r="F37" i="4"/>
  <c r="D38" i="4"/>
  <c r="F39" i="4"/>
  <c r="C40" i="4"/>
  <c r="D52" i="4"/>
  <c r="G53" i="4"/>
  <c r="D54" i="4"/>
  <c r="G55" i="4"/>
  <c r="C56" i="4"/>
  <c r="H56" i="4"/>
  <c r="F57" i="4"/>
  <c r="C58" i="4"/>
  <c r="H58" i="4"/>
  <c r="E59" i="4"/>
  <c r="C60" i="4"/>
  <c r="G60" i="4"/>
  <c r="D61" i="4"/>
  <c r="F62" i="4"/>
  <c r="C63" i="4"/>
  <c r="H63" i="4"/>
  <c r="D64" i="4"/>
  <c r="B65" i="4"/>
  <c r="G65" i="4"/>
  <c r="D66" i="4"/>
  <c r="H66" i="4"/>
  <c r="D67" i="4"/>
  <c r="H67" i="4"/>
  <c r="D68" i="4"/>
  <c r="G68" i="4"/>
  <c r="C69" i="4"/>
  <c r="F69" i="4"/>
  <c r="B70" i="4"/>
  <c r="E70" i="4"/>
  <c r="D71" i="4"/>
  <c r="H71" i="4"/>
  <c r="D72" i="4"/>
  <c r="G72" i="4"/>
  <c r="C73" i="4"/>
  <c r="G73" i="4"/>
  <c r="B74" i="4"/>
  <c r="F74" i="4"/>
  <c r="E75" i="4"/>
  <c r="H75" i="4"/>
  <c r="B76" i="4"/>
  <c r="D76" i="4"/>
  <c r="G76" i="4"/>
  <c r="D77" i="4"/>
  <c r="G77" i="4"/>
  <c r="C78" i="4"/>
  <c r="F78" i="4"/>
  <c r="B79" i="4"/>
  <c r="E79" i="4"/>
  <c r="D80" i="4"/>
  <c r="H80" i="4"/>
  <c r="C81" i="4"/>
  <c r="G81" i="4"/>
  <c r="C82" i="4"/>
  <c r="F82" i="4"/>
  <c r="B83" i="4"/>
  <c r="C102" i="4"/>
  <c r="E102" i="4"/>
  <c r="G102" i="4"/>
  <c r="C103" i="4"/>
  <c r="H103" i="4"/>
  <c r="B104" i="4"/>
  <c r="D104" i="4"/>
  <c r="F104" i="4"/>
  <c r="H104" i="4"/>
  <c r="B105" i="4"/>
  <c r="D105" i="4"/>
  <c r="F105" i="4"/>
  <c r="H105" i="4"/>
  <c r="B106" i="4"/>
  <c r="D106" i="4"/>
  <c r="F106" i="4"/>
  <c r="H106" i="4"/>
  <c r="B107" i="4"/>
  <c r="D107" i="4"/>
  <c r="F107" i="4"/>
  <c r="H107" i="4"/>
  <c r="B108" i="4"/>
  <c r="D108" i="4"/>
  <c r="F108" i="4"/>
  <c r="H108" i="4"/>
  <c r="B109" i="4"/>
  <c r="D109" i="4"/>
  <c r="F109" i="4"/>
  <c r="H109" i="4"/>
  <c r="B110" i="4"/>
  <c r="D110" i="4"/>
  <c r="F110" i="4"/>
  <c r="H110" i="4"/>
  <c r="B111" i="4"/>
  <c r="D111" i="4"/>
  <c r="F111" i="4"/>
  <c r="H111" i="4"/>
  <c r="B112" i="4"/>
  <c r="D112" i="4"/>
  <c r="F112" i="4"/>
  <c r="H112" i="4"/>
  <c r="B113" i="4"/>
  <c r="D113" i="4"/>
  <c r="F113" i="4"/>
  <c r="H113" i="4"/>
  <c r="B114" i="4"/>
  <c r="D114" i="4"/>
  <c r="F114" i="4"/>
  <c r="H114" i="4"/>
  <c r="B115" i="4"/>
  <c r="C115" i="4"/>
  <c r="E115" i="4"/>
  <c r="G115" i="4"/>
  <c r="B116" i="4"/>
  <c r="C116" i="4"/>
  <c r="D116" i="4"/>
  <c r="C127" i="4"/>
  <c r="D127" i="4"/>
  <c r="E127" i="4"/>
  <c r="F127" i="4"/>
  <c r="G127" i="4"/>
  <c r="H127" i="4"/>
  <c r="B128" i="4"/>
  <c r="C128" i="4"/>
  <c r="D128" i="4"/>
  <c r="E128" i="4"/>
  <c r="F128" i="4"/>
  <c r="G128" i="4"/>
  <c r="H128" i="4"/>
  <c r="B129" i="4"/>
  <c r="C129" i="4"/>
  <c r="D129" i="4"/>
  <c r="E129" i="4"/>
  <c r="F129" i="4"/>
  <c r="G129" i="4"/>
  <c r="H129" i="4"/>
  <c r="B130" i="4"/>
  <c r="C130" i="4"/>
  <c r="D130" i="4"/>
  <c r="E130" i="4"/>
  <c r="F130" i="4"/>
  <c r="G130" i="4"/>
  <c r="H130" i="4"/>
  <c r="B131" i="4"/>
  <c r="C131" i="4"/>
  <c r="D131" i="4"/>
  <c r="E131" i="4"/>
  <c r="F131" i="4"/>
  <c r="G131" i="4"/>
  <c r="H131" i="4"/>
  <c r="B132" i="4"/>
  <c r="C132" i="4"/>
  <c r="D132" i="4"/>
  <c r="E132" i="4"/>
  <c r="F132" i="4"/>
  <c r="G132" i="4"/>
  <c r="H132" i="4"/>
  <c r="B133" i="4"/>
  <c r="C133" i="4"/>
  <c r="D133" i="4"/>
  <c r="E133" i="4"/>
  <c r="F133" i="4"/>
  <c r="G133" i="4"/>
  <c r="H133" i="4"/>
  <c r="B134" i="4"/>
  <c r="C134" i="4"/>
  <c r="D134" i="4"/>
  <c r="E134" i="4"/>
  <c r="F134" i="4"/>
  <c r="G134" i="4"/>
  <c r="H134" i="4"/>
  <c r="B135" i="4"/>
  <c r="C135" i="4"/>
  <c r="D135" i="4"/>
  <c r="E135" i="4"/>
  <c r="F135" i="4"/>
  <c r="G135" i="4"/>
  <c r="H135" i="4"/>
  <c r="B136" i="4"/>
  <c r="C136" i="4"/>
  <c r="D136" i="4"/>
  <c r="E136" i="4"/>
  <c r="F136" i="4"/>
  <c r="G136" i="4"/>
  <c r="H136" i="4"/>
  <c r="B137" i="4"/>
  <c r="C137" i="4"/>
  <c r="D137" i="4"/>
  <c r="E137" i="4"/>
  <c r="F137" i="4"/>
  <c r="G137" i="4"/>
  <c r="H137" i="4"/>
  <c r="B138" i="4"/>
  <c r="C138" i="4"/>
  <c r="D138" i="4"/>
  <c r="E138" i="4"/>
  <c r="F138" i="4"/>
  <c r="G138" i="4"/>
  <c r="H138" i="4"/>
  <c r="B139" i="4"/>
  <c r="C139" i="4"/>
  <c r="D139" i="4"/>
  <c r="E139" i="4"/>
  <c r="F139" i="4"/>
  <c r="G139" i="4"/>
  <c r="H139" i="4"/>
  <c r="B140" i="4"/>
  <c r="C140" i="4"/>
  <c r="D140" i="4"/>
  <c r="E140" i="4"/>
  <c r="F140" i="4"/>
  <c r="G140" i="4"/>
  <c r="H140" i="4"/>
  <c r="B141" i="4"/>
  <c r="C141" i="4"/>
  <c r="D141" i="4"/>
  <c r="E141" i="4"/>
  <c r="F141" i="4"/>
  <c r="G141" i="4"/>
  <c r="H141" i="4"/>
  <c r="B142" i="4"/>
  <c r="C142" i="4"/>
  <c r="D142" i="4"/>
  <c r="E142" i="4"/>
  <c r="F142" i="4"/>
  <c r="G142" i="4"/>
  <c r="H142" i="4"/>
  <c r="B143" i="4"/>
  <c r="C143" i="4"/>
  <c r="D143" i="4"/>
  <c r="E143" i="4"/>
  <c r="F143" i="4"/>
  <c r="G143" i="4"/>
  <c r="H143" i="4"/>
  <c r="B144" i="4"/>
  <c r="C144" i="4"/>
  <c r="D144" i="4"/>
  <c r="E144" i="4"/>
  <c r="F144" i="4"/>
  <c r="G144" i="4"/>
  <c r="H144" i="4"/>
  <c r="B145" i="4"/>
  <c r="C145" i="4"/>
  <c r="D145" i="4"/>
  <c r="E145" i="4"/>
  <c r="F145" i="4"/>
  <c r="G145" i="4"/>
  <c r="H145" i="4"/>
  <c r="B146" i="4"/>
  <c r="C146" i="4"/>
  <c r="D146" i="4"/>
  <c r="E146" i="4"/>
  <c r="F146" i="4"/>
  <c r="G146" i="4"/>
  <c r="H146" i="4"/>
  <c r="B147" i="4"/>
  <c r="C147" i="4"/>
  <c r="D147" i="4"/>
  <c r="E147" i="4"/>
  <c r="F147" i="4"/>
  <c r="G147" i="4"/>
  <c r="H147" i="4"/>
  <c r="B148" i="4"/>
  <c r="C148" i="4"/>
  <c r="D148" i="4"/>
  <c r="E148" i="4"/>
  <c r="F148" i="4"/>
  <c r="G148" i="4"/>
  <c r="H148" i="4"/>
  <c r="B149" i="4"/>
  <c r="C149" i="4"/>
  <c r="D149" i="4"/>
  <c r="E149" i="4"/>
  <c r="F149" i="4"/>
  <c r="G149" i="4"/>
  <c r="H149" i="4"/>
  <c r="B150" i="4"/>
  <c r="C150" i="4"/>
  <c r="D150" i="4"/>
  <c r="E150" i="4"/>
  <c r="F150" i="4"/>
  <c r="G150" i="4"/>
  <c r="H150" i="4"/>
  <c r="B151" i="4"/>
  <c r="C151" i="4"/>
  <c r="D151" i="4"/>
  <c r="E151" i="4"/>
  <c r="F151" i="4"/>
  <c r="G151" i="4"/>
  <c r="H151" i="4"/>
  <c r="B152" i="4"/>
  <c r="C152" i="4"/>
  <c r="B2" i="4"/>
  <c r="H2" i="4"/>
  <c r="A5" i="4"/>
  <c r="F5" i="4"/>
  <c r="E27" i="4"/>
  <c r="B28" i="4"/>
  <c r="G28" i="4"/>
  <c r="E29" i="4"/>
  <c r="B30" i="4"/>
  <c r="G30" i="4"/>
  <c r="E31" i="4"/>
  <c r="B32" i="4"/>
  <c r="G32" i="4"/>
  <c r="D33" i="4"/>
  <c r="H34" i="4"/>
  <c r="E35" i="4"/>
  <c r="B36" i="4"/>
  <c r="G36" i="4"/>
  <c r="E37" i="4"/>
  <c r="F38" i="4"/>
  <c r="D39" i="4"/>
  <c r="B40" i="4"/>
  <c r="H40" i="4"/>
  <c r="B52" i="4"/>
  <c r="G52" i="4"/>
  <c r="E53" i="4"/>
  <c r="B54" i="4"/>
  <c r="H54" i="4"/>
  <c r="F55" i="4"/>
  <c r="E56" i="4"/>
  <c r="C57" i="4"/>
  <c r="H57" i="4"/>
  <c r="E58" i="4"/>
  <c r="C59" i="4"/>
  <c r="H59" i="4"/>
  <c r="D60" i="4"/>
  <c r="B61" i="4"/>
  <c r="F61" i="4"/>
  <c r="C62" i="4"/>
  <c r="F63" i="4"/>
  <c r="C64" i="4"/>
  <c r="G64" i="4"/>
  <c r="C65" i="4"/>
  <c r="F66" i="4"/>
  <c r="B67" i="4"/>
  <c r="F67" i="4"/>
  <c r="B68" i="4"/>
  <c r="E68" i="4"/>
  <c r="D69" i="4"/>
  <c r="H69" i="4"/>
  <c r="D70" i="4"/>
  <c r="G70" i="4"/>
  <c r="C71" i="4"/>
  <c r="G71" i="4"/>
  <c r="B72" i="4"/>
  <c r="F72" i="4"/>
  <c r="E73" i="4"/>
  <c r="H73" i="4"/>
  <c r="D74" i="4"/>
  <c r="G74" i="4"/>
  <c r="C75" i="4"/>
  <c r="F75" i="4"/>
  <c r="C76" i="4"/>
  <c r="E76" i="4"/>
  <c r="F76" i="4"/>
  <c r="H76" i="4"/>
  <c r="C77" i="4"/>
  <c r="F77" i="4"/>
  <c r="E78" i="4"/>
  <c r="H78" i="4"/>
  <c r="D79" i="4"/>
  <c r="G79" i="4"/>
  <c r="C80" i="4"/>
  <c r="F80" i="4"/>
  <c r="B81" i="4"/>
  <c r="E81" i="4"/>
  <c r="H81" i="4"/>
  <c r="D82" i="4"/>
  <c r="H82" i="4"/>
  <c r="C83" i="4"/>
  <c r="D102" i="4"/>
  <c r="F102" i="4"/>
  <c r="H102" i="4"/>
  <c r="B103" i="4"/>
  <c r="D103" i="4"/>
  <c r="E103" i="4"/>
  <c r="F103" i="4"/>
  <c r="G103" i="4"/>
  <c r="C104" i="4"/>
  <c r="E104" i="4"/>
  <c r="G104" i="4"/>
  <c r="C105" i="4"/>
  <c r="E105" i="4"/>
  <c r="G105" i="4"/>
  <c r="C106" i="4"/>
  <c r="E106" i="4"/>
  <c r="G106" i="4"/>
  <c r="C107" i="4"/>
  <c r="E107" i="4"/>
  <c r="G107" i="4"/>
  <c r="C108" i="4"/>
  <c r="E108" i="4"/>
  <c r="G108" i="4"/>
  <c r="C109" i="4"/>
  <c r="E109" i="4"/>
  <c r="G109" i="4"/>
  <c r="C110" i="4"/>
  <c r="E110" i="4"/>
  <c r="G110" i="4"/>
  <c r="C111" i="4"/>
  <c r="E111" i="4"/>
  <c r="G111" i="4"/>
  <c r="C112" i="4"/>
  <c r="E112" i="4"/>
  <c r="G112" i="4"/>
  <c r="C113" i="4"/>
  <c r="E113" i="4"/>
  <c r="G113" i="4"/>
  <c r="C114" i="4"/>
  <c r="E114" i="4"/>
  <c r="G114" i="4"/>
  <c r="D115" i="4"/>
  <c r="F115" i="4"/>
  <c r="H115" i="4"/>
  <c r="D152" i="4"/>
  <c r="E152" i="4"/>
  <c r="F152" i="4"/>
  <c r="G152" i="4"/>
  <c r="H152" i="4"/>
  <c r="B153" i="4"/>
  <c r="C153" i="4"/>
  <c r="D153" i="4"/>
  <c r="E153" i="4"/>
  <c r="F153" i="4"/>
  <c r="G153" i="4"/>
  <c r="H153" i="4"/>
  <c r="B154" i="4"/>
  <c r="C154" i="4"/>
  <c r="D154" i="4"/>
  <c r="E154" i="4"/>
  <c r="F154" i="4"/>
  <c r="G154" i="4"/>
  <c r="H154" i="4"/>
  <c r="B155" i="4"/>
  <c r="C155" i="4"/>
  <c r="D155" i="4"/>
  <c r="E155" i="4"/>
  <c r="F155" i="4"/>
  <c r="G155" i="4"/>
  <c r="H155" i="4"/>
  <c r="B156" i="4"/>
  <c r="C156" i="4"/>
  <c r="D156" i="4"/>
  <c r="E156" i="4"/>
  <c r="F156" i="4"/>
  <c r="G156" i="4"/>
  <c r="H156" i="4"/>
  <c r="B157" i="4"/>
  <c r="C157" i="4"/>
  <c r="D157" i="4"/>
  <c r="E157" i="4"/>
  <c r="F157" i="4"/>
  <c r="G157" i="4"/>
  <c r="H157" i="4"/>
  <c r="B158" i="4"/>
  <c r="C158" i="4"/>
  <c r="D158" i="4"/>
  <c r="E158" i="4"/>
  <c r="F158" i="4"/>
  <c r="G158" i="4"/>
  <c r="H158" i="4"/>
  <c r="B159" i="4"/>
  <c r="C159" i="4"/>
  <c r="D159" i="4"/>
  <c r="E159" i="4"/>
  <c r="F159" i="4"/>
  <c r="G159" i="4"/>
  <c r="H159" i="4"/>
  <c r="B160" i="4"/>
  <c r="C160" i="4"/>
  <c r="D160" i="4"/>
  <c r="E160" i="4"/>
  <c r="F160" i="4"/>
  <c r="G160" i="4"/>
  <c r="H160" i="4"/>
  <c r="B161" i="4"/>
  <c r="C161" i="4"/>
  <c r="D161" i="4"/>
  <c r="E161" i="4"/>
  <c r="F161" i="4"/>
  <c r="G161" i="4"/>
  <c r="H161" i="4"/>
  <c r="B162" i="4"/>
  <c r="C162" i="4"/>
  <c r="D162" i="4"/>
  <c r="E162" i="4"/>
  <c r="F162" i="4"/>
  <c r="G162" i="4"/>
  <c r="H162" i="4"/>
  <c r="B163" i="4"/>
  <c r="C163" i="4"/>
  <c r="D163" i="4"/>
  <c r="E163" i="4"/>
  <c r="F163" i="4"/>
  <c r="G163" i="4"/>
  <c r="H163" i="4"/>
  <c r="B164" i="4"/>
  <c r="C164" i="4"/>
  <c r="D164" i="4"/>
  <c r="E164" i="4"/>
  <c r="F164" i="4"/>
  <c r="G164" i="4"/>
  <c r="H164" i="4"/>
  <c r="B165" i="4"/>
  <c r="C165" i="4"/>
  <c r="D165" i="4"/>
  <c r="E165" i="4"/>
  <c r="F165" i="4"/>
  <c r="G165" i="4"/>
  <c r="H165" i="4"/>
  <c r="B166" i="4"/>
  <c r="C166" i="4"/>
  <c r="D166" i="4"/>
  <c r="E166" i="4"/>
  <c r="F166" i="4"/>
  <c r="G166" i="4"/>
  <c r="H166" i="4"/>
  <c r="B167" i="4"/>
  <c r="C167" i="4"/>
  <c r="D167" i="4"/>
  <c r="E167" i="4"/>
  <c r="F167" i="4"/>
  <c r="G167" i="4"/>
  <c r="H167" i="4"/>
  <c r="B168" i="4"/>
  <c r="C168" i="4"/>
  <c r="D168" i="4"/>
  <c r="E168" i="4"/>
  <c r="F168" i="4"/>
  <c r="G168" i="4"/>
  <c r="H168" i="4"/>
  <c r="B169" i="4"/>
  <c r="C169" i="4"/>
  <c r="D169" i="4"/>
  <c r="E169" i="4"/>
  <c r="F169" i="4"/>
  <c r="G169" i="4"/>
  <c r="H169" i="4"/>
  <c r="B170" i="4"/>
  <c r="C170" i="4"/>
  <c r="D170" i="4"/>
  <c r="E170" i="4"/>
  <c r="F170" i="4"/>
  <c r="G170" i="4"/>
  <c r="H170" i="4"/>
  <c r="B171" i="4"/>
  <c r="C171" i="4"/>
  <c r="D171" i="4"/>
  <c r="E171" i="4"/>
  <c r="F171" i="4"/>
  <c r="G171" i="4"/>
  <c r="H171" i="4"/>
  <c r="B172" i="4"/>
  <c r="C172" i="4"/>
  <c r="D172" i="4"/>
  <c r="E172" i="4"/>
  <c r="F172" i="4"/>
  <c r="G172" i="4"/>
  <c r="H172" i="4"/>
  <c r="B173" i="4"/>
  <c r="C173" i="4"/>
  <c r="D173" i="4"/>
  <c r="E173" i="4"/>
  <c r="F173" i="4"/>
  <c r="G173" i="4"/>
  <c r="H173" i="4"/>
  <c r="B174" i="4"/>
  <c r="C174" i="4"/>
  <c r="D174" i="4"/>
  <c r="E174" i="4"/>
  <c r="F174" i="4"/>
  <c r="G174" i="4"/>
  <c r="H174" i="4"/>
  <c r="B175" i="4"/>
  <c r="C175" i="4"/>
  <c r="D175" i="4"/>
  <c r="E175" i="4"/>
  <c r="F175" i="4"/>
  <c r="G175" i="4"/>
  <c r="H175" i="4"/>
  <c r="B176" i="4"/>
  <c r="C176" i="4"/>
  <c r="D176" i="4"/>
  <c r="E176" i="4"/>
  <c r="F176" i="4"/>
  <c r="G176" i="4"/>
  <c r="H176" i="4"/>
  <c r="B177" i="4"/>
  <c r="C177" i="4"/>
  <c r="D178" i="4"/>
  <c r="E180" i="4"/>
  <c r="B185" i="4"/>
  <c r="H186" i="4"/>
  <c r="F189" i="4"/>
  <c r="G191" i="4"/>
  <c r="E193" i="4"/>
  <c r="C195" i="4"/>
  <c r="F199" i="4"/>
  <c r="D201" i="4"/>
  <c r="F203" i="4"/>
  <c r="H206" i="4"/>
  <c r="D208" i="4"/>
  <c r="B212" i="4"/>
  <c r="B213" i="4"/>
  <c r="C213" i="4"/>
  <c r="D213" i="4"/>
  <c r="E213" i="4"/>
  <c r="F213" i="4"/>
  <c r="G213" i="4"/>
  <c r="H213" i="4"/>
  <c r="B214" i="4"/>
  <c r="C214" i="4"/>
  <c r="D214" i="4"/>
  <c r="E214" i="4"/>
  <c r="F214" i="4"/>
  <c r="G214" i="4"/>
  <c r="H214" i="4"/>
  <c r="B215" i="4"/>
  <c r="C215" i="4"/>
  <c r="D215" i="4"/>
  <c r="E215" i="4"/>
  <c r="F215" i="4"/>
  <c r="G215" i="4"/>
  <c r="H215" i="4"/>
  <c r="B216" i="4"/>
  <c r="C216" i="4"/>
  <c r="D216" i="4"/>
  <c r="E216" i="4"/>
  <c r="F216" i="4"/>
  <c r="G216" i="4"/>
  <c r="H216" i="4"/>
  <c r="B217" i="4"/>
  <c r="C217" i="4"/>
  <c r="D217" i="4"/>
  <c r="E217" i="4"/>
  <c r="F217" i="4"/>
  <c r="G217" i="4"/>
  <c r="H217" i="4"/>
  <c r="B218" i="4"/>
  <c r="C218" i="4"/>
  <c r="D218" i="4"/>
  <c r="E218" i="4"/>
  <c r="F218" i="4"/>
  <c r="G218" i="4"/>
  <c r="H218" i="4"/>
  <c r="B219" i="4"/>
  <c r="C219" i="4"/>
  <c r="D219" i="4"/>
  <c r="E219" i="4"/>
  <c r="F219" i="4"/>
  <c r="G219" i="4"/>
  <c r="H219" i="4"/>
  <c r="B220" i="4"/>
  <c r="C220" i="4"/>
  <c r="D220" i="4"/>
  <c r="E220" i="4"/>
  <c r="F220" i="4"/>
  <c r="G220" i="4"/>
  <c r="H220" i="4"/>
  <c r="B221" i="4"/>
  <c r="C221" i="4"/>
  <c r="D221" i="4"/>
  <c r="E221" i="4"/>
  <c r="F221" i="4"/>
  <c r="G221" i="4"/>
  <c r="H221" i="4"/>
  <c r="B222" i="4"/>
  <c r="C222" i="4"/>
  <c r="D222" i="4"/>
  <c r="E222" i="4"/>
  <c r="F222" i="4"/>
  <c r="G222" i="4"/>
  <c r="H222" i="4"/>
  <c r="B223" i="4"/>
  <c r="C223" i="4"/>
  <c r="D223" i="4"/>
  <c r="E223" i="4"/>
  <c r="F223" i="4"/>
  <c r="G223" i="4"/>
  <c r="H223" i="4"/>
  <c r="B224" i="4"/>
  <c r="C224" i="4"/>
  <c r="D224" i="4"/>
  <c r="E224" i="4"/>
  <c r="F224" i="4"/>
  <c r="G224" i="4"/>
  <c r="H224" i="4"/>
  <c r="B225" i="4"/>
  <c r="C225" i="4"/>
  <c r="D225" i="4"/>
  <c r="E225" i="4"/>
  <c r="F225" i="4"/>
  <c r="G225" i="4"/>
  <c r="H225" i="4"/>
  <c r="B226" i="4"/>
  <c r="C226" i="4"/>
  <c r="D226" i="4"/>
  <c r="E226" i="4"/>
  <c r="F226" i="4"/>
  <c r="G226" i="4"/>
  <c r="H226" i="4"/>
  <c r="B227" i="4"/>
  <c r="C227" i="4"/>
  <c r="D227" i="4"/>
  <c r="E277" i="4"/>
  <c r="H177" i="4"/>
  <c r="H178" i="4"/>
  <c r="H179" i="4"/>
  <c r="G181" i="4"/>
  <c r="D182" i="4"/>
  <c r="B183" i="4"/>
  <c r="H183" i="4"/>
  <c r="F184" i="4"/>
  <c r="G185" i="4"/>
  <c r="F186" i="4"/>
  <c r="E187" i="4"/>
  <c r="C188" i="4"/>
  <c r="C189" i="4"/>
  <c r="C190" i="4"/>
  <c r="C191" i="4"/>
  <c r="B192" i="4"/>
  <c r="D193" i="4"/>
  <c r="C194" i="4"/>
  <c r="H194" i="4"/>
  <c r="H196" i="4"/>
  <c r="H197" i="4"/>
  <c r="G198" i="4"/>
  <c r="C199" i="4"/>
  <c r="H200" i="4"/>
  <c r="F201" i="4"/>
  <c r="D202" i="4"/>
  <c r="B203" i="4"/>
  <c r="H203" i="4"/>
  <c r="F204" i="4"/>
  <c r="D205" i="4"/>
  <c r="B206" i="4"/>
  <c r="C207" i="4"/>
  <c r="C208" i="4"/>
  <c r="F209" i="4"/>
  <c r="D210" i="4"/>
  <c r="H211" i="4"/>
  <c r="H212" i="4"/>
  <c r="D228" i="4"/>
  <c r="C229" i="4"/>
  <c r="B230" i="4"/>
  <c r="H232" i="4"/>
  <c r="G233" i="4"/>
  <c r="E234" i="4"/>
  <c r="E235" i="4"/>
  <c r="D236" i="4"/>
  <c r="E238" i="4"/>
  <c r="C239" i="4"/>
  <c r="F240" i="4"/>
  <c r="C241" i="4"/>
  <c r="H241" i="4"/>
  <c r="B242" i="4"/>
  <c r="D242" i="4"/>
  <c r="F242" i="4"/>
  <c r="C243" i="4"/>
  <c r="E243" i="4"/>
  <c r="G243" i="4"/>
  <c r="C244" i="4"/>
  <c r="E244" i="4"/>
  <c r="G244" i="4"/>
  <c r="C245" i="4"/>
  <c r="D245" i="4"/>
  <c r="G245" i="4"/>
  <c r="H245" i="4"/>
  <c r="C246" i="4"/>
  <c r="E246" i="4"/>
  <c r="G246" i="4"/>
  <c r="C247" i="4"/>
  <c r="E247" i="4"/>
  <c r="G247" i="4"/>
  <c r="C248" i="4"/>
  <c r="E248" i="4"/>
  <c r="G248" i="4"/>
  <c r="H248" i="4"/>
  <c r="B249" i="4"/>
  <c r="D249" i="4"/>
  <c r="G249" i="4"/>
  <c r="C250" i="4"/>
  <c r="E250" i="4"/>
  <c r="G250" i="4"/>
  <c r="C251" i="4"/>
  <c r="E251" i="4"/>
  <c r="G251" i="4"/>
  <c r="C252" i="4"/>
  <c r="E252" i="4"/>
  <c r="G252" i="4"/>
  <c r="E253" i="4"/>
  <c r="F253" i="4"/>
  <c r="H253" i="4"/>
  <c r="B254" i="4"/>
  <c r="D254" i="4"/>
  <c r="G254" i="4"/>
  <c r="H254" i="4"/>
  <c r="B255" i="4"/>
  <c r="E255" i="4"/>
  <c r="F255" i="4"/>
  <c r="H255" i="4"/>
  <c r="B256" i="4"/>
  <c r="E256" i="4"/>
  <c r="G256" i="4"/>
  <c r="C257" i="4"/>
  <c r="E257" i="4"/>
  <c r="G257" i="4"/>
  <c r="C258" i="4"/>
  <c r="E258" i="4"/>
  <c r="G258" i="4"/>
  <c r="C259" i="4"/>
  <c r="E259" i="4"/>
  <c r="G259" i="4"/>
  <c r="C260" i="4"/>
  <c r="E260" i="4"/>
  <c r="G260" i="4"/>
  <c r="C261" i="4"/>
  <c r="E261" i="4"/>
  <c r="F261" i="4"/>
  <c r="H261" i="4"/>
  <c r="B262" i="4"/>
  <c r="E262" i="4"/>
  <c r="F262" i="4"/>
  <c r="C263" i="4"/>
  <c r="E263" i="4"/>
  <c r="G263" i="4"/>
  <c r="B264" i="4"/>
  <c r="D264" i="4"/>
  <c r="G264" i="4"/>
  <c r="C265" i="4"/>
  <c r="E265" i="4"/>
  <c r="F265" i="4"/>
  <c r="H265" i="4"/>
  <c r="B266" i="4"/>
  <c r="C266" i="4"/>
  <c r="D266" i="4"/>
  <c r="E266" i="4"/>
  <c r="F266" i="4"/>
  <c r="G266" i="4"/>
  <c r="H266" i="4"/>
  <c r="B267" i="4"/>
  <c r="C267" i="4"/>
  <c r="D267" i="4"/>
  <c r="E267" i="4"/>
  <c r="F267" i="4"/>
  <c r="G267" i="4"/>
  <c r="H267" i="4"/>
  <c r="B268" i="4"/>
  <c r="C268" i="4"/>
  <c r="D268" i="4"/>
  <c r="E268" i="4"/>
  <c r="F268" i="4"/>
  <c r="G268" i="4"/>
  <c r="H268" i="4"/>
  <c r="B269" i="4"/>
  <c r="C269" i="4"/>
  <c r="D269" i="4"/>
  <c r="E269" i="4"/>
  <c r="F269" i="4"/>
  <c r="G269" i="4"/>
  <c r="H269" i="4"/>
  <c r="B270" i="4"/>
  <c r="C270" i="4"/>
  <c r="D270" i="4"/>
  <c r="E270" i="4"/>
  <c r="F270" i="4"/>
  <c r="G270" i="4"/>
  <c r="H270" i="4"/>
  <c r="B271" i="4"/>
  <c r="C271" i="4"/>
  <c r="D271" i="4"/>
  <c r="E271" i="4"/>
  <c r="F271" i="4"/>
  <c r="G271" i="4"/>
  <c r="H271" i="4"/>
  <c r="B272" i="4"/>
  <c r="C272" i="4"/>
  <c r="D272" i="4"/>
  <c r="E272" i="4"/>
  <c r="F272" i="4"/>
  <c r="G272" i="4"/>
  <c r="H272" i="4"/>
  <c r="B273" i="4"/>
  <c r="C273" i="4"/>
  <c r="D273" i="4"/>
  <c r="E273" i="4"/>
  <c r="F273" i="4"/>
  <c r="G273" i="4"/>
  <c r="H273" i="4"/>
  <c r="B274" i="4"/>
  <c r="C274" i="4"/>
  <c r="D274" i="4"/>
  <c r="E274" i="4"/>
  <c r="F274" i="4"/>
  <c r="G274" i="4"/>
  <c r="H274" i="4"/>
  <c r="B275" i="4"/>
  <c r="C275" i="4"/>
  <c r="D275" i="4"/>
  <c r="E275" i="4"/>
  <c r="F275" i="4"/>
  <c r="G275" i="4"/>
  <c r="H275" i="4"/>
  <c r="B276" i="4"/>
  <c r="C276" i="4"/>
  <c r="D276" i="4"/>
  <c r="E276" i="4"/>
  <c r="F276" i="4"/>
  <c r="G276" i="4"/>
  <c r="H276" i="4"/>
  <c r="B277" i="4"/>
  <c r="C277" i="4"/>
  <c r="D277" i="4"/>
  <c r="F277" i="4"/>
  <c r="G277" i="4"/>
  <c r="H277" i="4"/>
  <c r="B278" i="4"/>
  <c r="C278" i="4"/>
  <c r="D278" i="4"/>
  <c r="E278" i="4"/>
  <c r="F278" i="4"/>
  <c r="G278" i="4"/>
  <c r="H278" i="4"/>
  <c r="B279" i="4"/>
  <c r="C279" i="4"/>
  <c r="D279" i="4"/>
  <c r="E279" i="4"/>
  <c r="F279" i="4"/>
  <c r="G279" i="4"/>
  <c r="H279" i="4"/>
  <c r="B280" i="4"/>
  <c r="C280" i="4"/>
  <c r="D280" i="4"/>
  <c r="E280" i="4"/>
  <c r="F280" i="4"/>
  <c r="G280" i="4"/>
  <c r="H280" i="4"/>
  <c r="B281" i="4"/>
  <c r="C281" i="4"/>
  <c r="D281" i="4"/>
  <c r="E281" i="4"/>
  <c r="F281" i="4"/>
  <c r="G281" i="4"/>
  <c r="H281" i="4"/>
  <c r="B282" i="4"/>
  <c r="C282" i="4"/>
  <c r="D282" i="4"/>
  <c r="E282" i="4"/>
  <c r="F282" i="4"/>
  <c r="G282" i="4"/>
  <c r="H282" i="4"/>
  <c r="B283" i="4"/>
  <c r="C283" i="4"/>
  <c r="D283" i="4"/>
  <c r="E283" i="4"/>
  <c r="F283" i="4"/>
  <c r="G283" i="4"/>
  <c r="H283" i="4"/>
  <c r="B284" i="4"/>
  <c r="C284" i="4"/>
  <c r="D284" i="4"/>
  <c r="E284" i="4"/>
  <c r="F284" i="4"/>
  <c r="G284" i="4"/>
  <c r="H284" i="4"/>
  <c r="B285" i="4"/>
  <c r="C285" i="4"/>
  <c r="D285" i="4"/>
  <c r="E285" i="4"/>
  <c r="F285" i="4"/>
  <c r="G285" i="4"/>
  <c r="H285" i="4"/>
  <c r="B286" i="4"/>
  <c r="C286" i="4"/>
  <c r="D286" i="4"/>
  <c r="E286" i="4"/>
  <c r="F286" i="4"/>
  <c r="G286" i="4"/>
  <c r="H286" i="4"/>
  <c r="B287" i="4"/>
  <c r="C287" i="4"/>
  <c r="D287" i="4"/>
  <c r="E287" i="4"/>
  <c r="F287" i="4"/>
  <c r="G287" i="4"/>
  <c r="H287" i="4"/>
  <c r="B288" i="4"/>
  <c r="C288" i="4"/>
  <c r="D288" i="4"/>
  <c r="E288" i="4"/>
  <c r="F288" i="4"/>
  <c r="G288" i="4"/>
  <c r="H288" i="4"/>
  <c r="B289" i="4"/>
  <c r="C289" i="4"/>
  <c r="D289" i="4"/>
  <c r="E289" i="4"/>
  <c r="F289" i="4"/>
  <c r="G289" i="4"/>
  <c r="H289" i="4"/>
  <c r="B290" i="4"/>
  <c r="C290" i="4"/>
  <c r="D290" i="4"/>
  <c r="E290" i="4"/>
  <c r="F290" i="4"/>
  <c r="G290" i="4"/>
  <c r="H290" i="4"/>
  <c r="B291" i="4"/>
  <c r="C291" i="4"/>
  <c r="D291" i="4"/>
  <c r="E291" i="4"/>
  <c r="F291" i="4"/>
  <c r="G291" i="4"/>
  <c r="H291" i="4"/>
  <c r="B292" i="4"/>
  <c r="C292" i="4"/>
  <c r="D292" i="4"/>
  <c r="E292" i="4"/>
  <c r="F292" i="4"/>
  <c r="G292" i="4"/>
  <c r="H292" i="4"/>
  <c r="B293" i="4"/>
  <c r="C293" i="4"/>
  <c r="D293" i="4"/>
  <c r="E293" i="4"/>
  <c r="F293" i="4"/>
  <c r="G293" i="4"/>
  <c r="H293" i="4"/>
  <c r="B294" i="4"/>
  <c r="C294" i="4"/>
  <c r="D294" i="4"/>
  <c r="E294" i="4"/>
  <c r="F294" i="4"/>
  <c r="G294" i="4"/>
  <c r="H294" i="4"/>
  <c r="B295" i="4"/>
  <c r="C295" i="4"/>
  <c r="D295" i="4"/>
  <c r="E295" i="4"/>
  <c r="F295" i="4"/>
  <c r="G295" i="4"/>
  <c r="H295" i="4"/>
  <c r="B296" i="4"/>
  <c r="C296" i="4"/>
  <c r="D296" i="4"/>
  <c r="E296" i="4"/>
  <c r="F296" i="4"/>
  <c r="G296" i="4"/>
  <c r="H296" i="4"/>
  <c r="B297" i="4"/>
  <c r="C297" i="4"/>
  <c r="D297" i="4"/>
  <c r="E297" i="4"/>
  <c r="F297" i="4"/>
  <c r="G297" i="4"/>
  <c r="H297" i="4"/>
  <c r="B298" i="4"/>
  <c r="C298" i="4"/>
  <c r="D298" i="4"/>
  <c r="E298" i="4"/>
  <c r="F298" i="4"/>
  <c r="G298" i="4"/>
  <c r="H298" i="4"/>
  <c r="B299" i="4"/>
  <c r="C299" i="4"/>
  <c r="D299" i="4"/>
  <c r="E299" i="4"/>
  <c r="F299" i="4"/>
  <c r="G299" i="4"/>
  <c r="H299" i="4"/>
  <c r="B300" i="4"/>
  <c r="C300" i="4"/>
  <c r="D300" i="4"/>
  <c r="E300" i="4"/>
  <c r="F300" i="4"/>
  <c r="G300" i="4"/>
  <c r="H300" i="4"/>
  <c r="B301" i="4"/>
  <c r="C301" i="4"/>
  <c r="D301" i="4"/>
  <c r="E301" i="4"/>
  <c r="F301" i="4"/>
  <c r="G301" i="4"/>
  <c r="H301" i="4"/>
  <c r="B302" i="4"/>
  <c r="C302" i="4"/>
  <c r="D302" i="4"/>
  <c r="E302" i="4"/>
  <c r="D177" i="4"/>
  <c r="C178" i="4"/>
  <c r="C179" i="4"/>
  <c r="B180" i="4"/>
  <c r="E181" i="4"/>
  <c r="B182" i="4"/>
  <c r="E183" i="4"/>
  <c r="C184" i="4"/>
  <c r="E185" i="4"/>
  <c r="C186" i="4"/>
  <c r="B187" i="4"/>
  <c r="B190" i="4"/>
  <c r="F190" i="4"/>
  <c r="F191" i="4"/>
  <c r="D192" i="4"/>
  <c r="B193" i="4"/>
  <c r="G195" i="4"/>
  <c r="E196" i="4"/>
  <c r="D197" i="4"/>
  <c r="B198" i="4"/>
  <c r="D199" i="4"/>
  <c r="G200" i="4"/>
  <c r="E201" i="4"/>
  <c r="C202" i="4"/>
  <c r="H202" i="4"/>
  <c r="B204" i="4"/>
  <c r="B205" i="4"/>
  <c r="C206" i="4"/>
  <c r="B207" i="4"/>
  <c r="H207" i="4"/>
  <c r="E208" i="4"/>
  <c r="C209" i="4"/>
  <c r="H209" i="4"/>
  <c r="G210" i="4"/>
  <c r="E211" i="4"/>
  <c r="E212" i="4"/>
  <c r="E227" i="4"/>
  <c r="G228" i="4"/>
  <c r="G230" i="4"/>
  <c r="G231" i="4"/>
  <c r="B233" i="4"/>
  <c r="G235" i="4"/>
  <c r="E236" i="4"/>
  <c r="C237" i="4"/>
  <c r="C238" i="4"/>
  <c r="G238" i="4"/>
  <c r="H239" i="4"/>
  <c r="G240" i="4"/>
  <c r="B241" i="4"/>
  <c r="G241" i="4"/>
  <c r="C242" i="4"/>
  <c r="E242" i="4"/>
  <c r="G242" i="4"/>
  <c r="H242" i="4"/>
  <c r="B243" i="4"/>
  <c r="D243" i="4"/>
  <c r="F243" i="4"/>
  <c r="H243" i="4"/>
  <c r="B244" i="4"/>
  <c r="D244" i="4"/>
  <c r="F244" i="4"/>
  <c r="H244" i="4"/>
  <c r="B245" i="4"/>
  <c r="E245" i="4"/>
  <c r="F245" i="4"/>
  <c r="B246" i="4"/>
  <c r="D246" i="4"/>
  <c r="F246" i="4"/>
  <c r="H246" i="4"/>
  <c r="B247" i="4"/>
  <c r="D247" i="4"/>
  <c r="F247" i="4"/>
  <c r="H247" i="4"/>
  <c r="B248" i="4"/>
  <c r="D248" i="4"/>
  <c r="F248" i="4"/>
  <c r="C249" i="4"/>
  <c r="E249" i="4"/>
  <c r="F249" i="4"/>
  <c r="H249" i="4"/>
  <c r="B250" i="4"/>
  <c r="D250" i="4"/>
  <c r="F250" i="4"/>
  <c r="H250" i="4"/>
  <c r="B251" i="4"/>
  <c r="D251" i="4"/>
  <c r="F251" i="4"/>
  <c r="H251" i="4"/>
  <c r="B252" i="4"/>
  <c r="D252" i="4"/>
  <c r="F252" i="4"/>
  <c r="H252" i="4"/>
  <c r="B253" i="4"/>
  <c r="C253" i="4"/>
  <c r="D253" i="4"/>
  <c r="G253" i="4"/>
  <c r="C254" i="4"/>
  <c r="E254" i="4"/>
  <c r="F254" i="4"/>
  <c r="C255" i="4"/>
  <c r="D255" i="4"/>
  <c r="G255" i="4"/>
  <c r="C256" i="4"/>
  <c r="D256" i="4"/>
  <c r="F256" i="4"/>
  <c r="H256" i="4"/>
  <c r="B257" i="4"/>
  <c r="D257" i="4"/>
  <c r="F257" i="4"/>
  <c r="H257" i="4"/>
  <c r="B258" i="4"/>
  <c r="D258" i="4"/>
  <c r="F258" i="4"/>
  <c r="H258" i="4"/>
  <c r="B259" i="4"/>
  <c r="D259" i="4"/>
  <c r="F259" i="4"/>
  <c r="H259" i="4"/>
  <c r="B260" i="4"/>
  <c r="D260" i="4"/>
  <c r="F260" i="4"/>
  <c r="H260" i="4"/>
  <c r="B261" i="4"/>
  <c r="D261" i="4"/>
  <c r="G261" i="4"/>
  <c r="C262" i="4"/>
  <c r="D262" i="4"/>
  <c r="G262" i="4"/>
  <c r="H262" i="4"/>
  <c r="B263" i="4"/>
  <c r="D263" i="4"/>
  <c r="F263" i="4"/>
  <c r="H263" i="4"/>
  <c r="C264" i="4"/>
  <c r="E264" i="4"/>
  <c r="F264" i="4"/>
  <c r="H264" i="4"/>
  <c r="B265" i="4"/>
  <c r="D265" i="4"/>
  <c r="G265" i="4"/>
  <c r="F302" i="4"/>
  <c r="G302" i="4"/>
  <c r="H302" i="4"/>
  <c r="B303" i="4"/>
  <c r="C303" i="4"/>
  <c r="D303" i="4"/>
  <c r="E303" i="4"/>
  <c r="F303" i="4"/>
  <c r="G303" i="4"/>
  <c r="H303" i="4"/>
  <c r="B304" i="4"/>
  <c r="C304" i="4"/>
  <c r="D304" i="4"/>
  <c r="E304" i="4"/>
  <c r="F304" i="4"/>
  <c r="G304" i="4"/>
  <c r="H304" i="4"/>
  <c r="B305" i="4"/>
  <c r="C305" i="4"/>
  <c r="D305" i="4"/>
  <c r="E305" i="4"/>
  <c r="F305" i="4"/>
  <c r="G305" i="4"/>
  <c r="H305" i="4"/>
  <c r="B306" i="4"/>
  <c r="C306" i="4"/>
  <c r="D306" i="4"/>
  <c r="E306" i="4"/>
  <c r="F306" i="4"/>
  <c r="G306" i="4"/>
  <c r="H306" i="4"/>
  <c r="B307" i="4"/>
  <c r="C307" i="4"/>
  <c r="D307" i="4"/>
  <c r="E307" i="4"/>
  <c r="F307" i="4"/>
  <c r="G307" i="4"/>
  <c r="H307" i="4"/>
  <c r="B308" i="4"/>
  <c r="C308" i="4"/>
  <c r="D308" i="4"/>
  <c r="E308" i="4"/>
  <c r="F308" i="4"/>
  <c r="G308" i="4"/>
  <c r="H308" i="4"/>
  <c r="B309" i="4"/>
  <c r="C309" i="4"/>
  <c r="D309" i="4"/>
  <c r="E309" i="4"/>
  <c r="F309" i="4"/>
  <c r="G309" i="4"/>
  <c r="H309" i="4"/>
  <c r="B310" i="4"/>
  <c r="C310" i="4"/>
  <c r="D310" i="4"/>
  <c r="E310" i="4"/>
  <c r="F310" i="4"/>
  <c r="G310" i="4"/>
  <c r="H310" i="4"/>
  <c r="B311" i="4"/>
  <c r="C311" i="4"/>
  <c r="D311" i="4"/>
  <c r="E311" i="4"/>
  <c r="F311" i="4"/>
  <c r="G311" i="4"/>
  <c r="H311" i="4"/>
  <c r="B312" i="4"/>
  <c r="C312" i="4"/>
  <c r="D312" i="4"/>
  <c r="E312" i="4"/>
  <c r="F312" i="4"/>
  <c r="G312" i="4"/>
  <c r="H312" i="4"/>
  <c r="B313" i="4"/>
  <c r="C313" i="4"/>
  <c r="D313" i="4"/>
  <c r="E313" i="4"/>
  <c r="F313" i="4"/>
  <c r="G313" i="4"/>
  <c r="H313" i="4"/>
  <c r="B314" i="4"/>
  <c r="C314" i="4"/>
  <c r="D314" i="4"/>
  <c r="E314" i="4"/>
  <c r="F314" i="4"/>
  <c r="G314" i="4"/>
  <c r="H314" i="4"/>
  <c r="B315" i="4"/>
  <c r="C315" i="4"/>
  <c r="D315" i="4"/>
  <c r="E315" i="4"/>
  <c r="F315" i="4"/>
  <c r="G315" i="4"/>
  <c r="H315" i="4"/>
  <c r="B316" i="4"/>
  <c r="C316" i="4"/>
  <c r="D316" i="4"/>
  <c r="E316" i="4"/>
  <c r="F316" i="4"/>
  <c r="G316" i="4"/>
  <c r="H316" i="4"/>
  <c r="B317" i="4"/>
  <c r="C317" i="4"/>
  <c r="D317" i="4"/>
  <c r="E317" i="4"/>
  <c r="F317" i="4"/>
  <c r="G317" i="4"/>
  <c r="H317" i="4"/>
  <c r="B318" i="4"/>
  <c r="C318" i="4"/>
  <c r="D318" i="4"/>
  <c r="E318" i="4"/>
  <c r="F318" i="4"/>
  <c r="G318" i="4"/>
  <c r="H318" i="4"/>
  <c r="B319" i="4"/>
  <c r="C319" i="4"/>
  <c r="D319" i="4"/>
  <c r="E319" i="4"/>
  <c r="F319" i="4"/>
  <c r="G319" i="4"/>
  <c r="H319" i="4"/>
  <c r="B320" i="4"/>
  <c r="C320" i="4"/>
  <c r="D320" i="4"/>
  <c r="E320" i="4"/>
  <c r="F320" i="4"/>
  <c r="G320" i="4"/>
  <c r="H320" i="4"/>
  <c r="B321" i="4"/>
  <c r="C321" i="4"/>
  <c r="D321" i="4"/>
  <c r="E321" i="4"/>
  <c r="F321" i="4"/>
  <c r="G321" i="4"/>
  <c r="H321" i="4"/>
  <c r="B322" i="4"/>
  <c r="C322" i="4"/>
  <c r="D322" i="4"/>
  <c r="E322" i="4"/>
  <c r="F322" i="4"/>
  <c r="G322" i="4"/>
  <c r="H322" i="4"/>
  <c r="B323" i="4"/>
  <c r="C323" i="4"/>
  <c r="D323" i="4"/>
  <c r="E323" i="4"/>
  <c r="F323" i="4"/>
  <c r="G323" i="4"/>
  <c r="H323" i="4"/>
  <c r="B324" i="4"/>
  <c r="C324" i="4"/>
  <c r="D324" i="4"/>
  <c r="E324" i="4"/>
  <c r="F324" i="4"/>
  <c r="G324" i="4"/>
  <c r="H324" i="4"/>
  <c r="B325" i="4"/>
  <c r="C325" i="4"/>
  <c r="D325" i="4"/>
  <c r="E325" i="4"/>
  <c r="F325" i="4"/>
  <c r="G325" i="4"/>
  <c r="H325" i="4"/>
  <c r="B326" i="4"/>
  <c r="C326" i="4"/>
  <c r="D326" i="4"/>
  <c r="E326" i="4"/>
  <c r="F326" i="4"/>
  <c r="G326" i="4"/>
  <c r="H326" i="4"/>
  <c r="B327" i="4"/>
  <c r="C327" i="4"/>
  <c r="D327" i="4"/>
  <c r="E327" i="4"/>
  <c r="F177" i="4"/>
  <c r="G179" i="4"/>
  <c r="C181" i="4"/>
  <c r="D184" i="4"/>
  <c r="B186" i="4"/>
  <c r="H187" i="4"/>
  <c r="E189" i="4"/>
  <c r="F192" i="4"/>
  <c r="F195" i="4"/>
  <c r="B197" i="4"/>
  <c r="F198" i="4"/>
  <c r="C203" i="4"/>
  <c r="H204" i="4"/>
  <c r="D206" i="4"/>
  <c r="F227" i="4"/>
  <c r="H229" i="4"/>
  <c r="H231" i="4"/>
  <c r="F233" i="4"/>
  <c r="D235" i="4"/>
  <c r="F237" i="4"/>
  <c r="B342" i="4"/>
  <c r="C342" i="4"/>
  <c r="D342" i="4"/>
  <c r="E342" i="4"/>
  <c r="F342" i="4"/>
  <c r="G342" i="4"/>
  <c r="H342" i="4"/>
  <c r="B343" i="4"/>
  <c r="C343" i="4"/>
  <c r="D343" i="4"/>
  <c r="E343" i="4"/>
  <c r="F343" i="4"/>
  <c r="G343" i="4"/>
  <c r="H343" i="4"/>
  <c r="B344" i="4"/>
  <c r="C344" i="4"/>
  <c r="D344" i="4"/>
  <c r="E344" i="4"/>
  <c r="F344" i="4"/>
  <c r="G344" i="4"/>
  <c r="H344" i="4"/>
  <c r="B345" i="4"/>
  <c r="C345" i="4"/>
  <c r="D345" i="4"/>
  <c r="E345" i="4"/>
  <c r="F345" i="4"/>
  <c r="G345" i="4"/>
  <c r="H345" i="4"/>
  <c r="B346" i="4"/>
  <c r="C346" i="4"/>
  <c r="D346" i="4"/>
  <c r="E346" i="4"/>
  <c r="F346" i="4"/>
  <c r="G346" i="4"/>
  <c r="H346" i="4"/>
  <c r="B347" i="4"/>
  <c r="C347" i="4"/>
  <c r="D347" i="4"/>
  <c r="E347" i="4"/>
  <c r="F347" i="4"/>
  <c r="G347" i="4"/>
  <c r="H347" i="4"/>
  <c r="B348" i="4"/>
  <c r="C348" i="4"/>
  <c r="D348" i="4"/>
  <c r="E348" i="4"/>
  <c r="F348" i="4"/>
  <c r="G348" i="4"/>
  <c r="H348" i="4"/>
  <c r="B349" i="4"/>
  <c r="C349" i="4"/>
  <c r="D349" i="4"/>
  <c r="E349" i="4"/>
  <c r="F349" i="4"/>
  <c r="G349" i="4"/>
  <c r="H349" i="4"/>
  <c r="B350" i="4"/>
  <c r="C350" i="4"/>
  <c r="D350" i="4"/>
  <c r="E350" i="4"/>
  <c r="F350" i="4"/>
  <c r="G350" i="4"/>
  <c r="H350" i="4"/>
  <c r="B351" i="4"/>
  <c r="C351" i="4"/>
  <c r="D351" i="4"/>
  <c r="E351" i="4"/>
  <c r="F351" i="4"/>
  <c r="G351" i="4"/>
  <c r="H351" i="4"/>
  <c r="B352" i="4"/>
  <c r="C352" i="4"/>
  <c r="D352" i="4"/>
  <c r="E352" i="4"/>
  <c r="F352" i="4"/>
  <c r="B367" i="4"/>
  <c r="C367" i="4"/>
  <c r="D367" i="4"/>
  <c r="E367" i="4"/>
  <c r="F367" i="4"/>
  <c r="G367" i="4"/>
  <c r="H367" i="4"/>
  <c r="B368" i="4"/>
  <c r="C368" i="4"/>
  <c r="D368" i="4"/>
  <c r="E368" i="4"/>
  <c r="F368" i="4"/>
  <c r="G368" i="4"/>
  <c r="H368" i="4"/>
  <c r="B369" i="4"/>
  <c r="C369" i="4"/>
  <c r="D369" i="4"/>
  <c r="E369" i="4"/>
  <c r="F369" i="4"/>
  <c r="G369" i="4"/>
  <c r="H369" i="4"/>
  <c r="B370" i="4"/>
  <c r="C370" i="4"/>
  <c r="D370" i="4"/>
  <c r="E370" i="4"/>
  <c r="F370" i="4"/>
  <c r="G370" i="4"/>
  <c r="H370" i="4"/>
  <c r="B371" i="4"/>
  <c r="C371" i="4"/>
  <c r="D371" i="4"/>
  <c r="E371" i="4"/>
  <c r="F371" i="4"/>
  <c r="G371" i="4"/>
  <c r="H371" i="4"/>
  <c r="B372" i="4"/>
  <c r="C372" i="4"/>
  <c r="D372" i="4"/>
  <c r="E372" i="4"/>
  <c r="F372" i="4"/>
  <c r="G372" i="4"/>
  <c r="H372" i="4"/>
  <c r="B373" i="4"/>
  <c r="C373" i="4"/>
  <c r="D373" i="4"/>
  <c r="E373" i="4"/>
  <c r="F373" i="4"/>
  <c r="G373" i="4"/>
  <c r="H373" i="4"/>
  <c r="B374" i="4"/>
  <c r="C374" i="4"/>
  <c r="D374" i="4"/>
  <c r="E374" i="4"/>
  <c r="F374" i="4"/>
  <c r="G374" i="4"/>
  <c r="H374" i="4"/>
  <c r="B375" i="4"/>
  <c r="C375" i="4"/>
  <c r="D375" i="4"/>
  <c r="E375" i="4"/>
  <c r="F375" i="4"/>
  <c r="G375" i="4"/>
  <c r="H375" i="4"/>
  <c r="B376" i="4"/>
  <c r="C376" i="4"/>
  <c r="D376" i="4"/>
  <c r="E376" i="4"/>
  <c r="F376" i="4"/>
  <c r="G376" i="4"/>
  <c r="H376" i="4"/>
  <c r="B377" i="4"/>
  <c r="C377" i="4"/>
  <c r="D377" i="4"/>
  <c r="E377" i="4"/>
  <c r="F377" i="4"/>
  <c r="D381" i="4"/>
  <c r="E381" i="4"/>
  <c r="F381" i="4"/>
  <c r="G381" i="4"/>
  <c r="H381" i="4"/>
  <c r="B382" i="4"/>
  <c r="C382" i="4"/>
  <c r="D382" i="4"/>
  <c r="E382" i="4"/>
  <c r="F382" i="4"/>
  <c r="G382" i="4"/>
  <c r="H382" i="4"/>
  <c r="B383" i="4"/>
  <c r="C383" i="4"/>
  <c r="D383" i="4"/>
  <c r="E383" i="4"/>
  <c r="F383" i="4"/>
  <c r="G383" i="4"/>
  <c r="H383" i="4"/>
  <c r="B384" i="4"/>
  <c r="C384" i="4"/>
  <c r="D384" i="4"/>
  <c r="E384" i="4"/>
  <c r="F384" i="4"/>
  <c r="G384" i="4"/>
  <c r="H384" i="4"/>
  <c r="B385" i="4"/>
  <c r="C385" i="4"/>
  <c r="D385" i="4"/>
  <c r="E385" i="4"/>
  <c r="F385" i="4"/>
  <c r="G385" i="4"/>
  <c r="H385" i="4"/>
  <c r="B386" i="4"/>
  <c r="C386" i="4"/>
  <c r="D386" i="4"/>
  <c r="E386" i="4"/>
  <c r="F386" i="4"/>
  <c r="G386" i="4"/>
  <c r="H386" i="4"/>
  <c r="B387" i="4"/>
  <c r="C387" i="4"/>
  <c r="D387" i="4"/>
  <c r="E387" i="4"/>
  <c r="F387" i="4"/>
  <c r="G387" i="4"/>
  <c r="H387" i="4"/>
  <c r="B388" i="4"/>
  <c r="C388" i="4"/>
  <c r="D388" i="4"/>
  <c r="E388" i="4"/>
  <c r="F388" i="4"/>
  <c r="G388" i="4"/>
  <c r="H388" i="4"/>
  <c r="B389" i="4"/>
  <c r="C389" i="4"/>
  <c r="D389" i="4"/>
  <c r="E389" i="4"/>
  <c r="F389" i="4"/>
  <c r="G389" i="4"/>
  <c r="H389" i="4"/>
  <c r="B390" i="4"/>
  <c r="C390" i="4"/>
  <c r="D390" i="4"/>
  <c r="E390" i="4"/>
  <c r="F390" i="4"/>
  <c r="G390" i="4"/>
  <c r="H390" i="4"/>
  <c r="B391" i="4"/>
  <c r="C391" i="4"/>
  <c r="D391" i="4"/>
  <c r="E391" i="4"/>
  <c r="F391" i="4"/>
  <c r="G391" i="4"/>
  <c r="H391" i="4"/>
  <c r="B392" i="4"/>
  <c r="C392" i="4"/>
  <c r="D392" i="4"/>
  <c r="E392" i="4"/>
  <c r="F392" i="4"/>
  <c r="G392" i="4"/>
  <c r="H392" i="4"/>
  <c r="B393" i="4"/>
  <c r="C393" i="4"/>
  <c r="D393" i="4"/>
  <c r="E393" i="4"/>
  <c r="F393" i="4"/>
  <c r="G393" i="4"/>
  <c r="H393" i="4"/>
  <c r="B394" i="4"/>
  <c r="C394" i="4"/>
  <c r="D394" i="4"/>
  <c r="E394" i="4"/>
  <c r="F394" i="4"/>
  <c r="G394" i="4"/>
  <c r="H394" i="4"/>
  <c r="B395" i="4"/>
  <c r="C395" i="4"/>
  <c r="D395" i="4"/>
  <c r="E395" i="4"/>
  <c r="F395" i="4"/>
  <c r="G395" i="4"/>
  <c r="H395" i="4"/>
  <c r="B396" i="4"/>
  <c r="C396" i="4"/>
  <c r="D396" i="4"/>
  <c r="E396" i="4"/>
  <c r="F396" i="4"/>
  <c r="G396" i="4"/>
  <c r="H396" i="4"/>
  <c r="B397" i="4"/>
  <c r="C397" i="4"/>
  <c r="D397" i="4"/>
  <c r="E397" i="4"/>
  <c r="F397" i="4"/>
  <c r="G397" i="4"/>
  <c r="H397" i="4"/>
  <c r="B398" i="4"/>
  <c r="C398" i="4"/>
  <c r="D398" i="4"/>
  <c r="E398" i="4"/>
  <c r="F398" i="4"/>
  <c r="G398" i="4"/>
  <c r="H398" i="4"/>
  <c r="B399" i="4"/>
  <c r="C399" i="4"/>
  <c r="D399" i="4"/>
  <c r="E399" i="4"/>
  <c r="F399" i="4"/>
  <c r="G399" i="4"/>
  <c r="H399" i="4"/>
  <c r="B400" i="4"/>
  <c r="C400" i="4"/>
  <c r="D400" i="4"/>
  <c r="E400" i="4"/>
  <c r="F400" i="4"/>
  <c r="G400" i="4"/>
  <c r="H400" i="4"/>
  <c r="B401" i="4"/>
  <c r="C401" i="4"/>
  <c r="D401" i="4"/>
  <c r="E401" i="4"/>
  <c r="F401" i="4"/>
  <c r="G401" i="4"/>
  <c r="H401" i="4"/>
  <c r="B402" i="4"/>
  <c r="C402" i="4"/>
  <c r="D402" i="4"/>
  <c r="E402" i="4"/>
  <c r="F402" i="4"/>
  <c r="G427" i="4"/>
  <c r="E177" i="4"/>
  <c r="B178" i="4"/>
  <c r="F178" i="4"/>
  <c r="B179" i="4"/>
  <c r="F179" i="4"/>
  <c r="D180" i="4"/>
  <c r="H180" i="4"/>
  <c r="F181" i="4"/>
  <c r="C182" i="4"/>
  <c r="G182" i="4"/>
  <c r="F183" i="4"/>
  <c r="B184" i="4"/>
  <c r="H184" i="4"/>
  <c r="F185" i="4"/>
  <c r="E186" i="4"/>
  <c r="C187" i="4"/>
  <c r="G187" i="4"/>
  <c r="D188" i="4"/>
  <c r="G188" i="4"/>
  <c r="D189" i="4"/>
  <c r="G190" i="4"/>
  <c r="E191" i="4"/>
  <c r="E192" i="4"/>
  <c r="C193" i="4"/>
  <c r="G193" i="4"/>
  <c r="D194" i="4"/>
  <c r="F194" i="4"/>
  <c r="E195" i="4"/>
  <c r="C196" i="4"/>
  <c r="F196" i="4"/>
  <c r="C197" i="4"/>
  <c r="C198" i="4"/>
  <c r="G199" i="4"/>
  <c r="F200" i="4"/>
  <c r="B201" i="4"/>
  <c r="H201" i="4"/>
  <c r="E205" i="4"/>
  <c r="G206" i="4"/>
  <c r="F207" i="4"/>
  <c r="B208" i="4"/>
  <c r="G208" i="4"/>
  <c r="D209" i="4"/>
  <c r="F210" i="4"/>
  <c r="B211" i="4"/>
  <c r="F211" i="4"/>
  <c r="C212" i="4"/>
  <c r="H227" i="4"/>
  <c r="C228" i="4"/>
  <c r="F228" i="4"/>
  <c r="D229" i="4"/>
  <c r="G229" i="4"/>
  <c r="E230" i="4"/>
  <c r="B231" i="4"/>
  <c r="F231" i="4"/>
  <c r="C232" i="4"/>
  <c r="G232" i="4"/>
  <c r="E233" i="4"/>
  <c r="C234" i="4"/>
  <c r="H234" i="4"/>
  <c r="F235" i="4"/>
  <c r="C236" i="4"/>
  <c r="G236" i="4"/>
  <c r="D237" i="4"/>
  <c r="H237" i="4"/>
  <c r="D238" i="4"/>
  <c r="F239" i="4"/>
  <c r="B240" i="4"/>
  <c r="E240" i="4"/>
  <c r="H240" i="4"/>
  <c r="D241" i="4"/>
  <c r="E241" i="4"/>
  <c r="G327" i="4"/>
  <c r="B328" i="4"/>
  <c r="E328" i="4"/>
  <c r="H328" i="4"/>
  <c r="D329" i="4"/>
  <c r="F329" i="4"/>
  <c r="H329" i="4"/>
  <c r="E330" i="4"/>
  <c r="G330" i="4"/>
  <c r="H330" i="4"/>
  <c r="D331" i="4"/>
  <c r="G331" i="4"/>
  <c r="B332" i="4"/>
  <c r="E332" i="4"/>
  <c r="D333" i="4"/>
  <c r="F333" i="4"/>
  <c r="B334" i="4"/>
  <c r="F334" i="4"/>
  <c r="H334" i="4"/>
  <c r="D335" i="4"/>
  <c r="F335" i="4"/>
  <c r="B336" i="4"/>
  <c r="F336" i="4"/>
  <c r="H336" i="4"/>
  <c r="D337" i="4"/>
  <c r="H337" i="4"/>
  <c r="B338" i="4"/>
  <c r="F338" i="4"/>
  <c r="C339" i="4"/>
  <c r="F339" i="4"/>
  <c r="E340" i="4"/>
  <c r="H340" i="4"/>
  <c r="B341" i="4"/>
  <c r="G341" i="4"/>
  <c r="H352" i="4"/>
  <c r="B353" i="4"/>
  <c r="G353" i="4"/>
  <c r="C354" i="4"/>
  <c r="E354" i="4"/>
  <c r="D355" i="4"/>
  <c r="F355" i="4"/>
  <c r="B356" i="4"/>
  <c r="G356" i="4"/>
  <c r="B357" i="4"/>
  <c r="E357" i="4"/>
  <c r="G357" i="4"/>
  <c r="C358" i="4"/>
  <c r="E358" i="4"/>
  <c r="D359" i="4"/>
  <c r="G359" i="4"/>
  <c r="C360" i="4"/>
  <c r="H360" i="4"/>
  <c r="B361" i="4"/>
  <c r="F361" i="4"/>
  <c r="H361" i="4"/>
  <c r="C362" i="4"/>
  <c r="H362" i="4"/>
  <c r="B363" i="4"/>
  <c r="E363" i="4"/>
  <c r="H363" i="4"/>
  <c r="D364" i="4"/>
  <c r="G364" i="4"/>
  <c r="C365" i="4"/>
  <c r="E365" i="4"/>
  <c r="H365" i="4"/>
  <c r="C366" i="4"/>
  <c r="G366" i="4"/>
  <c r="G377" i="4"/>
  <c r="H377" i="4"/>
  <c r="D378" i="4"/>
  <c r="H378" i="4"/>
  <c r="C379" i="4"/>
  <c r="F379" i="4"/>
  <c r="D380" i="4"/>
  <c r="H380" i="4"/>
  <c r="B381" i="4"/>
  <c r="H402" i="4"/>
  <c r="D403" i="4"/>
  <c r="G403" i="4"/>
  <c r="B404" i="4"/>
  <c r="E404" i="4"/>
  <c r="C405" i="4"/>
  <c r="G405" i="4"/>
  <c r="C406" i="4"/>
  <c r="E406" i="4"/>
  <c r="H406" i="4"/>
  <c r="D407" i="4"/>
  <c r="G407" i="4"/>
  <c r="D408" i="4"/>
  <c r="H408" i="4"/>
  <c r="B409" i="4"/>
  <c r="E409" i="4"/>
  <c r="F409" i="4"/>
  <c r="B410" i="4"/>
  <c r="E410" i="4"/>
  <c r="H410" i="4"/>
  <c r="B411" i="4"/>
  <c r="F411" i="4"/>
  <c r="D412" i="4"/>
  <c r="F412" i="4"/>
  <c r="C413" i="4"/>
  <c r="F413" i="4"/>
  <c r="E414" i="4"/>
  <c r="F414" i="4"/>
  <c r="G415" i="4"/>
  <c r="D416" i="4"/>
  <c r="C417" i="4"/>
  <c r="F417" i="4"/>
  <c r="E418" i="4"/>
  <c r="H418" i="4"/>
  <c r="C419" i="4"/>
  <c r="G419" i="4"/>
  <c r="B420" i="4"/>
  <c r="E420" i="4"/>
  <c r="E431" i="4"/>
  <c r="F431" i="4"/>
  <c r="G431" i="4"/>
  <c r="H431" i="4"/>
  <c r="B432" i="4"/>
  <c r="C432" i="4"/>
  <c r="D432" i="4"/>
  <c r="E432" i="4"/>
  <c r="F432" i="4"/>
  <c r="G432" i="4"/>
  <c r="H432" i="4"/>
  <c r="B433" i="4"/>
  <c r="C433" i="4"/>
  <c r="D433" i="4"/>
  <c r="E433" i="4"/>
  <c r="F433" i="4"/>
  <c r="G433" i="4"/>
  <c r="H433" i="4"/>
  <c r="B434" i="4"/>
  <c r="C434" i="4"/>
  <c r="D434" i="4"/>
  <c r="E434" i="4"/>
  <c r="F434" i="4"/>
  <c r="G434" i="4"/>
  <c r="H434" i="4"/>
  <c r="B435" i="4"/>
  <c r="C435" i="4"/>
  <c r="D435" i="4"/>
  <c r="E435" i="4"/>
  <c r="F435" i="4"/>
  <c r="G435" i="4"/>
  <c r="H435" i="4"/>
  <c r="B436" i="4"/>
  <c r="C436" i="4"/>
  <c r="D436" i="4"/>
  <c r="E436" i="4"/>
  <c r="F436" i="4"/>
  <c r="G436" i="4"/>
  <c r="H436" i="4"/>
  <c r="B437" i="4"/>
  <c r="C437" i="4"/>
  <c r="D437" i="4"/>
  <c r="E437" i="4"/>
  <c r="F437" i="4"/>
  <c r="G437" i="4"/>
  <c r="H437" i="4"/>
  <c r="B438" i="4"/>
  <c r="C438" i="4"/>
  <c r="D438" i="4"/>
  <c r="E438" i="4"/>
  <c r="F438" i="4"/>
  <c r="G438" i="4"/>
  <c r="H438" i="4"/>
  <c r="B439" i="4"/>
  <c r="C439" i="4"/>
  <c r="D439" i="4"/>
  <c r="E439" i="4"/>
  <c r="F439" i="4"/>
  <c r="G439" i="4"/>
  <c r="H439" i="4"/>
  <c r="B440" i="4"/>
  <c r="C440" i="4"/>
  <c r="D440" i="4"/>
  <c r="E440" i="4"/>
  <c r="F440" i="4"/>
  <c r="G440" i="4"/>
  <c r="H440" i="4"/>
  <c r="B441" i="4"/>
  <c r="C441" i="4"/>
  <c r="D441" i="4"/>
  <c r="E441" i="4"/>
  <c r="F441" i="4"/>
  <c r="G441" i="4"/>
  <c r="H441" i="4"/>
  <c r="B442" i="4"/>
  <c r="C442" i="4"/>
  <c r="D442" i="4"/>
  <c r="E442" i="4"/>
  <c r="F442" i="4"/>
  <c r="G442" i="4"/>
  <c r="H442" i="4"/>
  <c r="B443" i="4"/>
  <c r="C443" i="4"/>
  <c r="D443" i="4"/>
  <c r="E443" i="4"/>
  <c r="F443" i="4"/>
  <c r="G443" i="4"/>
  <c r="H443" i="4"/>
  <c r="B444" i="4"/>
  <c r="C444" i="4"/>
  <c r="D444" i="4"/>
  <c r="E444" i="4"/>
  <c r="F444" i="4"/>
  <c r="G444" i="4"/>
  <c r="H444" i="4"/>
  <c r="B445" i="4"/>
  <c r="C445" i="4"/>
  <c r="D445" i="4"/>
  <c r="E445" i="4"/>
  <c r="F445" i="4"/>
  <c r="G445" i="4"/>
  <c r="H445" i="4"/>
  <c r="B446" i="4"/>
  <c r="C446" i="4"/>
  <c r="D446" i="4"/>
  <c r="E446" i="4"/>
  <c r="F446" i="4"/>
  <c r="G446" i="4"/>
  <c r="H446" i="4"/>
  <c r="B447" i="4"/>
  <c r="C447" i="4"/>
  <c r="D447" i="4"/>
  <c r="E447" i="4"/>
  <c r="F447" i="4"/>
  <c r="G447" i="4"/>
  <c r="H447" i="4"/>
  <c r="B448" i="4"/>
  <c r="C448" i="4"/>
  <c r="D448" i="4"/>
  <c r="E448" i="4"/>
  <c r="F448" i="4"/>
  <c r="G448" i="4"/>
  <c r="H448" i="4"/>
  <c r="B449" i="4"/>
  <c r="C449" i="4"/>
  <c r="D449" i="4"/>
  <c r="E449" i="4"/>
  <c r="F449" i="4"/>
  <c r="G449" i="4"/>
  <c r="H449" i="4"/>
  <c r="B450" i="4"/>
  <c r="C450" i="4"/>
  <c r="D450" i="4"/>
  <c r="E450" i="4"/>
  <c r="F450" i="4"/>
  <c r="G450" i="4"/>
  <c r="H450" i="4"/>
  <c r="B451" i="4"/>
  <c r="C451" i="4"/>
  <c r="D451" i="4"/>
  <c r="E451" i="4"/>
  <c r="F451" i="4"/>
  <c r="G451" i="4"/>
  <c r="H451" i="4"/>
  <c r="B452" i="4"/>
  <c r="C452" i="4"/>
  <c r="D452" i="4"/>
  <c r="E452" i="4"/>
  <c r="F452" i="4"/>
  <c r="G452" i="4"/>
  <c r="B181" i="4"/>
  <c r="H185" i="4"/>
  <c r="F187" i="4"/>
  <c r="B189" i="4"/>
  <c r="G194" i="4"/>
  <c r="D196" i="4"/>
  <c r="H198" i="4"/>
  <c r="C200" i="4"/>
  <c r="B202" i="4"/>
  <c r="E203" i="4"/>
  <c r="H205" i="4"/>
  <c r="D207" i="4"/>
  <c r="H208" i="4"/>
  <c r="D211" i="4"/>
  <c r="B228" i="4"/>
  <c r="F229" i="4"/>
  <c r="D231" i="4"/>
  <c r="G234" i="4"/>
  <c r="H236" i="4"/>
  <c r="D239" i="4"/>
  <c r="D328" i="4"/>
  <c r="C329" i="4"/>
  <c r="B330" i="4"/>
  <c r="C332" i="4"/>
  <c r="E333" i="4"/>
  <c r="G334" i="4"/>
  <c r="G335" i="4"/>
  <c r="C337" i="4"/>
  <c r="E338" i="4"/>
  <c r="H339" i="4"/>
  <c r="D341" i="4"/>
  <c r="D353" i="4"/>
  <c r="F354" i="4"/>
  <c r="H355" i="4"/>
  <c r="H356" i="4"/>
  <c r="B358" i="4"/>
  <c r="B359" i="4"/>
  <c r="E360" i="4"/>
  <c r="G361" i="4"/>
  <c r="G362" i="4"/>
  <c r="C364" i="4"/>
  <c r="D365" i="4"/>
  <c r="F366" i="4"/>
  <c r="C378" i="4"/>
  <c r="B379" i="4"/>
  <c r="E380" i="4"/>
  <c r="E403" i="4"/>
  <c r="G404" i="4"/>
  <c r="H405" i="4"/>
  <c r="C408" i="4"/>
  <c r="C409" i="4"/>
  <c r="D410" i="4"/>
  <c r="G411" i="4"/>
  <c r="B414" i="4"/>
  <c r="D415" i="4"/>
  <c r="F416" i="4"/>
  <c r="G417" i="4"/>
  <c r="C420" i="4"/>
  <c r="G425" i="4"/>
  <c r="F426" i="4"/>
  <c r="D427" i="4"/>
  <c r="D428" i="4"/>
  <c r="D429" i="4"/>
  <c r="C430" i="4"/>
  <c r="H452" i="4"/>
  <c r="F453" i="4"/>
  <c r="E454" i="4"/>
  <c r="B455" i="4"/>
  <c r="B456" i="4"/>
  <c r="G456" i="4"/>
  <c r="D457" i="4"/>
  <c r="G457" i="4"/>
  <c r="B458" i="4"/>
  <c r="E458" i="4"/>
  <c r="F458" i="4"/>
  <c r="G458" i="4"/>
  <c r="H458" i="4"/>
  <c r="B459" i="4"/>
  <c r="C459" i="4"/>
  <c r="D459" i="4"/>
  <c r="E459" i="4"/>
  <c r="F459" i="4"/>
  <c r="G459" i="4"/>
  <c r="H459" i="4"/>
  <c r="B460" i="4"/>
  <c r="C460" i="4"/>
  <c r="D460" i="4"/>
  <c r="E460" i="4"/>
  <c r="F460" i="4"/>
  <c r="G460" i="4"/>
  <c r="H460" i="4"/>
  <c r="B461" i="4"/>
  <c r="C461" i="4"/>
  <c r="D461" i="4"/>
  <c r="E461" i="4"/>
  <c r="F461" i="4"/>
  <c r="G461" i="4"/>
  <c r="H461" i="4"/>
  <c r="B462" i="4"/>
  <c r="C462" i="4"/>
  <c r="D462" i="4"/>
  <c r="E462" i="4"/>
  <c r="F462" i="4"/>
  <c r="G462" i="4"/>
  <c r="H462" i="4"/>
  <c r="B463" i="4"/>
  <c r="C463" i="4"/>
  <c r="D463" i="4"/>
  <c r="E463" i="4"/>
  <c r="F463" i="4"/>
  <c r="G463" i="4"/>
  <c r="H463" i="4"/>
  <c r="B464" i="4"/>
  <c r="C464" i="4"/>
  <c r="D464" i="4"/>
  <c r="E464" i="4"/>
  <c r="F464" i="4"/>
  <c r="G464" i="4"/>
  <c r="H464" i="4"/>
  <c r="B465" i="4"/>
  <c r="C465" i="4"/>
  <c r="D465" i="4"/>
  <c r="E465" i="4"/>
  <c r="F465" i="4"/>
  <c r="G465" i="4"/>
  <c r="H465" i="4"/>
  <c r="B466" i="4"/>
  <c r="C466" i="4"/>
  <c r="D466" i="4"/>
  <c r="E466" i="4"/>
  <c r="F466" i="4"/>
  <c r="G466" i="4"/>
  <c r="H466" i="4"/>
  <c r="B467" i="4"/>
  <c r="C467" i="4"/>
  <c r="D467" i="4"/>
  <c r="E467" i="4"/>
  <c r="F467" i="4"/>
  <c r="G467" i="4"/>
  <c r="H467" i="4"/>
  <c r="B468" i="4"/>
  <c r="C468" i="4"/>
  <c r="D468" i="4"/>
  <c r="E468" i="4"/>
  <c r="F468" i="4"/>
  <c r="G468" i="4"/>
  <c r="H468" i="4"/>
  <c r="B469" i="4"/>
  <c r="C469" i="4"/>
  <c r="D469" i="4"/>
  <c r="E469" i="4"/>
  <c r="F469" i="4"/>
  <c r="G469" i="4"/>
  <c r="H469" i="4"/>
  <c r="B470" i="4"/>
  <c r="C470" i="4"/>
  <c r="D470" i="4"/>
  <c r="E470" i="4"/>
  <c r="F470" i="4"/>
  <c r="G470" i="4"/>
  <c r="H470" i="4"/>
  <c r="B471" i="4"/>
  <c r="C471" i="4"/>
  <c r="D471" i="4"/>
  <c r="E471" i="4"/>
  <c r="F471" i="4"/>
  <c r="G471" i="4"/>
  <c r="H471" i="4"/>
  <c r="B472" i="4"/>
  <c r="C472" i="4"/>
  <c r="D472" i="4"/>
  <c r="E472" i="4"/>
  <c r="F472" i="4"/>
  <c r="G472" i="4"/>
  <c r="H472" i="4"/>
  <c r="B473" i="4"/>
  <c r="C473" i="4"/>
  <c r="D473" i="4"/>
  <c r="E473" i="4"/>
  <c r="F473" i="4"/>
  <c r="G473" i="4"/>
  <c r="H473" i="4"/>
  <c r="B474" i="4"/>
  <c r="C474" i="4"/>
  <c r="D474" i="4"/>
  <c r="E474" i="4"/>
  <c r="F474" i="4"/>
  <c r="G474" i="4"/>
  <c r="H474" i="4"/>
  <c r="B475" i="4"/>
  <c r="C475" i="4"/>
  <c r="D475" i="4"/>
  <c r="E475" i="4"/>
  <c r="F475" i="4"/>
  <c r="G475" i="4"/>
  <c r="H475" i="4"/>
  <c r="B476" i="4"/>
  <c r="C476" i="4"/>
  <c r="D476" i="4"/>
  <c r="E476" i="4"/>
  <c r="F476" i="4"/>
  <c r="G476" i="4"/>
  <c r="H476" i="4"/>
  <c r="B477" i="4"/>
  <c r="C477" i="4"/>
  <c r="D477" i="4"/>
  <c r="E477" i="4"/>
  <c r="F477" i="4"/>
  <c r="G477" i="4"/>
  <c r="H477" i="4"/>
  <c r="G178" i="4"/>
  <c r="E179" i="4"/>
  <c r="F180" i="4"/>
  <c r="D181" i="4"/>
  <c r="E182" i="4"/>
  <c r="H182" i="4"/>
  <c r="D183" i="4"/>
  <c r="E184" i="4"/>
  <c r="C185" i="4"/>
  <c r="E188" i="4"/>
  <c r="G189" i="4"/>
  <c r="D190" i="4"/>
  <c r="H190" i="4"/>
  <c r="D191" i="4"/>
  <c r="H191" i="4"/>
  <c r="G192" i="4"/>
  <c r="F193" i="4"/>
  <c r="E194" i="4"/>
  <c r="B195" i="4"/>
  <c r="B196" i="4"/>
  <c r="G196" i="4"/>
  <c r="E197" i="4"/>
  <c r="D198" i="4"/>
  <c r="B199" i="4"/>
  <c r="H199" i="4"/>
  <c r="E200" i="4"/>
  <c r="C201" i="4"/>
  <c r="G201" i="4"/>
  <c r="E202" i="4"/>
  <c r="G202" i="4"/>
  <c r="D203" i="4"/>
  <c r="G203" i="4"/>
  <c r="D204" i="4"/>
  <c r="G204" i="4"/>
  <c r="C205" i="4"/>
  <c r="G205" i="4"/>
  <c r="E206" i="4"/>
  <c r="E207" i="4"/>
  <c r="F208" i="4"/>
  <c r="E209" i="4"/>
  <c r="B210" i="4"/>
  <c r="E210" i="4"/>
  <c r="C211" i="4"/>
  <c r="F212" i="4"/>
  <c r="G227" i="4"/>
  <c r="E228" i="4"/>
  <c r="H228" i="4"/>
  <c r="E229" i="4"/>
  <c r="D230" i="4"/>
  <c r="H230" i="4"/>
  <c r="E231" i="4"/>
  <c r="B232" i="4"/>
  <c r="F232" i="4"/>
  <c r="D233" i="4"/>
  <c r="H233" i="4"/>
  <c r="F234" i="4"/>
  <c r="C235" i="4"/>
  <c r="F236" i="4"/>
  <c r="E237" i="4"/>
  <c r="B238" i="4"/>
  <c r="F238" i="4"/>
  <c r="B239" i="4"/>
  <c r="E239" i="4"/>
  <c r="C240" i="4"/>
  <c r="C331" i="4"/>
  <c r="F331" i="4"/>
  <c r="D332" i="4"/>
  <c r="H332" i="4"/>
  <c r="C333" i="4"/>
  <c r="G333" i="4"/>
  <c r="C334" i="4"/>
  <c r="E334" i="4"/>
  <c r="E335" i="4"/>
  <c r="E336" i="4"/>
  <c r="G336" i="4"/>
  <c r="B337" i="4"/>
  <c r="F337" i="4"/>
  <c r="D338" i="4"/>
  <c r="G338" i="4"/>
  <c r="B339" i="4"/>
  <c r="D339" i="4"/>
  <c r="G339" i="4"/>
  <c r="C340" i="4"/>
  <c r="F340" i="4"/>
  <c r="C341" i="4"/>
  <c r="H341" i="4"/>
  <c r="C353" i="4"/>
  <c r="F353" i="4"/>
  <c r="D354" i="4"/>
  <c r="H354" i="4"/>
  <c r="C355" i="4"/>
  <c r="G355" i="4"/>
  <c r="C356" i="4"/>
  <c r="F356" i="4"/>
  <c r="D357" i="4"/>
  <c r="H357" i="4"/>
  <c r="D358" i="4"/>
  <c r="G358" i="4"/>
  <c r="C359" i="4"/>
  <c r="F359" i="4"/>
  <c r="H359" i="4"/>
  <c r="D360" i="4"/>
  <c r="G360" i="4"/>
  <c r="E361" i="4"/>
  <c r="D362" i="4"/>
  <c r="D363" i="4"/>
  <c r="F363" i="4"/>
  <c r="B364" i="4"/>
  <c r="F364" i="4"/>
  <c r="B365" i="4"/>
  <c r="F365" i="4"/>
  <c r="D366" i="4"/>
  <c r="H366" i="4"/>
  <c r="E378" i="4"/>
  <c r="D379" i="4"/>
  <c r="G379" i="4"/>
  <c r="B380" i="4"/>
  <c r="F380" i="4"/>
  <c r="C381" i="4"/>
  <c r="B403" i="4"/>
  <c r="F403" i="4"/>
  <c r="H403" i="4"/>
  <c r="C404" i="4"/>
  <c r="H404" i="4"/>
  <c r="B405" i="4"/>
  <c r="E405" i="4"/>
  <c r="B406" i="4"/>
  <c r="D406" i="4"/>
  <c r="G406" i="4"/>
  <c r="C407" i="4"/>
  <c r="F407" i="4"/>
  <c r="B408" i="4"/>
  <c r="E408" i="4"/>
  <c r="H409" i="4"/>
  <c r="C410" i="4"/>
  <c r="G410" i="4"/>
  <c r="E411" i="4"/>
  <c r="H411" i="4"/>
  <c r="C412" i="4"/>
  <c r="H412" i="4"/>
  <c r="B413" i="4"/>
  <c r="D413" i="4"/>
  <c r="H413" i="4"/>
  <c r="D414" i="4"/>
  <c r="G414" i="4"/>
  <c r="B415" i="4"/>
  <c r="F415" i="4"/>
  <c r="H415" i="4"/>
  <c r="C416" i="4"/>
  <c r="G416" i="4"/>
  <c r="B417" i="4"/>
  <c r="E417" i="4"/>
  <c r="H417" i="4"/>
  <c r="D418" i="4"/>
  <c r="G418" i="4"/>
  <c r="B419" i="4"/>
  <c r="F419" i="4"/>
  <c r="H419" i="4"/>
  <c r="D420" i="4"/>
  <c r="G420" i="4"/>
  <c r="C421" i="4"/>
  <c r="D421" i="4"/>
  <c r="F421" i="4"/>
  <c r="B422" i="4"/>
  <c r="D422" i="4"/>
  <c r="F422" i="4"/>
  <c r="H422" i="4"/>
  <c r="C423" i="4"/>
  <c r="E423" i="4"/>
  <c r="G423" i="4"/>
  <c r="H423" i="4"/>
  <c r="C424" i="4"/>
  <c r="E424" i="4"/>
  <c r="F424" i="4"/>
  <c r="H424" i="4"/>
  <c r="B425" i="4"/>
  <c r="D425" i="4"/>
  <c r="F425" i="4"/>
  <c r="C426" i="4"/>
  <c r="D426" i="4"/>
  <c r="G426" i="4"/>
  <c r="B427" i="4"/>
  <c r="C427" i="4"/>
  <c r="F427" i="4"/>
  <c r="C428" i="4"/>
  <c r="E428" i="4"/>
  <c r="H428" i="4"/>
  <c r="B429" i="4"/>
  <c r="C429" i="4"/>
  <c r="F429" i="4"/>
  <c r="H429" i="4"/>
  <c r="B430" i="4"/>
  <c r="D430" i="4"/>
  <c r="G430" i="4"/>
  <c r="H430" i="4"/>
  <c r="B431" i="4"/>
  <c r="D431" i="4"/>
  <c r="B453" i="4"/>
  <c r="D453" i="4"/>
  <c r="E453" i="4"/>
  <c r="H453" i="4"/>
  <c r="B454" i="4"/>
  <c r="D454" i="4"/>
  <c r="F454" i="4"/>
  <c r="C455" i="4"/>
  <c r="E455" i="4"/>
  <c r="G455" i="4"/>
  <c r="D456" i="4"/>
  <c r="G180" i="4"/>
  <c r="F182" i="4"/>
  <c r="G186" i="4"/>
  <c r="F188" i="4"/>
  <c r="E190" i="4"/>
  <c r="C192" i="4"/>
  <c r="H193" i="4"/>
  <c r="H195" i="4"/>
  <c r="F197" i="4"/>
  <c r="B200" i="4"/>
  <c r="F202" i="4"/>
  <c r="C204" i="4"/>
  <c r="D212" i="4"/>
  <c r="F230" i="4"/>
  <c r="E232" i="4"/>
  <c r="B234" i="4"/>
  <c r="H235" i="4"/>
  <c r="G237" i="4"/>
  <c r="F327" i="4"/>
  <c r="F328" i="4"/>
  <c r="E329" i="4"/>
  <c r="D330" i="4"/>
  <c r="E331" i="4"/>
  <c r="G332" i="4"/>
  <c r="C335" i="4"/>
  <c r="C336" i="4"/>
  <c r="E337" i="4"/>
  <c r="H338" i="4"/>
  <c r="D340" i="4"/>
  <c r="F341" i="4"/>
  <c r="H353" i="4"/>
  <c r="B355" i="4"/>
  <c r="D356" i="4"/>
  <c r="F357" i="4"/>
  <c r="H358" i="4"/>
  <c r="C361" i="4"/>
  <c r="E362" i="4"/>
  <c r="G363" i="4"/>
  <c r="H364" i="4"/>
  <c r="B366" i="4"/>
  <c r="F378" i="4"/>
  <c r="H379" i="4"/>
  <c r="D404" i="4"/>
  <c r="F405" i="4"/>
  <c r="B407" i="4"/>
  <c r="F408" i="4"/>
  <c r="G409" i="4"/>
  <c r="C411" i="4"/>
  <c r="E412" i="4"/>
  <c r="G413" i="4"/>
  <c r="C415" i="4"/>
  <c r="E416" i="4"/>
  <c r="C418" i="4"/>
  <c r="E419" i="4"/>
  <c r="H420" i="4"/>
  <c r="G421" i="4"/>
  <c r="E422" i="4"/>
  <c r="D423" i="4"/>
  <c r="B424" i="4"/>
  <c r="H425" i="4"/>
  <c r="H426" i="4"/>
  <c r="H427" i="4"/>
  <c r="G428" i="4"/>
  <c r="G429" i="4"/>
  <c r="F430" i="4"/>
  <c r="H454" i="4"/>
  <c r="F455" i="4"/>
  <c r="E456" i="4"/>
  <c r="C457" i="4"/>
  <c r="H457" i="4"/>
  <c r="D478" i="4"/>
  <c r="G478" i="4"/>
  <c r="B479" i="4"/>
  <c r="E479" i="4"/>
  <c r="H479" i="4"/>
  <c r="G480" i="4"/>
  <c r="C481" i="4"/>
  <c r="E481" i="4"/>
  <c r="F481" i="4"/>
  <c r="G481" i="4"/>
  <c r="H481" i="4"/>
  <c r="B482" i="4"/>
  <c r="C482" i="4"/>
  <c r="D482" i="4"/>
  <c r="E482" i="4"/>
  <c r="F482" i="4"/>
  <c r="G482" i="4"/>
  <c r="H482" i="4"/>
  <c r="B483" i="4"/>
  <c r="C483" i="4"/>
  <c r="D483" i="4"/>
  <c r="E483" i="4"/>
  <c r="F483" i="4"/>
  <c r="G483" i="4"/>
  <c r="H483" i="4"/>
  <c r="B484" i="4"/>
  <c r="C484" i="4"/>
  <c r="D484" i="4"/>
  <c r="E484" i="4"/>
  <c r="F484" i="4"/>
  <c r="G484" i="4"/>
  <c r="H484" i="4"/>
  <c r="B485" i="4"/>
  <c r="C485" i="4"/>
  <c r="D485" i="4"/>
  <c r="E485" i="4"/>
  <c r="F485" i="4"/>
  <c r="G485" i="4"/>
  <c r="H485" i="4"/>
  <c r="B486" i="4"/>
  <c r="C486" i="4"/>
  <c r="D486" i="4"/>
  <c r="E486" i="4"/>
  <c r="F486" i="4"/>
  <c r="G486" i="4"/>
  <c r="H486" i="4"/>
  <c r="B487" i="4"/>
  <c r="C487" i="4"/>
  <c r="D487" i="4"/>
  <c r="E487" i="4"/>
  <c r="F487" i="4"/>
  <c r="G487" i="4"/>
  <c r="H487" i="4"/>
  <c r="B488" i="4"/>
  <c r="C488" i="4"/>
  <c r="D488" i="4"/>
  <c r="E488" i="4"/>
  <c r="F488" i="4"/>
  <c r="G488" i="4"/>
  <c r="H488" i="4"/>
  <c r="B489" i="4"/>
  <c r="C489" i="4"/>
  <c r="D489" i="4"/>
  <c r="E489" i="4"/>
  <c r="F489" i="4"/>
  <c r="G489" i="4"/>
  <c r="G177" i="4"/>
  <c r="E178" i="4"/>
  <c r="D179" i="4"/>
  <c r="C180" i="4"/>
  <c r="H181" i="4"/>
  <c r="C183" i="4"/>
  <c r="G183" i="4"/>
  <c r="G184" i="4"/>
  <c r="D185" i="4"/>
  <c r="D186" i="4"/>
  <c r="D187" i="4"/>
  <c r="B188" i="4"/>
  <c r="H188" i="4"/>
  <c r="H189" i="4"/>
  <c r="B191" i="4"/>
  <c r="H192" i="4"/>
  <c r="B194" i="4"/>
  <c r="D195" i="4"/>
  <c r="G197" i="4"/>
  <c r="E198" i="4"/>
  <c r="E199" i="4"/>
  <c r="D200" i="4"/>
  <c r="E204" i="4"/>
  <c r="F205" i="4"/>
  <c r="F206" i="4"/>
  <c r="G207" i="4"/>
  <c r="B209" i="4"/>
  <c r="G209" i="4"/>
  <c r="C210" i="4"/>
  <c r="H210" i="4"/>
  <c r="G211" i="4"/>
  <c r="G212" i="4"/>
  <c r="B229" i="4"/>
  <c r="C230" i="4"/>
  <c r="C231" i="4"/>
  <c r="D232" i="4"/>
  <c r="C233" i="4"/>
  <c r="D234" i="4"/>
  <c r="B235" i="4"/>
  <c r="B236" i="4"/>
  <c r="B237" i="4"/>
  <c r="H238" i="4"/>
  <c r="G239" i="4"/>
  <c r="D240" i="4"/>
  <c r="F241" i="4"/>
  <c r="H327" i="4"/>
  <c r="C328" i="4"/>
  <c r="G328" i="4"/>
  <c r="B329" i="4"/>
  <c r="G329" i="4"/>
  <c r="C330" i="4"/>
  <c r="F330" i="4"/>
  <c r="B331" i="4"/>
  <c r="H331" i="4"/>
  <c r="F332" i="4"/>
  <c r="B333" i="4"/>
  <c r="H333" i="4"/>
  <c r="D334" i="4"/>
  <c r="B335" i="4"/>
  <c r="H335" i="4"/>
  <c r="D336" i="4"/>
  <c r="G337" i="4"/>
  <c r="C338" i="4"/>
  <c r="E339" i="4"/>
  <c r="B340" i="4"/>
  <c r="G340" i="4"/>
  <c r="E341" i="4"/>
  <c r="G352" i="4"/>
  <c r="E353" i="4"/>
  <c r="B354" i="4"/>
  <c r="G354" i="4"/>
  <c r="E355" i="4"/>
  <c r="E356" i="4"/>
  <c r="C357" i="4"/>
  <c r="F358" i="4"/>
  <c r="E359" i="4"/>
  <c r="B360" i="4"/>
  <c r="F360" i="4"/>
  <c r="D361" i="4"/>
  <c r="B362" i="4"/>
  <c r="F362" i="4"/>
  <c r="C363" i="4"/>
  <c r="E364" i="4"/>
  <c r="G365" i="4"/>
  <c r="E366" i="4"/>
  <c r="B378" i="4"/>
  <c r="G378" i="4"/>
  <c r="E379" i="4"/>
  <c r="C380" i="4"/>
  <c r="G380" i="4"/>
  <c r="G402" i="4"/>
  <c r="C403" i="4"/>
  <c r="F404" i="4"/>
  <c r="D405" i="4"/>
  <c r="F406" i="4"/>
  <c r="E407" i="4"/>
  <c r="H407" i="4"/>
  <c r="G408" i="4"/>
  <c r="D409" i="4"/>
  <c r="F410" i="4"/>
  <c r="D411" i="4"/>
  <c r="B412" i="4"/>
  <c r="G412" i="4"/>
  <c r="E413" i="4"/>
  <c r="C414" i="4"/>
  <c r="H414" i="4"/>
  <c r="E415" i="4"/>
  <c r="B416" i="4"/>
  <c r="H416" i="4"/>
  <c r="D417" i="4"/>
  <c r="B418" i="4"/>
  <c r="F418" i="4"/>
  <c r="D419" i="4"/>
  <c r="F420" i="4"/>
  <c r="B421" i="4"/>
  <c r="E421" i="4"/>
  <c r="H421" i="4"/>
  <c r="C422" i="4"/>
  <c r="G422" i="4"/>
  <c r="B423" i="4"/>
  <c r="F423" i="4"/>
  <c r="D424" i="4"/>
  <c r="G424" i="4"/>
  <c r="C425" i="4"/>
  <c r="E425" i="4"/>
  <c r="B426" i="4"/>
  <c r="E426" i="4"/>
  <c r="E427" i="4"/>
  <c r="B428" i="4"/>
  <c r="F428" i="4"/>
  <c r="E429" i="4"/>
  <c r="E430" i="4"/>
  <c r="C431" i="4"/>
  <c r="C453" i="4"/>
  <c r="G453" i="4"/>
  <c r="C454" i="4"/>
  <c r="G454" i="4"/>
  <c r="D455" i="4"/>
  <c r="H455" i="4"/>
  <c r="C456" i="4"/>
  <c r="F456" i="4"/>
  <c r="H456" i="4"/>
  <c r="B457" i="4"/>
  <c r="E457" i="4"/>
  <c r="F457" i="4"/>
  <c r="C458" i="4"/>
  <c r="D458" i="4"/>
  <c r="B478" i="4"/>
  <c r="C478" i="4"/>
  <c r="E478" i="4"/>
  <c r="F478" i="4"/>
  <c r="H478" i="4"/>
  <c r="C479" i="4"/>
  <c r="D479" i="4"/>
  <c r="F479" i="4"/>
  <c r="G479" i="4"/>
  <c r="B480" i="4"/>
  <c r="C480" i="4"/>
  <c r="D480" i="4"/>
  <c r="E480" i="4"/>
  <c r="F480" i="4"/>
  <c r="H480" i="4"/>
  <c r="B481" i="4"/>
  <c r="D481" i="4"/>
  <c r="H489" i="4"/>
  <c r="B490" i="4"/>
  <c r="C490" i="4"/>
  <c r="D490" i="4"/>
  <c r="E490" i="4"/>
  <c r="F490" i="4"/>
  <c r="G490" i="4"/>
  <c r="H490" i="4"/>
  <c r="B491" i="4"/>
  <c r="C491" i="4"/>
  <c r="D491" i="4"/>
  <c r="E491" i="4"/>
  <c r="F491" i="4"/>
  <c r="G491" i="4"/>
  <c r="H491" i="4"/>
  <c r="B492" i="4"/>
  <c r="C492" i="4"/>
  <c r="D492" i="4"/>
  <c r="E492" i="4"/>
  <c r="F492" i="4"/>
  <c r="G492" i="4"/>
  <c r="H492" i="4"/>
  <c r="B493" i="4"/>
  <c r="C493" i="4"/>
  <c r="D493" i="4"/>
  <c r="E493" i="4"/>
  <c r="F493" i="4"/>
  <c r="G493" i="4"/>
  <c r="H493" i="4"/>
  <c r="B494" i="4"/>
  <c r="C494" i="4"/>
  <c r="D494" i="4"/>
  <c r="E494" i="4"/>
  <c r="F494" i="4"/>
  <c r="G494" i="4"/>
  <c r="H494" i="4"/>
  <c r="B495" i="4"/>
  <c r="C495" i="4"/>
  <c r="D495" i="4"/>
  <c r="E495" i="4"/>
  <c r="F495" i="4"/>
  <c r="G495" i="4"/>
  <c r="H495" i="4"/>
  <c r="B496" i="4"/>
  <c r="C496" i="4"/>
  <c r="D496" i="4"/>
  <c r="E496" i="4"/>
  <c r="F496" i="4"/>
  <c r="G496" i="4"/>
  <c r="H496" i="4"/>
  <c r="B497" i="4"/>
  <c r="C497" i="4"/>
  <c r="D497" i="4"/>
  <c r="E497" i="4"/>
  <c r="F497" i="4"/>
  <c r="G497" i="4"/>
  <c r="H497" i="4"/>
  <c r="B498" i="4"/>
  <c r="C498" i="4"/>
  <c r="D498" i="4"/>
  <c r="E498" i="4"/>
  <c r="F498" i="4"/>
  <c r="G498" i="4"/>
  <c r="H498" i="4"/>
  <c r="B499" i="4"/>
  <c r="C499" i="4"/>
  <c r="D499" i="4"/>
  <c r="E499" i="4"/>
  <c r="F499" i="4"/>
  <c r="G499" i="4"/>
  <c r="H499" i="4"/>
  <c r="B500" i="4"/>
  <c r="C500" i="4"/>
  <c r="D500" i="4"/>
  <c r="E500" i="4"/>
  <c r="F500" i="4"/>
  <c r="G500" i="4"/>
  <c r="H500" i="4"/>
  <c r="T32" i="1"/>
  <c r="C14" i="2"/>
  <c r="D14" i="2" s="1"/>
  <c r="C23" i="2"/>
  <c r="B4" i="2"/>
  <c r="B6" i="2" s="1"/>
  <c r="B5" i="2"/>
</calcChain>
</file>

<file path=xl/sharedStrings.xml><?xml version="1.0" encoding="utf-8"?>
<sst xmlns="http://schemas.openxmlformats.org/spreadsheetml/2006/main" count="270" uniqueCount="144">
  <si>
    <t>No.</t>
  </si>
  <si>
    <t>CAMPAÑA</t>
  </si>
  <si>
    <t>FECHA DE INGRESO A FORMACIÓN</t>
  </si>
  <si>
    <t>CARGO</t>
  </si>
  <si>
    <t>No. DOCUMENTO</t>
  </si>
  <si>
    <t>NOMBRE COMPLETO</t>
  </si>
  <si>
    <t>CORREO ELECTRÓNICO</t>
  </si>
  <si>
    <t>TELÉFONO MÓVIL</t>
  </si>
  <si>
    <t>FORMADOR</t>
  </si>
  <si>
    <t>PRESENTACIÓN PERSONAL 5%</t>
  </si>
  <si>
    <t>PARTICIPACIÓN Y PUNTUALIDAD 10%</t>
  </si>
  <si>
    <t>EVALUACIÓN CONOCIMIENTO (DIA 2) 5%</t>
  </si>
  <si>
    <t>EVALUACIÓN TÉCNICA 10%</t>
  </si>
  <si>
    <t>SIMULACIÓN CON IA 20%</t>
  </si>
  <si>
    <t>EVALUACIÓN FINAL (CLÍNICA DE VENTAS) 50%</t>
  </si>
  <si>
    <t>NOTA FINAL</t>
  </si>
  <si>
    <t>APRUEBA</t>
  </si>
  <si>
    <t>OBSERVACIONES</t>
  </si>
  <si>
    <t>AUX - ORDEN APROBADO (no borrar)</t>
  </si>
  <si>
    <t>Posgrados</t>
  </si>
  <si>
    <t>Auxiliar gestor  de vinculaciones</t>
  </si>
  <si>
    <t>Sara Isabel Molina Sánchez</t>
  </si>
  <si>
    <t>Molinasara453@gmail.com</t>
  </si>
  <si>
    <t>Todas</t>
  </si>
  <si>
    <t>Michelle Geraldine Bejarano Torres</t>
  </si>
  <si>
    <t>michelletorres2593@hotmail.com</t>
  </si>
  <si>
    <t>Helen Sofia Calderon Camelo</t>
  </si>
  <si>
    <t>helencalderon910@gmail.com</t>
  </si>
  <si>
    <t>‪3239227093‬</t>
  </si>
  <si>
    <t>Cindy Paola Cuellar Montoya</t>
  </si>
  <si>
    <t>Cindypaolacuellar@gmail.com</t>
  </si>
  <si>
    <t xml:space="preserve">Llega tarde </t>
  </si>
  <si>
    <t>Thomas Bernardo Fernandez Laverde</t>
  </si>
  <si>
    <t>tfernandezlaverde@gmail.com</t>
  </si>
  <si>
    <t>Julie Caterine Villalobos Ortiz</t>
  </si>
  <si>
    <t>Juliecaterine23@gmail.com</t>
  </si>
  <si>
    <t>Yaricet Bricet Cárcamo Morales</t>
  </si>
  <si>
    <t>Yaricetbricet@gmail.com</t>
  </si>
  <si>
    <t>Pablo Steven Ochoa Rodriguez</t>
  </si>
  <si>
    <t>Pablorodriguez8q@gmail.com</t>
  </si>
  <si>
    <t>Lucia Fernanda Cruz Canchila</t>
  </si>
  <si>
    <t>Luciacruz0414@gmail.com</t>
  </si>
  <si>
    <t>Jhon Stiven Marin Valencia</t>
  </si>
  <si>
    <t>jhonstivenmarin02@gmail.com</t>
  </si>
  <si>
    <t>Yulieth Paola Rodriguez Cañon</t>
  </si>
  <si>
    <t>ypaolarodriguez14@gmail.com</t>
  </si>
  <si>
    <t>Natalia Fernanda Mendieta Oicata</t>
  </si>
  <si>
    <t>nataliamendieta2025@gmail.com</t>
  </si>
  <si>
    <t>Jhonatan David Londoño Baldovino</t>
  </si>
  <si>
    <t>Jdlbaldovino199@gmail.com</t>
  </si>
  <si>
    <t>David Felipe Hernández Hernández</t>
  </si>
  <si>
    <t>david.hernandez.dtk@gmail.com</t>
  </si>
  <si>
    <t>Cristian David Celis Garcia</t>
  </si>
  <si>
    <t>cristianceliss9719@gmail.com</t>
  </si>
  <si>
    <t>Kamy Lizeth Rios Gomez</t>
  </si>
  <si>
    <t>riosgomezkamy@gmail.com</t>
  </si>
  <si>
    <t>Yisell Dayana Castro González</t>
  </si>
  <si>
    <t>Gonzalezdayanna730@gmail.com</t>
  </si>
  <si>
    <t>Nataly Andrea Maecha Lizarazo</t>
  </si>
  <si>
    <t>natamahecha23@gmail.com</t>
  </si>
  <si>
    <t>Luisa Fernanda Rodríguez Sarmiento</t>
  </si>
  <si>
    <t>feryantonella13@gmail.com</t>
  </si>
  <si>
    <t>Presentación personal</t>
  </si>
  <si>
    <t>Yedinson Stiven Ramirez Perdómo</t>
  </si>
  <si>
    <t>kramirezperdomo@gmail.com</t>
  </si>
  <si>
    <t>Gisell Del Carmen Cabrera Maldonado</t>
  </si>
  <si>
    <t>cgisell890@gmail.com</t>
  </si>
  <si>
    <t>Actitud</t>
  </si>
  <si>
    <t>Hebert Julián Casilimas Ricardo</t>
  </si>
  <si>
    <t>julian180703@icloud.com</t>
  </si>
  <si>
    <t>Nelvis Mirleth Gutiérrez Orozco</t>
  </si>
  <si>
    <t>Milrthgutierrez@gmail.com</t>
  </si>
  <si>
    <t xml:space="preserve">Actitud </t>
  </si>
  <si>
    <t>Johan Sebastian Peña Ramos</t>
  </si>
  <si>
    <t>seebastian0118@gmail.com</t>
  </si>
  <si>
    <t>Pregrado Virtual</t>
  </si>
  <si>
    <t>Julian David Jiménez Moreno</t>
  </si>
  <si>
    <t xml:space="preserve">Julian.david.jimenez.moreno@gmail.com </t>
  </si>
  <si>
    <t>Karen Margarita Puerta</t>
  </si>
  <si>
    <t xml:space="preserve">Claudia Yadira Suta Torres </t>
  </si>
  <si>
    <t>claudiasuta029@gmail.com</t>
  </si>
  <si>
    <t xml:space="preserve">Cristian Manuel Jiménez Gómez </t>
  </si>
  <si>
    <t>jimenezsc07@gmail.com</t>
  </si>
  <si>
    <t>Miguel Ángel Becerra Garcia</t>
  </si>
  <si>
    <t>Saclaro920@gmail.com</t>
  </si>
  <si>
    <t>Alex Esteban Angarita Lozano</t>
  </si>
  <si>
    <t>angarita20162001@gmail.com</t>
  </si>
  <si>
    <t xml:space="preserve">Dana Yurleidy Lugo Castro </t>
  </si>
  <si>
    <t>danalugo12345@gmail.com</t>
  </si>
  <si>
    <t xml:space="preserve">Andersson Stiven Lozano Martinez </t>
  </si>
  <si>
    <t>andersson19892014@gmail.com</t>
  </si>
  <si>
    <t>(empty)</t>
  </si>
  <si>
    <t>Duvan Alejandro Díaz Landinez</t>
  </si>
  <si>
    <t>Alejithodiax@gmail.com</t>
  </si>
  <si>
    <t>Brandon Stiven Garces Arcos</t>
  </si>
  <si>
    <t xml:space="preserve">Brandongarces2@gmail.com </t>
  </si>
  <si>
    <t xml:space="preserve">Juan Sebastian Acevedo Salazar </t>
  </si>
  <si>
    <t>juansevedo02@gmail.com</t>
  </si>
  <si>
    <t>RESUMEN DE INGRESOS A FORMACIÓN (OJT)</t>
  </si>
  <si>
    <t>Total de personas registradas</t>
  </si>
  <si>
    <t>Total aprobados</t>
  </si>
  <si>
    <t>Total no aprobados</t>
  </si>
  <si>
    <t>% de aprobación</t>
  </si>
  <si>
    <t>Nota promedio general</t>
  </si>
  <si>
    <t>Total retirados</t>
  </si>
  <si>
    <t>Total en formación</t>
  </si>
  <si>
    <t>REGISTROS POR CAMPAÑA</t>
  </si>
  <si>
    <t>Campaña</t>
  </si>
  <si>
    <t>N° personas</t>
  </si>
  <si>
    <t>N° aprobados</t>
  </si>
  <si>
    <t>% aprobación</t>
  </si>
  <si>
    <t>Pregrado Presencial</t>
  </si>
  <si>
    <t>REGISTROS POR FORMADOR</t>
  </si>
  <si>
    <t>Formador</t>
  </si>
  <si>
    <t>Nota promedio</t>
  </si>
  <si>
    <t>Mayra Sofia Sanchez</t>
  </si>
  <si>
    <t>Monica Sanchez</t>
  </si>
  <si>
    <t xml:space="preserve">Todas </t>
  </si>
  <si>
    <t>Nota minima para aprobar</t>
  </si>
  <si>
    <t>(edita este valor para ajustar el umbral de aprobacion)</t>
  </si>
  <si>
    <t>Escala de calificación (máximo por ítem)</t>
  </si>
  <si>
    <t>(cada ítem se califica de 1 a 5)</t>
  </si>
  <si>
    <t>ESTADO DEL PROCESO</t>
  </si>
  <si>
    <t>ITEM DE EVALUACIÓN</t>
  </si>
  <si>
    <t>PESO %</t>
  </si>
  <si>
    <t>Gestor  vinculaciones Junior</t>
  </si>
  <si>
    <t>En formación</t>
  </si>
  <si>
    <t>Aprueba</t>
  </si>
  <si>
    <t>Gestor  vinculaciones Senior</t>
  </si>
  <si>
    <t>OJT</t>
  </si>
  <si>
    <t>No aprueba</t>
  </si>
  <si>
    <t>Participación y puntualidad</t>
  </si>
  <si>
    <t>Retirado</t>
  </si>
  <si>
    <t>Evaluación conocimiento &amp; role play</t>
  </si>
  <si>
    <t>Comercial B2B</t>
  </si>
  <si>
    <t>Simulación con IA</t>
  </si>
  <si>
    <t>Evaluación final (clínica de ventas)</t>
  </si>
  <si>
    <t>Evaluación conocimiento (Día 2)</t>
  </si>
  <si>
    <t xml:space="preserve">Escala de evaluación </t>
  </si>
  <si>
    <t>90–100 = 5</t>
  </si>
  <si>
    <t>80–89 = 4</t>
  </si>
  <si>
    <t>70–79 = 3</t>
  </si>
  <si>
    <t>60–69 = 2</t>
  </si>
  <si>
    <t>0–59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</si>
</sst>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0%"/>
  </numFmts>
  <fonts count="13" x14ac:knownFonts="1">
    <font>
      <sz val="11"/>
      <color theme="1"/>
      <name val="Calibri"/>
      <charset val="1"/>
    </font>
    <font>
      <b/>
      <sz val="9"/>
      <color rgb="FF1F3D2B"/>
      <name val="Calibri"/>
      <charset val="1"/>
    </font>
    <font>
      <b/>
      <i/>
      <sz val="11"/>
      <color rgb="FF808080"/>
      <name val="Calibri"/>
      <charset val="1"/>
    </font>
    <font>
      <sz val="10"/>
      <color rgb="FF000000"/>
      <name val="Calibri"/>
      <charset val="1"/>
    </font>
    <font>
      <u/>
      <sz val="11"/>
      <color rgb="FF000000"/>
      <name val="Calibri"/>
      <charset val="1"/>
    </font>
    <font>
      <sz val="10"/>
      <color theme="1"/>
      <name val="Calibri"/>
      <charset val="1"/>
    </font>
    <font>
      <b/>
      <sz val="13"/>
      <color rgb="FF1F3D2B"/>
      <name val="Calibri"/>
      <charset val="1"/>
    </font>
    <font>
      <b/>
      <sz val="10"/>
      <color theme="1"/>
      <name val="Calibri"/>
      <charset val="1"/>
    </font>
    <font>
      <b/>
      <sz val="11"/>
      <color theme="1"/>
      <name val="Calibri"/>
      <charset val="1"/>
    </font>
    <font>
      <b/>
      <sz val="9"/>
      <color theme="1"/>
      <name val="Calibri"/>
      <charset val="1"/>
    </font>
    <font>
      <b/>
      <sz val="10"/>
      <color rgb="FF1F3D2B"/>
      <name val="Calibri"/>
      <charset val="1"/>
    </font>
    <font>
      <i/>
      <sz val="9"/>
      <color rgb="FF808080"/>
      <name val="Calibri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A6E3B6"/>
        <bgColor rgb="FFC6EFCE"/>
      </patternFill>
    </fill>
    <fill>
      <patternFill patternType="solid">
        <fgColor rgb="FFD9D9D9"/>
        <bgColor rgb="FFC6EFCE"/>
      </patternFill>
    </fill>
    <fill>
      <patternFill patternType="solid">
        <fgColor rgb="FFF3F3F3"/>
        <bgColor rgb="FFF2F2F2"/>
      </patternFill>
    </fill>
    <fill>
      <patternFill patternType="solid">
        <fgColor rgb="FFFFFFFF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FFFFCC"/>
        <bgColor rgb="FFFFFFFF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Border="0" applyProtection="0"/>
    <xf numFmtId="0" fontId="12" fillId="0" borderId="0" applyBorder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/>
    <xf numFmtId="49" fontId="5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/>
    <xf numFmtId="1" fontId="5" fillId="4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5" fillId="5" borderId="1" xfId="0" applyFont="1" applyFill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5" fillId="0" borderId="1" xfId="0" applyNumberFormat="1" applyFont="1" applyBorder="1"/>
    <xf numFmtId="1" fontId="5" fillId="5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0" fontId="12" fillId="0" borderId="2" xfId="1" applyBorder="1"/>
    <xf numFmtId="0" fontId="12" fillId="0" borderId="3" xfId="2" applyBorder="1"/>
    <xf numFmtId="49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7" fillId="0" borderId="0" xfId="0" applyFont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8" fillId="0" borderId="0" xfId="0" applyFont="1"/>
    <xf numFmtId="0" fontId="9" fillId="2" borderId="0" xfId="0" applyFont="1" applyFill="1"/>
    <xf numFmtId="0" fontId="5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10" fillId="7" borderId="0" xfId="0" applyFont="1" applyFill="1" applyAlignment="1">
      <alignment horizontal="center"/>
    </xf>
    <xf numFmtId="0" fontId="11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0" fillId="8" borderId="4" xfId="0" applyFill="1" applyBorder="1"/>
    <xf numFmtId="0" fontId="3" fillId="0" borderId="4" xfId="0" applyFont="1" applyBorder="1"/>
    <xf numFmtId="164" fontId="3" fillId="0" borderId="4" xfId="0" applyNumberFormat="1" applyFont="1" applyBorder="1"/>
    <xf numFmtId="1" fontId="3" fillId="0" borderId="4" xfId="0" applyNumberFormat="1" applyFont="1" applyBorder="1"/>
    <xf numFmtId="0" fontId="6" fillId="0" borderId="0" xfId="0" applyFont="1"/>
  </cellXfs>
  <cellStyles count="3">
    <cellStyle name="Normal" xfId="0" builtinId="0"/>
    <cellStyle name="Pivot Table Corner" xfId="1" xr:uid="{00000000-0005-0000-0000-000006000000}"/>
    <cellStyle name="Pivot Table Value" xfId="2" xr:uid="{00000000-0005-0000-0000-000007000000}"/>
  </cellStyles>
  <dxfs count="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1F7A3D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7A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FFFF99"/>
      <rgbColor rgb="FFA6E3B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3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5" xr:uid="{00000000-000A-0000-FFFF-FFFF01000000}">
  <cacheSource type="worksheet">
    <worksheetSource ref="A1:A1048576" sheet="Registro"/>
  </cacheSource>
  <cacheFields count="1">
    <cacheField name="No." numFmtId="0">
      <sharedItems containsBlank="1" containsMixedTypes="1" containsNumber="1" containsInteger="1" minValue="1" maxValue="34" count="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" cacheId="0" applyNumberFormats="0" applyBorderFormats="0" applyFontFormats="0" applyPatternFormats="0" applyAlignmentFormats="0" applyWidthHeightFormats="0" dataCaption="Values" itemPrintTitles="1" indent="0" outline="1" outlineData="1">
  <location ref="N32:N33" firstHeaderRow="1" firstDataRow="1" firstDataCol="0"/>
  <pivotFields count="1">
    <pivotField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6:H26" headerRowCount="0" totalsRowShown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7:H28" headerRowCount="0" totalsRowShown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30:H33" headerRowCount="0" totalsRowShown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34:H35" headerRowCount="0" totalsRowShown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ypaolarodriguez14@gmail.com" TargetMode="Externa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T995"/>
  <sheetViews>
    <sheetView zoomScale="80" zoomScaleNormal="80" workbookViewId="0">
      <pane ySplit="1" topLeftCell="A2" activePane="bottomLeft" state="frozen"/>
      <selection pane="bottomLeft" activeCell="E39" sqref="E39"/>
    </sheetView>
  </sheetViews>
  <sheetFormatPr baseColWidth="10" defaultColWidth="14.42578125" defaultRowHeight="15" x14ac:dyDescent="0.25"/>
  <cols>
    <col min="1" max="1" width="5" customWidth="1"/>
    <col min="2" max="2" width="12.7109375" customWidth="1"/>
    <col min="3" max="3" width="15.7109375" customWidth="1"/>
    <col min="4" max="4" width="25.42578125" customWidth="1"/>
    <col min="5" max="5" width="13" customWidth="1"/>
    <col min="6" max="6" width="30.28515625" customWidth="1"/>
    <col min="7" max="7" width="34.28515625" customWidth="1"/>
    <col min="8" max="8" width="13.140625" customWidth="1"/>
    <col min="9" max="9" width="9.7109375" customWidth="1"/>
    <col min="10" max="10" width="13.140625" customWidth="1"/>
    <col min="11" max="11" width="14.140625" customWidth="1"/>
    <col min="12" max="13" width="15.28515625" customWidth="1"/>
    <col min="14" max="14" width="15.5703125" customWidth="1"/>
    <col min="15" max="15" width="22" customWidth="1"/>
    <col min="16" max="17" width="12" customWidth="1"/>
    <col min="18" max="18" width="28" customWidth="1"/>
    <col min="19" max="27" width="8.5703125" customWidth="1"/>
  </cols>
  <sheetData>
    <row r="1" spans="1:20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spans="1:20" ht="15" customHeight="1" x14ac:dyDescent="0.25">
      <c r="A2" s="3">
        <f t="shared" ref="A2:A33" si="0">IF(F2="","",ROW()-1)</f>
        <v>1</v>
      </c>
      <c r="B2" s="4" t="s">
        <v>19</v>
      </c>
      <c r="C2" s="5">
        <v>46204</v>
      </c>
      <c r="D2" s="4" t="s">
        <v>20</v>
      </c>
      <c r="E2" s="6">
        <v>1193156026</v>
      </c>
      <c r="F2" s="4" t="s">
        <v>21</v>
      </c>
      <c r="G2" s="4" t="s">
        <v>22</v>
      </c>
      <c r="H2" s="7">
        <v>3245742876</v>
      </c>
      <c r="I2" s="4" t="s">
        <v>23</v>
      </c>
      <c r="J2" s="8">
        <v>4</v>
      </c>
      <c r="K2" s="8">
        <v>5</v>
      </c>
      <c r="L2" s="8"/>
      <c r="M2" s="8">
        <v>4</v>
      </c>
      <c r="N2" s="8">
        <v>5</v>
      </c>
      <c r="O2" s="8">
        <v>3</v>
      </c>
      <c r="P2" s="9">
        <f>IF(F2="","",(J2*Parametros!$K$4+K2*Parametros!$K$5+M2*Parametros!$K$6+N2*Parametros!$K$7+O2*Parametros!$K$8)/Parametros!$B$2)</f>
        <v>72</v>
      </c>
      <c r="Q2" s="3" t="str">
        <f>IF(F2="","",IF(P2&gt;=Parametros!$B$1,"Aprueba","No aprueba"))</f>
        <v>Aprueba</v>
      </c>
      <c r="R2" s="4"/>
      <c r="T2">
        <f>IF($Q2="Aprueba",COUNTIF($Q$2:$Q2,"Aprueba"),"")</f>
        <v>1</v>
      </c>
    </row>
    <row r="3" spans="1:20" ht="15" customHeight="1" x14ac:dyDescent="0.25">
      <c r="A3" s="3">
        <f t="shared" si="0"/>
        <v>2</v>
      </c>
      <c r="B3" s="4" t="s">
        <v>19</v>
      </c>
      <c r="C3" s="5">
        <v>46204</v>
      </c>
      <c r="D3" s="4" t="s">
        <v>20</v>
      </c>
      <c r="E3" s="6">
        <v>1022988349</v>
      </c>
      <c r="F3" s="4" t="s">
        <v>24</v>
      </c>
      <c r="G3" s="4" t="s">
        <v>25</v>
      </c>
      <c r="H3" s="7">
        <v>3123702518</v>
      </c>
      <c r="I3" s="4" t="s">
        <v>23</v>
      </c>
      <c r="J3" s="8">
        <v>4</v>
      </c>
      <c r="K3" s="8">
        <v>2</v>
      </c>
      <c r="L3" s="8"/>
      <c r="M3" s="8">
        <v>4</v>
      </c>
      <c r="N3" s="8">
        <v>4</v>
      </c>
      <c r="O3" s="8">
        <v>3</v>
      </c>
      <c r="P3" s="9">
        <f>IF(F3="","",(J3*Parametros!$K$4+K3*Parametros!$K$5+M3*Parametros!$K$6+N3*Parametros!$K$7+O3*Parametros!$K$8)/Parametros!$B$2)</f>
        <v>62</v>
      </c>
      <c r="Q3" s="3" t="str">
        <f>IF(F3="","",IF(P3&gt;=Parametros!$B$1,"Aprueba","No aprueba"))</f>
        <v>No aprueba</v>
      </c>
      <c r="R3" s="4"/>
      <c r="T3" t="str">
        <f>IF($Q3="Aprueba",COUNTIF($Q$2:$Q3,"Aprueba"),"")</f>
        <v/>
      </c>
    </row>
    <row r="4" spans="1:20" ht="15" customHeight="1" x14ac:dyDescent="0.25">
      <c r="A4" s="3">
        <f t="shared" si="0"/>
        <v>3</v>
      </c>
      <c r="B4" s="4" t="s">
        <v>19</v>
      </c>
      <c r="C4" s="5">
        <v>46204</v>
      </c>
      <c r="D4" s="4" t="s">
        <v>20</v>
      </c>
      <c r="E4" s="6">
        <v>1016001652</v>
      </c>
      <c r="F4" s="4" t="s">
        <v>26</v>
      </c>
      <c r="G4" s="4" t="s">
        <v>27</v>
      </c>
      <c r="H4" s="7" t="s">
        <v>28</v>
      </c>
      <c r="I4" s="4" t="s">
        <v>23</v>
      </c>
      <c r="J4" s="8">
        <v>4</v>
      </c>
      <c r="K4" s="8">
        <v>4</v>
      </c>
      <c r="L4" s="8"/>
      <c r="M4" s="8">
        <v>4</v>
      </c>
      <c r="N4" s="8">
        <v>5</v>
      </c>
      <c r="O4" s="8">
        <v>3</v>
      </c>
      <c r="P4" s="9">
        <f>IF(F4="","",(J4*Parametros!$K$4+K4*Parametros!$K$5+M4*Parametros!$K$6+N4*Parametros!$K$7+O4*Parametros!$K$8)/Parametros!$B$2)</f>
        <v>70</v>
      </c>
      <c r="Q4" s="3" t="str">
        <f>IF(F4="","",IF(P4&gt;=Parametros!$B$1,"Aprueba","No aprueba"))</f>
        <v>Aprueba</v>
      </c>
      <c r="R4" s="4"/>
      <c r="T4">
        <f>IF($Q4="Aprueba",COUNTIF($Q$2:$Q4,"Aprueba"),"")</f>
        <v>2</v>
      </c>
    </row>
    <row r="5" spans="1:20" ht="15" customHeight="1" x14ac:dyDescent="0.25">
      <c r="A5" s="3">
        <f t="shared" si="0"/>
        <v>4</v>
      </c>
      <c r="B5" s="4" t="s">
        <v>19</v>
      </c>
      <c r="C5" s="5">
        <v>46204</v>
      </c>
      <c r="D5" s="4" t="s">
        <v>20</v>
      </c>
      <c r="E5" s="6">
        <v>1012385263</v>
      </c>
      <c r="F5" s="4" t="s">
        <v>29</v>
      </c>
      <c r="G5" s="4" t="s">
        <v>30</v>
      </c>
      <c r="H5" s="7">
        <v>3172616867</v>
      </c>
      <c r="I5" s="4" t="s">
        <v>23</v>
      </c>
      <c r="J5" s="8">
        <v>3</v>
      </c>
      <c r="K5" s="8">
        <v>3</v>
      </c>
      <c r="L5" s="8"/>
      <c r="M5" s="8">
        <v>3</v>
      </c>
      <c r="N5" s="8">
        <v>5</v>
      </c>
      <c r="O5" s="8">
        <v>3</v>
      </c>
      <c r="P5" s="9">
        <f>IF(F5="","",(J5*Parametros!$K$4+K5*Parametros!$K$5+M5*Parametros!$K$6+N5*Parametros!$K$7+O5*Parametros!$K$8)/Parametros!$B$2)</f>
        <v>65</v>
      </c>
      <c r="Q5" s="3" t="str">
        <f>IF(F5="","",IF(P5&gt;=Parametros!$B$1,"Aprueba","No aprueba"))</f>
        <v>No aprueba</v>
      </c>
      <c r="R5" s="4" t="s">
        <v>31</v>
      </c>
      <c r="T5" t="str">
        <f>IF($Q5="Aprueba",COUNTIF($Q$2:$Q5,"Aprueba"),"")</f>
        <v/>
      </c>
    </row>
    <row r="6" spans="1:20" ht="15" customHeight="1" x14ac:dyDescent="0.25">
      <c r="A6" s="3">
        <f t="shared" si="0"/>
        <v>5</v>
      </c>
      <c r="B6" s="4" t="s">
        <v>19</v>
      </c>
      <c r="C6" s="5">
        <v>46204</v>
      </c>
      <c r="D6" s="4" t="s">
        <v>20</v>
      </c>
      <c r="E6" s="6">
        <v>1001314657</v>
      </c>
      <c r="F6" s="4" t="s">
        <v>32</v>
      </c>
      <c r="G6" s="4" t="s">
        <v>33</v>
      </c>
      <c r="H6" s="7">
        <v>3103798566</v>
      </c>
      <c r="I6" s="4" t="s">
        <v>23</v>
      </c>
      <c r="J6" s="8">
        <v>4</v>
      </c>
      <c r="K6" s="8">
        <v>5</v>
      </c>
      <c r="L6" s="8"/>
      <c r="M6" s="8">
        <v>4</v>
      </c>
      <c r="N6" s="8">
        <v>5</v>
      </c>
      <c r="O6" s="8">
        <v>3</v>
      </c>
      <c r="P6" s="9">
        <f>IF(F6="","",(J6*Parametros!$K$4+K6*Parametros!$K$5+M6*Parametros!$K$6+N6*Parametros!$K$7+O6*Parametros!$K$8)/Parametros!$B$2)</f>
        <v>72</v>
      </c>
      <c r="Q6" s="3" t="str">
        <f>IF(F6="","",IF(P6&gt;=Parametros!$B$1,"Aprueba","No aprueba"))</f>
        <v>Aprueba</v>
      </c>
      <c r="R6" s="4"/>
      <c r="T6">
        <f>IF($Q6="Aprueba",COUNTIF($Q$2:$Q6,"Aprueba"),"")</f>
        <v>3</v>
      </c>
    </row>
    <row r="7" spans="1:20" ht="15" customHeight="1" x14ac:dyDescent="0.25">
      <c r="A7" s="3">
        <f t="shared" si="0"/>
        <v>6</v>
      </c>
      <c r="B7" s="4" t="s">
        <v>19</v>
      </c>
      <c r="C7" s="5">
        <v>46204</v>
      </c>
      <c r="D7" s="4" t="s">
        <v>20</v>
      </c>
      <c r="E7" s="6">
        <v>52956322</v>
      </c>
      <c r="F7" s="4" t="s">
        <v>34</v>
      </c>
      <c r="G7" s="4" t="s">
        <v>35</v>
      </c>
      <c r="H7" s="7">
        <v>3213264788</v>
      </c>
      <c r="I7" s="4" t="s">
        <v>23</v>
      </c>
      <c r="J7" s="8">
        <v>5</v>
      </c>
      <c r="K7" s="8">
        <v>5</v>
      </c>
      <c r="L7" s="8"/>
      <c r="M7" s="8">
        <v>4</v>
      </c>
      <c r="N7" s="8">
        <v>4</v>
      </c>
      <c r="O7" s="8">
        <v>3</v>
      </c>
      <c r="P7" s="9">
        <f>IF(F7="","",(J7*Parametros!$K$4+K7*Parametros!$K$5+M7*Parametros!$K$6+N7*Parametros!$K$7+O7*Parametros!$K$8)/Parametros!$B$2)</f>
        <v>69</v>
      </c>
      <c r="Q7" s="3" t="str">
        <f>IF(F7="","",IF(P7&gt;=Parametros!$B$1,"Aprueba","No aprueba"))</f>
        <v>No aprueba</v>
      </c>
      <c r="R7" s="4"/>
      <c r="T7" t="str">
        <f>IF($Q7="Aprueba",COUNTIF($Q$2:$Q7,"Aprueba"),"")</f>
        <v/>
      </c>
    </row>
    <row r="8" spans="1:20" ht="15" customHeight="1" x14ac:dyDescent="0.25">
      <c r="A8" s="3">
        <f t="shared" si="0"/>
        <v>7</v>
      </c>
      <c r="B8" s="4" t="s">
        <v>19</v>
      </c>
      <c r="C8" s="5">
        <v>46204</v>
      </c>
      <c r="D8" s="4" t="s">
        <v>20</v>
      </c>
      <c r="E8" s="6">
        <v>10191156098</v>
      </c>
      <c r="F8" s="4" t="s">
        <v>36</v>
      </c>
      <c r="G8" s="4" t="s">
        <v>37</v>
      </c>
      <c r="H8" s="7">
        <v>3008533917</v>
      </c>
      <c r="I8" s="4" t="s">
        <v>23</v>
      </c>
      <c r="J8" s="8">
        <v>4</v>
      </c>
      <c r="K8" s="8">
        <v>4</v>
      </c>
      <c r="L8" s="8"/>
      <c r="M8" s="8">
        <v>4</v>
      </c>
      <c r="N8" s="8">
        <v>3</v>
      </c>
      <c r="O8" s="8">
        <v>3</v>
      </c>
      <c r="P8" s="9">
        <f>IF(F8="","",(J8*Parametros!$K$4+K8*Parametros!$K$5+M8*Parametros!$K$6+N8*Parametros!$K$7+O8*Parametros!$K$8)/Parametros!$B$2)</f>
        <v>62</v>
      </c>
      <c r="Q8" s="3" t="str">
        <f>IF(F8="","",IF(P8&gt;=Parametros!$B$1,"Aprueba","No aprueba"))</f>
        <v>No aprueba</v>
      </c>
      <c r="R8" s="4"/>
      <c r="T8" t="str">
        <f>IF($Q8="Aprueba",COUNTIF($Q$2:$Q8,"Aprueba"),"")</f>
        <v/>
      </c>
    </row>
    <row r="9" spans="1:20" ht="15" customHeight="1" x14ac:dyDescent="0.25">
      <c r="A9" s="3">
        <f t="shared" si="0"/>
        <v>8</v>
      </c>
      <c r="B9" s="4" t="s">
        <v>19</v>
      </c>
      <c r="C9" s="5">
        <v>46204</v>
      </c>
      <c r="D9" s="4" t="s">
        <v>20</v>
      </c>
      <c r="E9" s="6">
        <v>1033096735</v>
      </c>
      <c r="F9" s="4" t="s">
        <v>38</v>
      </c>
      <c r="G9" s="4" t="s">
        <v>39</v>
      </c>
      <c r="H9" s="7">
        <v>3196588439</v>
      </c>
      <c r="I9" s="4" t="s">
        <v>23</v>
      </c>
      <c r="J9" s="8">
        <v>3</v>
      </c>
      <c r="K9" s="8">
        <v>4</v>
      </c>
      <c r="L9" s="8"/>
      <c r="M9" s="8">
        <v>5</v>
      </c>
      <c r="N9" s="8">
        <v>5</v>
      </c>
      <c r="O9" s="8">
        <v>4</v>
      </c>
      <c r="P9" s="9">
        <f>IF(F9="","",(J9*Parametros!$K$4+K9*Parametros!$K$5+M9*Parametros!$K$6+N9*Parametros!$K$7+O9*Parametros!$K$8)/Parametros!$B$2)</f>
        <v>81</v>
      </c>
      <c r="Q9" s="3" t="str">
        <f>IF(F9="","",IF(P9&gt;=Parametros!$B$1,"Aprueba","No aprueba"))</f>
        <v>Aprueba</v>
      </c>
      <c r="R9" s="4"/>
      <c r="T9">
        <f>IF($Q9="Aprueba",COUNTIF($Q$2:$Q9,"Aprueba"),"")</f>
        <v>4</v>
      </c>
    </row>
    <row r="10" spans="1:20" ht="15" customHeight="1" x14ac:dyDescent="0.25">
      <c r="A10" s="3">
        <f t="shared" si="0"/>
        <v>9</v>
      </c>
      <c r="B10" s="4" t="s">
        <v>19</v>
      </c>
      <c r="C10" s="5">
        <v>46204</v>
      </c>
      <c r="D10" s="4" t="s">
        <v>20</v>
      </c>
      <c r="E10" s="6">
        <v>1000219286</v>
      </c>
      <c r="F10" s="4" t="s">
        <v>40</v>
      </c>
      <c r="G10" s="4" t="s">
        <v>41</v>
      </c>
      <c r="H10" s="7">
        <v>3005145730</v>
      </c>
      <c r="I10" s="4" t="s">
        <v>23</v>
      </c>
      <c r="J10" s="8">
        <v>4</v>
      </c>
      <c r="K10" s="8">
        <v>2</v>
      </c>
      <c r="L10" s="8"/>
      <c r="M10" s="8">
        <v>5</v>
      </c>
      <c r="N10" s="8">
        <v>5</v>
      </c>
      <c r="O10" s="8">
        <v>3</v>
      </c>
      <c r="P10" s="9">
        <f>IF(F10="","",(J10*Parametros!$K$4+K10*Parametros!$K$5+M10*Parametros!$K$6+N10*Parametros!$K$7+O10*Parametros!$K$8)/Parametros!$B$2)</f>
        <v>68</v>
      </c>
      <c r="Q10" s="3" t="str">
        <f>IF(F10="","",IF(P10&gt;=Parametros!$B$1,"Aprueba","No aprueba"))</f>
        <v>No aprueba</v>
      </c>
      <c r="R10" s="4" t="s">
        <v>31</v>
      </c>
      <c r="T10" t="str">
        <f>IF($Q10="Aprueba",COUNTIF($Q$2:$Q10,"Aprueba"),"")</f>
        <v/>
      </c>
    </row>
    <row r="11" spans="1:20" ht="15" customHeight="1" x14ac:dyDescent="0.25">
      <c r="A11" s="3">
        <f t="shared" si="0"/>
        <v>10</v>
      </c>
      <c r="B11" s="4" t="s">
        <v>19</v>
      </c>
      <c r="C11" s="5">
        <v>46204</v>
      </c>
      <c r="D11" s="4" t="s">
        <v>20</v>
      </c>
      <c r="E11" s="6">
        <v>1004961429</v>
      </c>
      <c r="F11" s="4" t="s">
        <v>42</v>
      </c>
      <c r="G11" s="4" t="s">
        <v>43</v>
      </c>
      <c r="H11" s="7">
        <v>3219466413</v>
      </c>
      <c r="I11" s="4" t="s">
        <v>23</v>
      </c>
      <c r="J11" s="8">
        <v>3</v>
      </c>
      <c r="K11" s="8">
        <v>3</v>
      </c>
      <c r="L11" s="8"/>
      <c r="M11" s="8">
        <v>4</v>
      </c>
      <c r="N11" s="8">
        <v>4</v>
      </c>
      <c r="O11" s="8">
        <v>4</v>
      </c>
      <c r="P11" s="9">
        <f>IF(F11="","",(J11*Parametros!$K$4+K11*Parametros!$K$5+M11*Parametros!$K$6+N11*Parametros!$K$7+O11*Parametros!$K$8)/Parametros!$B$2)</f>
        <v>73</v>
      </c>
      <c r="Q11" s="3" t="str">
        <f>IF(F11="","",IF(P11&gt;=Parametros!$B$1,"Aprueba","No aprueba"))</f>
        <v>Aprueba</v>
      </c>
      <c r="R11" s="4" t="s">
        <v>31</v>
      </c>
      <c r="T11">
        <f>IF($Q11="Aprueba",COUNTIF($Q$2:$Q11,"Aprueba"),"")</f>
        <v>5</v>
      </c>
    </row>
    <row r="12" spans="1:20" ht="15" customHeight="1" x14ac:dyDescent="0.25">
      <c r="A12" s="3">
        <f t="shared" si="0"/>
        <v>11</v>
      </c>
      <c r="B12" s="4" t="s">
        <v>19</v>
      </c>
      <c r="C12" s="5">
        <v>46204</v>
      </c>
      <c r="D12" s="4" t="s">
        <v>20</v>
      </c>
      <c r="E12" s="6">
        <v>53121281</v>
      </c>
      <c r="F12" s="4" t="s">
        <v>44</v>
      </c>
      <c r="G12" s="10" t="s">
        <v>45</v>
      </c>
      <c r="H12" s="7">
        <v>3112142736</v>
      </c>
      <c r="I12" s="4" t="s">
        <v>23</v>
      </c>
      <c r="J12" s="8">
        <v>4</v>
      </c>
      <c r="K12" s="8">
        <v>4</v>
      </c>
      <c r="L12" s="8"/>
      <c r="M12" s="8">
        <v>3</v>
      </c>
      <c r="N12" s="8">
        <v>5</v>
      </c>
      <c r="O12" s="8">
        <v>4</v>
      </c>
      <c r="P12" s="9">
        <f>IF(F12="","",(J12*Parametros!$K$4+K12*Parametros!$K$5+M12*Parametros!$K$6+N12*Parametros!$K$7+O12*Parametros!$K$8)/Parametros!$B$2)</f>
        <v>78</v>
      </c>
      <c r="Q12" s="3" t="str">
        <f>IF(F12="","",IF(P12&gt;=Parametros!$B$1,"Aprueba","No aprueba"))</f>
        <v>Aprueba</v>
      </c>
      <c r="R12" s="4"/>
      <c r="T12">
        <f>IF($Q12="Aprueba",COUNTIF($Q$2:$Q12,"Aprueba"),"")</f>
        <v>6</v>
      </c>
    </row>
    <row r="13" spans="1:20" ht="15" customHeight="1" x14ac:dyDescent="0.25">
      <c r="A13" s="3">
        <f t="shared" si="0"/>
        <v>12</v>
      </c>
      <c r="B13" s="4" t="s">
        <v>19</v>
      </c>
      <c r="C13" s="5">
        <v>46204</v>
      </c>
      <c r="D13" s="4" t="s">
        <v>20</v>
      </c>
      <c r="E13" s="6">
        <v>1019138287</v>
      </c>
      <c r="F13" s="4" t="s">
        <v>46</v>
      </c>
      <c r="G13" s="4" t="s">
        <v>47</v>
      </c>
      <c r="H13" s="7">
        <v>3003020830</v>
      </c>
      <c r="I13" s="4" t="s">
        <v>23</v>
      </c>
      <c r="J13" s="8">
        <v>5</v>
      </c>
      <c r="K13" s="8">
        <v>5</v>
      </c>
      <c r="L13" s="8"/>
      <c r="M13" s="8">
        <v>3</v>
      </c>
      <c r="N13" s="8">
        <v>4</v>
      </c>
      <c r="O13" s="8">
        <v>3</v>
      </c>
      <c r="P13" s="9">
        <f>IF(F13="","",(J13*Parametros!$K$4+K13*Parametros!$K$5+M13*Parametros!$K$6+N13*Parametros!$K$7+O13*Parametros!$K$8)/Parametros!$B$2)</f>
        <v>67</v>
      </c>
      <c r="Q13" s="3" t="str">
        <f>IF(F13="","",IF(P13&gt;=Parametros!$B$1,"Aprueba","No aprueba"))</f>
        <v>No aprueba</v>
      </c>
      <c r="R13" s="4"/>
      <c r="T13" t="str">
        <f>IF($Q13="Aprueba",COUNTIF($Q$2:$Q13,"Aprueba"),"")</f>
        <v/>
      </c>
    </row>
    <row r="14" spans="1:20" ht="15" customHeight="1" x14ac:dyDescent="0.25">
      <c r="A14" s="11">
        <f t="shared" si="0"/>
        <v>13</v>
      </c>
      <c r="B14" s="12" t="s">
        <v>19</v>
      </c>
      <c r="C14" s="13">
        <v>46211</v>
      </c>
      <c r="D14" s="12" t="s">
        <v>20</v>
      </c>
      <c r="E14" s="14">
        <v>1019145849</v>
      </c>
      <c r="F14" s="12" t="s">
        <v>48</v>
      </c>
      <c r="G14" s="12" t="s">
        <v>49</v>
      </c>
      <c r="H14" s="15">
        <v>3208836403</v>
      </c>
      <c r="I14" s="12" t="s">
        <v>23</v>
      </c>
      <c r="J14" s="16">
        <v>4</v>
      </c>
      <c r="K14" s="16">
        <v>4</v>
      </c>
      <c r="L14" s="16">
        <v>3</v>
      </c>
      <c r="M14" s="16">
        <v>3</v>
      </c>
      <c r="N14" s="16">
        <v>3</v>
      </c>
      <c r="O14" s="16">
        <v>2</v>
      </c>
      <c r="P14" s="17">
        <f>IF(F14="","",(J14*Parametros!$K$4+K14*Parametros!$K$5+L14*Parametros!$K$6+M14*Parametros!$K$7+N14*Parametros!$K$8+O14*Parametros!$K$9)/Parametros!$B$2)</f>
        <v>62</v>
      </c>
      <c r="Q14" s="11" t="str">
        <f>IF(F14="","",IF(P14&gt;=Parametros!$B$1,"Aprueba","No aprueba"))</f>
        <v>No aprueba</v>
      </c>
      <c r="R14" s="12"/>
      <c r="T14" t="str">
        <f>IF($Q14="Aprueba",COUNTIF($Q$2:$Q14,"Aprueba"),"")</f>
        <v/>
      </c>
    </row>
    <row r="15" spans="1:20" ht="15" customHeight="1" x14ac:dyDescent="0.25">
      <c r="A15" s="11">
        <f t="shared" si="0"/>
        <v>14</v>
      </c>
      <c r="B15" s="12" t="s">
        <v>19</v>
      </c>
      <c r="C15" s="13">
        <v>46211</v>
      </c>
      <c r="D15" s="12" t="s">
        <v>20</v>
      </c>
      <c r="E15" s="14">
        <v>1001056884</v>
      </c>
      <c r="F15" s="12" t="s">
        <v>50</v>
      </c>
      <c r="G15" s="12" t="s">
        <v>51</v>
      </c>
      <c r="H15" s="15">
        <v>3028250517</v>
      </c>
      <c r="I15" s="12" t="s">
        <v>23</v>
      </c>
      <c r="J15" s="16">
        <v>4</v>
      </c>
      <c r="K15" s="16">
        <v>4</v>
      </c>
      <c r="L15" s="16">
        <v>3</v>
      </c>
      <c r="M15" s="16">
        <v>3</v>
      </c>
      <c r="N15" s="16">
        <v>3</v>
      </c>
      <c r="O15" s="16">
        <v>3</v>
      </c>
      <c r="P15" s="17">
        <f>IF(F15="","",(J15*Parametros!$K$4+K15*Parametros!$K$5+L15*Parametros!$K$6+M15*Parametros!$K$7+N15*Parametros!$K$8+O15*Parametros!$K$9)/Parametros!$B$2)</f>
        <v>63</v>
      </c>
      <c r="Q15" s="11" t="str">
        <f>IF(F15="","",IF(P15&gt;=Parametros!$B$1,"Aprueba","No aprueba"))</f>
        <v>No aprueba</v>
      </c>
      <c r="R15" s="12"/>
      <c r="T15" t="str">
        <f>IF($Q15="Aprueba",COUNTIF($Q$2:$Q15,"Aprueba"),"")</f>
        <v/>
      </c>
    </row>
    <row r="16" spans="1:20" ht="15" customHeight="1" x14ac:dyDescent="0.25">
      <c r="A16" s="11">
        <f t="shared" si="0"/>
        <v>15</v>
      </c>
      <c r="B16" s="12" t="s">
        <v>19</v>
      </c>
      <c r="C16" s="13">
        <v>46211</v>
      </c>
      <c r="D16" s="12" t="s">
        <v>20</v>
      </c>
      <c r="E16" s="14">
        <v>1024585365</v>
      </c>
      <c r="F16" s="12" t="s">
        <v>52</v>
      </c>
      <c r="G16" s="12" t="s">
        <v>53</v>
      </c>
      <c r="H16" s="15">
        <v>3216686201</v>
      </c>
      <c r="I16" s="12" t="s">
        <v>23</v>
      </c>
      <c r="J16" s="16">
        <v>4</v>
      </c>
      <c r="K16" s="16">
        <v>4</v>
      </c>
      <c r="L16" s="16">
        <v>3</v>
      </c>
      <c r="M16" s="16">
        <v>3</v>
      </c>
      <c r="N16" s="16">
        <v>4</v>
      </c>
      <c r="O16" s="16">
        <v>3</v>
      </c>
      <c r="P16" s="17">
        <f>IF(F16="","",(J16*Parametros!$K$4+K16*Parametros!$K$5+L16*Parametros!$K$6+M16*Parametros!$K$7+N16*Parametros!$K$8+O16*Parametros!$K$9)/Parametros!$B$2)</f>
        <v>73</v>
      </c>
      <c r="Q16" s="11" t="str">
        <f>IF(F16="","",IF(P16&gt;=Parametros!$B$1,"Aprueba","No aprueba"))</f>
        <v>Aprueba</v>
      </c>
      <c r="R16" s="12" t="s">
        <v>31</v>
      </c>
      <c r="T16">
        <f>IF($Q16="Aprueba",COUNTIF($Q$2:$Q16,"Aprueba"),"")</f>
        <v>7</v>
      </c>
    </row>
    <row r="17" spans="1:20" ht="15" customHeight="1" x14ac:dyDescent="0.25">
      <c r="A17" s="11">
        <f t="shared" si="0"/>
        <v>16</v>
      </c>
      <c r="B17" s="12" t="s">
        <v>19</v>
      </c>
      <c r="C17" s="13">
        <v>46211</v>
      </c>
      <c r="D17" s="12" t="s">
        <v>20</v>
      </c>
      <c r="E17" s="14">
        <v>1000547797</v>
      </c>
      <c r="F17" s="12" t="s">
        <v>54</v>
      </c>
      <c r="G17" s="12" t="s">
        <v>55</v>
      </c>
      <c r="H17" s="15">
        <v>3112534635</v>
      </c>
      <c r="I17" s="12" t="s">
        <v>23</v>
      </c>
      <c r="J17" s="16">
        <v>5</v>
      </c>
      <c r="K17" s="16">
        <v>4</v>
      </c>
      <c r="L17" s="16">
        <v>2</v>
      </c>
      <c r="M17" s="16">
        <v>5</v>
      </c>
      <c r="N17" s="16">
        <v>5</v>
      </c>
      <c r="O17" s="16">
        <v>3</v>
      </c>
      <c r="P17" s="17">
        <f>IF(F17="","",(J17*Parametros!$K$4+K17*Parametros!$K$5+L17*Parametros!$K$6+M17*Parametros!$K$7+N17*Parametros!$K$8+O17*Parametros!$K$9)/Parametros!$B$2)</f>
        <v>90</v>
      </c>
      <c r="Q17" s="11" t="str">
        <f>IF(F17="","",IF(P17&gt;=Parametros!$B$1,"Aprueba","No aprueba"))</f>
        <v>Aprueba</v>
      </c>
      <c r="R17" s="12"/>
      <c r="T17">
        <f>IF($Q17="Aprueba",COUNTIF($Q$2:$Q17,"Aprueba"),"")</f>
        <v>8</v>
      </c>
    </row>
    <row r="18" spans="1:20" ht="15" customHeight="1" x14ac:dyDescent="0.25">
      <c r="A18" s="11">
        <f t="shared" si="0"/>
        <v>17</v>
      </c>
      <c r="B18" s="12" t="s">
        <v>19</v>
      </c>
      <c r="C18" s="13">
        <v>46211</v>
      </c>
      <c r="D18" s="12" t="s">
        <v>20</v>
      </c>
      <c r="E18" s="14">
        <v>1023867138</v>
      </c>
      <c r="F18" s="12" t="s">
        <v>56</v>
      </c>
      <c r="G18" s="12" t="s">
        <v>57</v>
      </c>
      <c r="H18" s="15">
        <v>3143600585</v>
      </c>
      <c r="I18" s="12" t="s">
        <v>23</v>
      </c>
      <c r="J18" s="16">
        <v>4</v>
      </c>
      <c r="K18" s="16">
        <v>4</v>
      </c>
      <c r="L18" s="16">
        <v>3</v>
      </c>
      <c r="M18" s="16">
        <v>3</v>
      </c>
      <c r="N18" s="16">
        <v>4</v>
      </c>
      <c r="O18" s="16">
        <v>2</v>
      </c>
      <c r="P18" s="17">
        <f>IF(F18="","",(J18*Parametros!$K$4+K18*Parametros!$K$5+L18*Parametros!$K$6+M18*Parametros!$K$7+N18*Parametros!$K$8+O18*Parametros!$K$9)/Parametros!$B$2)</f>
        <v>72</v>
      </c>
      <c r="Q18" s="11" t="str">
        <f>IF(F18="","",IF(P18&gt;=Parametros!$B$1,"Aprueba","No aprueba"))</f>
        <v>Aprueba</v>
      </c>
      <c r="R18" s="12"/>
      <c r="T18">
        <f>IF($Q18="Aprueba",COUNTIF($Q$2:$Q18,"Aprueba"),"")</f>
        <v>9</v>
      </c>
    </row>
    <row r="19" spans="1:20" ht="15" customHeight="1" x14ac:dyDescent="0.25">
      <c r="A19" s="11">
        <f t="shared" si="0"/>
        <v>18</v>
      </c>
      <c r="B19" s="12" t="s">
        <v>19</v>
      </c>
      <c r="C19" s="13">
        <v>46211</v>
      </c>
      <c r="D19" s="12" t="s">
        <v>20</v>
      </c>
      <c r="E19" s="14">
        <v>1000810776</v>
      </c>
      <c r="F19" s="12" t="s">
        <v>58</v>
      </c>
      <c r="G19" s="12" t="s">
        <v>59</v>
      </c>
      <c r="H19" s="15">
        <v>3204984051</v>
      </c>
      <c r="I19" s="12" t="s">
        <v>23</v>
      </c>
      <c r="J19" s="16">
        <v>4</v>
      </c>
      <c r="K19" s="16">
        <v>4</v>
      </c>
      <c r="L19" s="16">
        <v>2</v>
      </c>
      <c r="M19" s="16">
        <v>4</v>
      </c>
      <c r="N19" s="16">
        <v>4</v>
      </c>
      <c r="O19" s="16">
        <v>2</v>
      </c>
      <c r="P19" s="17">
        <f>IF(F19="","",(J19*Parametros!$K$4+K19*Parametros!$K$5+L19*Parametros!$K$6+M19*Parametros!$K$7+N19*Parametros!$K$8+O19*Parametros!$K$9)/Parametros!$B$2)</f>
        <v>74</v>
      </c>
      <c r="Q19" s="11" t="str">
        <f>IF(F19="","",IF(P19&gt;=Parametros!$B$1,"Aprueba","No aprueba"))</f>
        <v>Aprueba</v>
      </c>
      <c r="R19" s="12"/>
      <c r="T19">
        <f>IF($Q19="Aprueba",COUNTIF($Q$2:$Q19,"Aprueba"),"")</f>
        <v>10</v>
      </c>
    </row>
    <row r="20" spans="1:20" ht="15" customHeight="1" x14ac:dyDescent="0.25">
      <c r="A20" s="11">
        <f t="shared" si="0"/>
        <v>19</v>
      </c>
      <c r="B20" s="12" t="s">
        <v>19</v>
      </c>
      <c r="C20" s="13">
        <v>46211</v>
      </c>
      <c r="D20" s="12" t="s">
        <v>20</v>
      </c>
      <c r="E20" s="14">
        <v>1001271946</v>
      </c>
      <c r="F20" s="12" t="s">
        <v>60</v>
      </c>
      <c r="G20" s="12" t="s">
        <v>61</v>
      </c>
      <c r="H20" s="15">
        <v>3054399778</v>
      </c>
      <c r="I20" s="12" t="s">
        <v>23</v>
      </c>
      <c r="J20" s="16">
        <v>3</v>
      </c>
      <c r="K20" s="16">
        <v>5</v>
      </c>
      <c r="L20" s="16">
        <v>3</v>
      </c>
      <c r="M20" s="16">
        <v>3</v>
      </c>
      <c r="N20" s="16">
        <v>4</v>
      </c>
      <c r="O20" s="16">
        <v>3</v>
      </c>
      <c r="P20" s="17">
        <f>IF(F20="","",(J20*Parametros!$K$4+K20*Parametros!$K$5+L20*Parametros!$K$6+M20*Parametros!$K$7+N20*Parametros!$K$8+O20*Parametros!$K$9)/Parametros!$B$2)</f>
        <v>74</v>
      </c>
      <c r="Q20" s="11" t="str">
        <f>IF(F20="","",IF(P20&gt;=Parametros!$B$1,"Aprueba","No aprueba"))</f>
        <v>Aprueba</v>
      </c>
      <c r="R20" s="12" t="s">
        <v>62</v>
      </c>
      <c r="T20">
        <f>IF($Q20="Aprueba",COUNTIF($Q$2:$Q20,"Aprueba"),"")</f>
        <v>11</v>
      </c>
    </row>
    <row r="21" spans="1:20" ht="15" customHeight="1" x14ac:dyDescent="0.25">
      <c r="A21" s="11">
        <f t="shared" si="0"/>
        <v>20</v>
      </c>
      <c r="B21" s="12" t="s">
        <v>19</v>
      </c>
      <c r="C21" s="13">
        <v>46211</v>
      </c>
      <c r="D21" s="12" t="s">
        <v>20</v>
      </c>
      <c r="E21" s="14">
        <v>1117813165</v>
      </c>
      <c r="F21" s="12" t="s">
        <v>63</v>
      </c>
      <c r="G21" s="12" t="s">
        <v>64</v>
      </c>
      <c r="H21" s="15">
        <v>3506517824</v>
      </c>
      <c r="I21" s="12" t="s">
        <v>23</v>
      </c>
      <c r="J21" s="16">
        <v>5</v>
      </c>
      <c r="K21" s="16">
        <v>5</v>
      </c>
      <c r="L21" s="16">
        <v>3</v>
      </c>
      <c r="M21" s="16">
        <v>5</v>
      </c>
      <c r="N21" s="16">
        <v>5</v>
      </c>
      <c r="O21" s="16">
        <v>3</v>
      </c>
      <c r="P21" s="17">
        <f>IF(F21="","",(J21*Parametros!$K$4+K21*Parametros!$K$5+L21*Parametros!$K$6+M21*Parametros!$K$7+N21*Parametros!$K$8+O21*Parametros!$K$9)/Parametros!$B$2)</f>
        <v>94</v>
      </c>
      <c r="Q21" s="11" t="str">
        <f>IF(F21="","",IF(P21&gt;=Parametros!$B$1,"Aprueba","No aprueba"))</f>
        <v>Aprueba</v>
      </c>
      <c r="R21" s="12"/>
      <c r="T21">
        <f>IF($Q21="Aprueba",COUNTIF($Q$2:$Q21,"Aprueba"),"")</f>
        <v>12</v>
      </c>
    </row>
    <row r="22" spans="1:20" ht="15" customHeight="1" x14ac:dyDescent="0.25">
      <c r="A22" s="11">
        <f t="shared" si="0"/>
        <v>21</v>
      </c>
      <c r="B22" s="12" t="s">
        <v>19</v>
      </c>
      <c r="C22" s="13">
        <v>46211</v>
      </c>
      <c r="D22" s="12" t="s">
        <v>20</v>
      </c>
      <c r="E22" s="14">
        <v>1045686807</v>
      </c>
      <c r="F22" s="12" t="s">
        <v>65</v>
      </c>
      <c r="G22" s="12" t="s">
        <v>66</v>
      </c>
      <c r="H22" s="15">
        <v>3017718956</v>
      </c>
      <c r="I22" s="12" t="s">
        <v>23</v>
      </c>
      <c r="J22" s="16">
        <v>4</v>
      </c>
      <c r="K22" s="16">
        <v>3</v>
      </c>
      <c r="L22" s="16">
        <v>5</v>
      </c>
      <c r="M22" s="16">
        <v>4</v>
      </c>
      <c r="N22" s="16">
        <v>2</v>
      </c>
      <c r="O22" s="16">
        <v>2</v>
      </c>
      <c r="P22" s="17">
        <f>IF(F22="","",(J22*Parametros!$K$4+K22*Parametros!$K$5+L22*Parametros!$K$6+M22*Parametros!$K$7+N22*Parametros!$K$8+O22*Parametros!$K$9)/Parametros!$B$2)</f>
        <v>58</v>
      </c>
      <c r="Q22" s="11" t="str">
        <f>IF(F22="","",IF(P22&gt;=Parametros!$B$1,"Aprueba","No aprueba"))</f>
        <v>No aprueba</v>
      </c>
      <c r="R22" s="12" t="s">
        <v>67</v>
      </c>
      <c r="T22" t="str">
        <f>IF($Q22="Aprueba",COUNTIF($Q$2:$Q22,"Aprueba"),"")</f>
        <v/>
      </c>
    </row>
    <row r="23" spans="1:20" ht="15" customHeight="1" x14ac:dyDescent="0.25">
      <c r="A23" s="11">
        <f t="shared" si="0"/>
        <v>22</v>
      </c>
      <c r="B23" s="12" t="s">
        <v>19</v>
      </c>
      <c r="C23" s="13">
        <v>46211</v>
      </c>
      <c r="D23" s="12" t="s">
        <v>20</v>
      </c>
      <c r="E23" s="14">
        <v>1070595836</v>
      </c>
      <c r="F23" s="12" t="s">
        <v>68</v>
      </c>
      <c r="G23" s="12" t="s">
        <v>69</v>
      </c>
      <c r="H23" s="15">
        <v>3229087879</v>
      </c>
      <c r="I23" s="12" t="s">
        <v>23</v>
      </c>
      <c r="J23" s="16">
        <v>4</v>
      </c>
      <c r="K23" s="16">
        <v>4</v>
      </c>
      <c r="L23" s="16">
        <v>3</v>
      </c>
      <c r="M23" s="16">
        <v>5</v>
      </c>
      <c r="N23" s="16">
        <v>5</v>
      </c>
      <c r="O23" s="16">
        <v>3</v>
      </c>
      <c r="P23" s="17">
        <f>IF(F23="","",(J23*Parametros!$K$4+K23*Parametros!$K$5+L23*Parametros!$K$6+M23*Parametros!$K$7+N23*Parametros!$K$8+O23*Parametros!$K$9)/Parametros!$B$2)</f>
        <v>91</v>
      </c>
      <c r="Q23" s="11" t="str">
        <f>IF(F23="","",IF(P23&gt;=Parametros!$B$1,"Aprueba","No aprueba"))</f>
        <v>Aprueba</v>
      </c>
      <c r="R23" s="12"/>
      <c r="T23">
        <f>IF($Q23="Aprueba",COUNTIF($Q$2:$Q23,"Aprueba"),"")</f>
        <v>13</v>
      </c>
    </row>
    <row r="24" spans="1:20" ht="15" customHeight="1" x14ac:dyDescent="0.25">
      <c r="A24" s="11">
        <f t="shared" si="0"/>
        <v>23</v>
      </c>
      <c r="B24" s="12" t="s">
        <v>19</v>
      </c>
      <c r="C24" s="13">
        <v>46211</v>
      </c>
      <c r="D24" s="12" t="s">
        <v>20</v>
      </c>
      <c r="E24" s="14">
        <v>1140850536</v>
      </c>
      <c r="F24" s="12" t="s">
        <v>70</v>
      </c>
      <c r="G24" s="12" t="s">
        <v>71</v>
      </c>
      <c r="H24" s="15">
        <v>3028092333</v>
      </c>
      <c r="I24" s="12" t="s">
        <v>23</v>
      </c>
      <c r="J24" s="16">
        <v>3</v>
      </c>
      <c r="K24" s="16">
        <v>3</v>
      </c>
      <c r="L24" s="16">
        <v>2</v>
      </c>
      <c r="M24" s="16">
        <v>3</v>
      </c>
      <c r="N24" s="16">
        <v>3</v>
      </c>
      <c r="O24" s="16">
        <v>1</v>
      </c>
      <c r="P24" s="17">
        <f>IF(F24="","",(J24*Parametros!$K$4+K24*Parametros!$K$5+L24*Parametros!$K$6+M24*Parametros!$K$7+N24*Parametros!$K$8+O24*Parametros!$K$9)/Parametros!$B$2)</f>
        <v>56</v>
      </c>
      <c r="Q24" s="11" t="str">
        <f>IF(F24="","",IF(P24&gt;=Parametros!$B$1,"Aprueba","No aprueba"))</f>
        <v>No aprueba</v>
      </c>
      <c r="R24" s="12" t="s">
        <v>72</v>
      </c>
      <c r="T24" t="str">
        <f>IF($Q24="Aprueba",COUNTIF($Q$2:$Q24,"Aprueba"),"")</f>
        <v/>
      </c>
    </row>
    <row r="25" spans="1:20" ht="15" customHeight="1" x14ac:dyDescent="0.25">
      <c r="A25" s="11">
        <f t="shared" si="0"/>
        <v>24</v>
      </c>
      <c r="B25" s="12" t="s">
        <v>19</v>
      </c>
      <c r="C25" s="13">
        <v>46211</v>
      </c>
      <c r="D25" s="12" t="s">
        <v>20</v>
      </c>
      <c r="E25" s="14">
        <v>1073709574</v>
      </c>
      <c r="F25" s="12" t="s">
        <v>73</v>
      </c>
      <c r="G25" s="12" t="s">
        <v>74</v>
      </c>
      <c r="H25" s="15">
        <v>3138749486</v>
      </c>
      <c r="I25" s="12" t="s">
        <v>23</v>
      </c>
      <c r="J25" s="16">
        <v>4</v>
      </c>
      <c r="K25" s="16">
        <v>4</v>
      </c>
      <c r="L25" s="16">
        <v>3</v>
      </c>
      <c r="M25" s="16">
        <v>3</v>
      </c>
      <c r="N25" s="16">
        <v>2</v>
      </c>
      <c r="O25" s="16">
        <v>3</v>
      </c>
      <c r="P25" s="17">
        <f>IF(F25="","",(J25*Parametros!$K$4+K25*Parametros!$K$5+L25*Parametros!$K$6+M25*Parametros!$K$7+N25*Parametros!$K$8+O25*Parametros!$K$9)/Parametros!$B$2)</f>
        <v>53</v>
      </c>
      <c r="Q25" s="11" t="str">
        <f>IF(F25="","",IF(P25&gt;=Parametros!$B$1,"Aprueba","No aprueba"))</f>
        <v>No aprueba</v>
      </c>
      <c r="R25" s="12"/>
      <c r="T25" t="str">
        <f>IF($Q25="Aprueba",COUNTIF($Q$2:$Q25,"Aprueba"),"")</f>
        <v/>
      </c>
    </row>
    <row r="26" spans="1:20" ht="15" customHeight="1" x14ac:dyDescent="0.25">
      <c r="A26" s="18">
        <f t="shared" si="0"/>
        <v>25</v>
      </c>
      <c r="B26" s="19" t="s">
        <v>75</v>
      </c>
      <c r="C26" s="20">
        <v>46224</v>
      </c>
      <c r="D26" s="21" t="s">
        <v>20</v>
      </c>
      <c r="E26" s="22">
        <v>1001187759</v>
      </c>
      <c r="F26" s="23" t="s">
        <v>76</v>
      </c>
      <c r="G26" s="24" t="s">
        <v>77</v>
      </c>
      <c r="H26" s="24">
        <v>3124832044</v>
      </c>
      <c r="I26" s="19" t="s">
        <v>78</v>
      </c>
      <c r="J26" s="25">
        <v>4</v>
      </c>
      <c r="K26" s="25"/>
      <c r="L26" s="25"/>
      <c r="M26" s="25"/>
      <c r="N26" s="25"/>
      <c r="O26" s="25"/>
      <c r="P26" s="26">
        <f>IF(F26="","",(J26*Parametros!$K$4+K26*Parametros!$K$5+M26*Parametros!$K$6+N26*Parametros!$K$7+O26*Parametros!$K$8)/Parametros!$B$2)</f>
        <v>4</v>
      </c>
      <c r="Q26" s="18" t="str">
        <f>IF(F26="","",IF(P26&gt;=Parametros!$B$1,"Aprueba","No aprueba"))</f>
        <v>No aprueba</v>
      </c>
      <c r="R26" s="19"/>
      <c r="T26" t="str">
        <f>IF($Q26="Aprueba",COUNTIF($Q$2:$Q26,"Aprueba"),"")</f>
        <v/>
      </c>
    </row>
    <row r="27" spans="1:20" ht="15" customHeight="1" x14ac:dyDescent="0.25">
      <c r="A27" s="18">
        <f t="shared" si="0"/>
        <v>26</v>
      </c>
      <c r="B27" s="19" t="s">
        <v>75</v>
      </c>
      <c r="C27" s="20">
        <v>46224</v>
      </c>
      <c r="D27" s="21" t="s">
        <v>20</v>
      </c>
      <c r="E27" s="27">
        <v>1012455544</v>
      </c>
      <c r="F27" s="24" t="s">
        <v>79</v>
      </c>
      <c r="G27" s="24" t="s">
        <v>80</v>
      </c>
      <c r="H27" s="24">
        <v>3227861878</v>
      </c>
      <c r="I27" s="19" t="s">
        <v>78</v>
      </c>
      <c r="J27" s="25">
        <v>4</v>
      </c>
      <c r="K27" s="25"/>
      <c r="L27" s="25"/>
      <c r="M27" s="25"/>
      <c r="N27" s="25"/>
      <c r="O27" s="25"/>
      <c r="P27" s="26">
        <f>IF(F27="","",(J27*Parametros!$K$4+K27*Parametros!$K$5+M27*Parametros!$K$6+N27*Parametros!$K$7+O27*Parametros!$K$8)/Parametros!$B$2)</f>
        <v>4</v>
      </c>
      <c r="Q27" s="18" t="str">
        <f>IF(F27="","",IF(P27&gt;=Parametros!$B$1,"Aprueba","No aprueba"))</f>
        <v>No aprueba</v>
      </c>
      <c r="R27" s="19"/>
      <c r="T27" t="str">
        <f>IF($Q27="Aprueba",COUNTIF($Q$2:$Q27,"Aprueba"),"")</f>
        <v/>
      </c>
    </row>
    <row r="28" spans="1:20" ht="15" customHeight="1" x14ac:dyDescent="0.25">
      <c r="A28" s="18">
        <f t="shared" si="0"/>
        <v>27</v>
      </c>
      <c r="B28" s="19" t="s">
        <v>75</v>
      </c>
      <c r="C28" s="20">
        <v>46224</v>
      </c>
      <c r="D28" s="21" t="s">
        <v>20</v>
      </c>
      <c r="E28" s="27">
        <v>1001056755</v>
      </c>
      <c r="F28" s="24" t="s">
        <v>81</v>
      </c>
      <c r="G28" s="24" t="s">
        <v>82</v>
      </c>
      <c r="H28" s="24">
        <v>3123926446</v>
      </c>
      <c r="I28" s="19" t="s">
        <v>78</v>
      </c>
      <c r="J28" s="25">
        <v>3</v>
      </c>
      <c r="K28" s="25"/>
      <c r="L28" s="25"/>
      <c r="M28" s="25"/>
      <c r="N28" s="25"/>
      <c r="O28" s="25"/>
      <c r="P28" s="26">
        <f>IF(F28="","",(J28*Parametros!$K$4+K28*Parametros!$K$5+M28*Parametros!$K$6+N28*Parametros!$K$7+O28*Parametros!$K$8)/Parametros!$B$2)</f>
        <v>3</v>
      </c>
      <c r="Q28" s="18" t="str">
        <f>IF(F28="","",IF(P28&gt;=Parametros!$B$1,"Aprueba","No aprueba"))</f>
        <v>No aprueba</v>
      </c>
      <c r="R28" s="19"/>
      <c r="T28" t="str">
        <f>IF($Q28="Aprueba",COUNTIF($Q$2:$Q28,"Aprueba"),"")</f>
        <v/>
      </c>
    </row>
    <row r="29" spans="1:20" ht="15" customHeight="1" x14ac:dyDescent="0.25">
      <c r="A29" s="18">
        <f t="shared" si="0"/>
        <v>28</v>
      </c>
      <c r="B29" s="19" t="s">
        <v>75</v>
      </c>
      <c r="C29" s="20">
        <v>46224</v>
      </c>
      <c r="D29" s="21" t="s">
        <v>20</v>
      </c>
      <c r="E29" s="27">
        <v>1000328420</v>
      </c>
      <c r="F29" s="24" t="s">
        <v>83</v>
      </c>
      <c r="G29" s="21" t="s">
        <v>84</v>
      </c>
      <c r="H29" s="24">
        <v>3223167270</v>
      </c>
      <c r="I29" s="19" t="s">
        <v>78</v>
      </c>
      <c r="J29" s="25">
        <v>3</v>
      </c>
      <c r="K29" s="25"/>
      <c r="L29" s="25"/>
      <c r="M29" s="25"/>
      <c r="N29" s="25"/>
      <c r="O29" s="25"/>
      <c r="P29" s="26">
        <f>IF(F29="","",(J29*Parametros!$K$4+K29*Parametros!$K$5+M29*Parametros!$K$6+N29*Parametros!$K$7+O29*Parametros!$K$8)/Parametros!$B$2)</f>
        <v>3</v>
      </c>
      <c r="Q29" s="18" t="str">
        <f>IF(F29="","",IF(P29&gt;=Parametros!$B$1,"Aprueba","No aprueba"))</f>
        <v>No aprueba</v>
      </c>
      <c r="R29" s="19"/>
      <c r="T29" t="str">
        <f>IF($Q29="Aprueba",COUNTIF($Q$2:$Q29,"Aprueba"),"")</f>
        <v/>
      </c>
    </row>
    <row r="30" spans="1:20" ht="15" customHeight="1" x14ac:dyDescent="0.25">
      <c r="A30" s="18">
        <f t="shared" si="0"/>
        <v>29</v>
      </c>
      <c r="B30" s="19" t="s">
        <v>75</v>
      </c>
      <c r="C30" s="20">
        <v>46224</v>
      </c>
      <c r="D30" s="21" t="s">
        <v>20</v>
      </c>
      <c r="E30" s="27">
        <v>1006118253</v>
      </c>
      <c r="F30" s="24" t="s">
        <v>85</v>
      </c>
      <c r="G30" s="24" t="s">
        <v>86</v>
      </c>
      <c r="H30" s="24">
        <v>3012268430</v>
      </c>
      <c r="I30" s="19" t="s">
        <v>78</v>
      </c>
      <c r="J30" s="25">
        <v>3</v>
      </c>
      <c r="K30" s="25"/>
      <c r="L30" s="25"/>
      <c r="M30" s="25"/>
      <c r="N30" s="25"/>
      <c r="O30" s="25"/>
      <c r="P30" s="26">
        <f>IF(F30="","",(J30*Parametros!$K$4+K30*Parametros!$K$5+M30*Parametros!$K$6+N30*Parametros!$K$7+O30*Parametros!$K$8)/Parametros!$B$2)</f>
        <v>3</v>
      </c>
      <c r="Q30" s="18" t="str">
        <f>IF(F30="","",IF(P30&gt;=Parametros!$B$1,"Aprueba","No aprueba"))</f>
        <v>No aprueba</v>
      </c>
      <c r="R30" s="19"/>
      <c r="T30" t="str">
        <f>IF($Q30="Aprueba",COUNTIF($Q$2:$Q30,"Aprueba"),"")</f>
        <v/>
      </c>
    </row>
    <row r="31" spans="1:20" ht="15" customHeight="1" x14ac:dyDescent="0.25">
      <c r="A31" s="18">
        <f t="shared" si="0"/>
        <v>30</v>
      </c>
      <c r="B31" s="19" t="s">
        <v>75</v>
      </c>
      <c r="C31" s="20">
        <v>46224</v>
      </c>
      <c r="D31" s="21" t="s">
        <v>20</v>
      </c>
      <c r="E31" s="27">
        <v>1073671475</v>
      </c>
      <c r="F31" s="24" t="s">
        <v>87</v>
      </c>
      <c r="G31" s="24" t="s">
        <v>88</v>
      </c>
      <c r="H31" s="24">
        <v>3147647259</v>
      </c>
      <c r="I31" s="19" t="s">
        <v>78</v>
      </c>
      <c r="J31" s="25">
        <v>4</v>
      </c>
      <c r="K31" s="25"/>
      <c r="L31" s="25"/>
      <c r="M31" s="25"/>
      <c r="N31" s="25"/>
      <c r="O31" s="25"/>
      <c r="P31" s="26">
        <f>IF(F31="","",(J31*Parametros!$K$4+K31*Parametros!$K$5+M31*Parametros!$K$6+N31*Parametros!$K$7+O31*Parametros!$K$8)/Parametros!$B$2)</f>
        <v>4</v>
      </c>
      <c r="Q31" s="18" t="str">
        <f>IF(F31="","",IF(P31&gt;=Parametros!$B$1,"Aprueba","No aprueba"))</f>
        <v>No aprueba</v>
      </c>
      <c r="R31" s="19"/>
      <c r="T31" t="str">
        <f>IF($Q31="Aprueba",COUNTIF($Q$2:$Q31,"Aprueba"),"")</f>
        <v/>
      </c>
    </row>
    <row r="32" spans="1:20" ht="15" customHeight="1" x14ac:dyDescent="0.25">
      <c r="A32" s="18">
        <f t="shared" si="0"/>
        <v>31</v>
      </c>
      <c r="B32" s="19" t="s">
        <v>75</v>
      </c>
      <c r="C32" s="20">
        <v>46224</v>
      </c>
      <c r="D32" s="21" t="s">
        <v>20</v>
      </c>
      <c r="E32" s="27">
        <v>1013670551</v>
      </c>
      <c r="F32" s="24" t="s">
        <v>89</v>
      </c>
      <c r="G32" s="24" t="s">
        <v>90</v>
      </c>
      <c r="H32" s="24">
        <v>3244759449</v>
      </c>
      <c r="I32" s="19" t="s">
        <v>78</v>
      </c>
      <c r="J32" s="25">
        <v>4</v>
      </c>
      <c r="K32" s="25"/>
      <c r="L32" s="25"/>
      <c r="M32" s="25"/>
      <c r="N32" s="28" t="s">
        <v>91</v>
      </c>
      <c r="O32" s="25"/>
      <c r="P32" s="26" t="e">
        <f>IF(F32="","",(J32*Parametros!$K$4+K32*Parametros!$K$5+M32*Parametros!$K$6+N32*Parametros!$K$7+O32*Parametros!$K$8)/Parametros!$B$2)</f>
        <v>#VALUE!</v>
      </c>
      <c r="Q32" s="18" t="e">
        <f>IF(F32="","",IF(P32&gt;=Parametros!$B$1,"Aprueba","No aprueba"))</f>
        <v>#VALUE!</v>
      </c>
      <c r="R32" s="19"/>
      <c r="T32" t="e">
        <f>IF($Q32="Aprueba",COUNTIF($Q$2:$Q32,"Aprueba"),"")</f>
        <v>#VALUE!</v>
      </c>
    </row>
    <row r="33" spans="1:20" ht="15" customHeight="1" x14ac:dyDescent="0.25">
      <c r="A33" s="18">
        <f t="shared" si="0"/>
        <v>32</v>
      </c>
      <c r="B33" s="19" t="s">
        <v>75</v>
      </c>
      <c r="C33" s="20">
        <v>46224</v>
      </c>
      <c r="D33" s="21" t="s">
        <v>20</v>
      </c>
      <c r="E33" s="27">
        <v>1007343398</v>
      </c>
      <c r="F33" s="24" t="s">
        <v>92</v>
      </c>
      <c r="G33" s="24" t="s">
        <v>93</v>
      </c>
      <c r="H33" s="24">
        <v>3026595949</v>
      </c>
      <c r="I33" s="19" t="s">
        <v>78</v>
      </c>
      <c r="J33" s="25">
        <v>4</v>
      </c>
      <c r="K33" s="25"/>
      <c r="L33" s="25"/>
      <c r="M33" s="25"/>
      <c r="N33" s="29"/>
      <c r="O33" s="25"/>
      <c r="P33" s="26">
        <f>IF(F33="","",(J33*Parametros!$K$4+K33*Parametros!$K$5+M33*Parametros!$K$6+N33*Parametros!$K$7+O33*Parametros!$K$8)/Parametros!$B$2)</f>
        <v>4</v>
      </c>
      <c r="Q33" s="18" t="str">
        <f>IF(F33="","",IF(P33&gt;=Parametros!$B$1,"Aprueba","No aprueba"))</f>
        <v>No aprueba</v>
      </c>
      <c r="R33" s="19"/>
      <c r="T33" t="str">
        <f>IF($Q33="Aprueba",COUNTIF($Q$2:$Q33,"Aprueba"),"")</f>
        <v/>
      </c>
    </row>
    <row r="34" spans="1:20" ht="15" customHeight="1" x14ac:dyDescent="0.25">
      <c r="A34" s="18">
        <f t="shared" ref="A34:A65" si="1">IF(F34="","",ROW()-1)</f>
        <v>33</v>
      </c>
      <c r="B34" s="19" t="s">
        <v>75</v>
      </c>
      <c r="C34" s="20">
        <v>46224</v>
      </c>
      <c r="D34" s="21" t="s">
        <v>20</v>
      </c>
      <c r="E34" s="27">
        <v>1007845676</v>
      </c>
      <c r="F34" s="24" t="s">
        <v>94</v>
      </c>
      <c r="G34" s="24" t="s">
        <v>95</v>
      </c>
      <c r="H34" s="24">
        <v>3223299162</v>
      </c>
      <c r="I34" s="19" t="s">
        <v>78</v>
      </c>
      <c r="J34" s="25">
        <v>4</v>
      </c>
      <c r="K34" s="25"/>
      <c r="L34" s="25"/>
      <c r="M34" s="25"/>
      <c r="N34" s="25"/>
      <c r="O34" s="25"/>
      <c r="P34" s="26">
        <f>IF(F34="","",(J34*Parametros!$K$4+K34*Parametros!$K$5+M34*Parametros!$K$6+N34*Parametros!$K$7+O34*Parametros!$K$8)/Parametros!$B$2)</f>
        <v>4</v>
      </c>
      <c r="Q34" s="18" t="str">
        <f>IF(F34="","",IF(P34&gt;=Parametros!$B$1,"Aprueba","No aprueba"))</f>
        <v>No aprueba</v>
      </c>
      <c r="R34" s="19"/>
      <c r="T34" t="str">
        <f>IF($Q34="Aprueba",COUNTIF($Q$2:$Q34,"Aprueba"),"")</f>
        <v/>
      </c>
    </row>
    <row r="35" spans="1:20" ht="15" customHeight="1" x14ac:dyDescent="0.25">
      <c r="A35" s="18">
        <f t="shared" si="1"/>
        <v>34</v>
      </c>
      <c r="B35" s="19" t="s">
        <v>75</v>
      </c>
      <c r="C35" s="20">
        <v>46224</v>
      </c>
      <c r="D35" s="21" t="s">
        <v>20</v>
      </c>
      <c r="E35" s="27">
        <v>1033772502</v>
      </c>
      <c r="F35" s="24" t="s">
        <v>96</v>
      </c>
      <c r="G35" s="24" t="s">
        <v>97</v>
      </c>
      <c r="H35" s="24">
        <v>3025718737</v>
      </c>
      <c r="I35" s="19" t="s">
        <v>78</v>
      </c>
      <c r="J35" s="25">
        <v>4</v>
      </c>
      <c r="K35" s="25"/>
      <c r="L35" s="25"/>
      <c r="M35" s="25"/>
      <c r="N35" s="25"/>
      <c r="O35" s="25"/>
      <c r="P35" s="26">
        <f>IF(F35="","",(J35*Parametros!$K$4+K35*Parametros!$K$5+M35*Parametros!$K$6+N35*Parametros!$K$7+O35*Parametros!$K$8)/Parametros!$B$2)</f>
        <v>4</v>
      </c>
      <c r="Q35" s="18" t="str">
        <f>IF(F35="","",IF(P35&gt;=Parametros!$B$1,"Aprueba","No aprueba"))</f>
        <v>No aprueba</v>
      </c>
      <c r="R35" s="19"/>
      <c r="T35" t="str">
        <f>IF($Q35="Aprueba",COUNTIF($Q$2:$Q35,"Aprueba"),"")</f>
        <v/>
      </c>
    </row>
    <row r="36" spans="1:20" ht="15" customHeight="1" x14ac:dyDescent="0.25">
      <c r="A36" s="18" t="str">
        <f t="shared" si="1"/>
        <v/>
      </c>
      <c r="B36" s="19"/>
      <c r="C36" s="20"/>
      <c r="D36" s="19"/>
      <c r="E36" s="22"/>
      <c r="F36" s="19"/>
      <c r="G36" s="19"/>
      <c r="H36" s="30"/>
      <c r="I36" s="19"/>
      <c r="J36" s="25"/>
      <c r="K36" s="25"/>
      <c r="L36" s="25"/>
      <c r="M36" s="25"/>
      <c r="N36" s="25"/>
      <c r="O36" s="25"/>
      <c r="P36" s="31" t="str">
        <f>IF(F36="","",(J36*Parametros!$K$4+K36*Parametros!$K$5+M36*Parametros!$K$6+N36*Parametros!$K$7+O36*Parametros!$K$8)/Parametros!$B$2)</f>
        <v/>
      </c>
      <c r="Q36" s="18" t="str">
        <f>IF(F36="","",IF(P36&gt;=Parametros!$B$1,"Aprueba","No aprueba"))</f>
        <v/>
      </c>
      <c r="R36" s="19"/>
      <c r="T36" t="str">
        <f>IF($Q36="Aprueba",COUNTIF($Q$2:$Q36,"Aprueba"),"")</f>
        <v/>
      </c>
    </row>
    <row r="37" spans="1:20" ht="15" customHeight="1" x14ac:dyDescent="0.25">
      <c r="A37" s="18" t="str">
        <f t="shared" si="1"/>
        <v/>
      </c>
      <c r="B37" s="19"/>
      <c r="C37" s="20"/>
      <c r="D37" s="19"/>
      <c r="E37" s="22"/>
      <c r="F37" s="19"/>
      <c r="G37" s="19"/>
      <c r="H37" s="30"/>
      <c r="I37" s="19"/>
      <c r="J37" s="25"/>
      <c r="K37" s="25"/>
      <c r="L37" s="25"/>
      <c r="M37" s="25"/>
      <c r="N37" s="25"/>
      <c r="O37" s="25"/>
      <c r="P37" s="31" t="str">
        <f>IF(F37="","",(J37*Parametros!$K$4+K37*Parametros!$K$5+M37*Parametros!$K$6+N37*Parametros!$K$7+O37*Parametros!$K$8)/Parametros!$B$2)</f>
        <v/>
      </c>
      <c r="Q37" s="18" t="str">
        <f>IF(F37="","",IF(P37&gt;=Parametros!$B$1,"Aprueba","No aprueba"))</f>
        <v/>
      </c>
      <c r="R37" s="19"/>
      <c r="T37" t="str">
        <f>IF($Q37="Aprueba",COUNTIF($Q$2:$Q37,"Aprueba"),"")</f>
        <v/>
      </c>
    </row>
    <row r="38" spans="1:20" ht="15" customHeight="1" x14ac:dyDescent="0.25">
      <c r="A38" s="18" t="str">
        <f t="shared" si="1"/>
        <v/>
      </c>
      <c r="B38" s="19"/>
      <c r="C38" s="20"/>
      <c r="D38" s="19"/>
      <c r="E38" s="22"/>
      <c r="F38" s="19"/>
      <c r="G38" s="19"/>
      <c r="H38" s="30"/>
      <c r="I38" s="19"/>
      <c r="J38" s="25"/>
      <c r="K38" s="25"/>
      <c r="L38" s="25"/>
      <c r="M38" s="25"/>
      <c r="N38" s="25"/>
      <c r="O38" s="25"/>
      <c r="P38" s="31" t="str">
        <f>IF(F38="","",(J38*Parametros!$K$4+K38*Parametros!$K$5+M38*Parametros!$K$6+N38*Parametros!$K$7+O38*Parametros!$K$8)/Parametros!$B$2)</f>
        <v/>
      </c>
      <c r="Q38" s="18" t="str">
        <f>IF(F38="","",IF(P38&gt;=Parametros!$B$1,"Aprueba","No aprueba"))</f>
        <v/>
      </c>
      <c r="R38" s="19"/>
      <c r="T38" t="str">
        <f>IF($Q38="Aprueba",COUNTIF($Q$2:$Q38,"Aprueba"),"")</f>
        <v/>
      </c>
    </row>
    <row r="39" spans="1:20" ht="15" customHeight="1" x14ac:dyDescent="0.25">
      <c r="A39" s="18" t="str">
        <f t="shared" si="1"/>
        <v/>
      </c>
      <c r="B39" s="19"/>
      <c r="C39" s="20"/>
      <c r="D39" s="19"/>
      <c r="E39" s="22"/>
      <c r="F39" s="19"/>
      <c r="G39" s="19"/>
      <c r="H39" s="30"/>
      <c r="I39" s="19"/>
      <c r="J39" s="25"/>
      <c r="K39" s="25"/>
      <c r="L39" s="25"/>
      <c r="M39" s="25"/>
      <c r="N39" s="25"/>
      <c r="O39" s="25"/>
      <c r="P39" s="31" t="str">
        <f>IF(F39="","",(J39*Parametros!$K$4+K39*Parametros!$K$5+M39*Parametros!$K$6+N39*Parametros!$K$7+O39*Parametros!$K$8)/Parametros!$B$2)</f>
        <v/>
      </c>
      <c r="Q39" s="18" t="str">
        <f>IF(F39="","",IF(P39&gt;=Parametros!$B$1,"Aprueba","No aprueba"))</f>
        <v/>
      </c>
      <c r="R39" s="19"/>
      <c r="T39" t="str">
        <f>IF($Q39="Aprueba",COUNTIF($Q$2:$Q39,"Aprueba"),"")</f>
        <v/>
      </c>
    </row>
    <row r="40" spans="1:20" ht="15" customHeight="1" x14ac:dyDescent="0.25">
      <c r="A40" s="18" t="str">
        <f t="shared" si="1"/>
        <v/>
      </c>
      <c r="B40" s="19"/>
      <c r="C40" s="20"/>
      <c r="D40" s="19"/>
      <c r="E40" s="22"/>
      <c r="F40" s="19"/>
      <c r="G40" s="19"/>
      <c r="H40" s="30"/>
      <c r="I40" s="19"/>
      <c r="J40" s="25"/>
      <c r="K40" s="25"/>
      <c r="L40" s="25"/>
      <c r="M40" s="25"/>
      <c r="N40" s="25"/>
      <c r="O40" s="25"/>
      <c r="P40" s="31" t="str">
        <f>IF(F40="","",(J40*Parametros!$K$4+K40*Parametros!$K$5+M40*Parametros!$K$6+N40*Parametros!$K$7+O40*Parametros!$K$8)/Parametros!$B$2)</f>
        <v/>
      </c>
      <c r="Q40" s="18" t="str">
        <f>IF(F40="","",IF(P40&gt;=Parametros!$B$1,"Aprueba","No aprueba"))</f>
        <v/>
      </c>
      <c r="R40" s="19"/>
      <c r="T40" t="str">
        <f>IF($Q40="Aprueba",COUNTIF($Q$2:$Q40,"Aprueba"),"")</f>
        <v/>
      </c>
    </row>
    <row r="41" spans="1:20" ht="15" customHeight="1" x14ac:dyDescent="0.25">
      <c r="A41" s="18" t="str">
        <f t="shared" si="1"/>
        <v/>
      </c>
      <c r="B41" s="19"/>
      <c r="C41" s="20"/>
      <c r="D41" s="19"/>
      <c r="E41" s="22"/>
      <c r="F41" s="19"/>
      <c r="G41" s="19"/>
      <c r="H41" s="30"/>
      <c r="I41" s="19"/>
      <c r="J41" s="25"/>
      <c r="K41" s="25"/>
      <c r="L41" s="25"/>
      <c r="M41" s="25"/>
      <c r="N41" s="25"/>
      <c r="O41" s="25"/>
      <c r="P41" s="31" t="str">
        <f>IF(F41="","",(J41*Parametros!$K$4+K41*Parametros!$K$5+M41*Parametros!$K$6+N41*Parametros!$K$7+O41*Parametros!$K$8)/Parametros!$B$2)</f>
        <v/>
      </c>
      <c r="Q41" s="18" t="str">
        <f>IF(F41="","",IF(P41&gt;=Parametros!$B$1,"Aprueba","No aprueba"))</f>
        <v/>
      </c>
      <c r="R41" s="19"/>
      <c r="T41" t="str">
        <f>IF($Q41="Aprueba",COUNTIF($Q$2:$Q41,"Aprueba"),"")</f>
        <v/>
      </c>
    </row>
    <row r="42" spans="1:20" ht="15" customHeight="1" x14ac:dyDescent="0.25">
      <c r="A42" s="18" t="str">
        <f t="shared" si="1"/>
        <v/>
      </c>
      <c r="B42" s="19"/>
      <c r="C42" s="20"/>
      <c r="D42" s="19"/>
      <c r="E42" s="22"/>
      <c r="F42" s="19"/>
      <c r="G42" s="19"/>
      <c r="H42" s="30"/>
      <c r="I42" s="19"/>
      <c r="J42" s="25"/>
      <c r="K42" s="25"/>
      <c r="L42" s="25"/>
      <c r="M42" s="25"/>
      <c r="N42" s="25"/>
      <c r="O42" s="25"/>
      <c r="P42" s="31" t="str">
        <f>IF(F42="","",(J42*Parametros!$K$4+K42*Parametros!$K$5+M42*Parametros!$K$6+N42*Parametros!$K$7+O42*Parametros!$K$8)/Parametros!$B$2)</f>
        <v/>
      </c>
      <c r="Q42" s="18" t="str">
        <f>IF(F42="","",IF(P42&gt;=Parametros!$B$1,"Aprueba","No aprueba"))</f>
        <v/>
      </c>
      <c r="R42" s="19"/>
      <c r="T42" t="str">
        <f>IF($Q42="Aprueba",COUNTIF($Q$2:$Q42,"Aprueba"),"")</f>
        <v/>
      </c>
    </row>
    <row r="43" spans="1:20" ht="15" customHeight="1" x14ac:dyDescent="0.25">
      <c r="A43" s="18" t="str">
        <f t="shared" si="1"/>
        <v/>
      </c>
      <c r="B43" s="19"/>
      <c r="C43" s="20"/>
      <c r="D43" s="19"/>
      <c r="E43" s="22"/>
      <c r="F43" s="19"/>
      <c r="G43" s="19"/>
      <c r="H43" s="30"/>
      <c r="I43" s="19"/>
      <c r="J43" s="25"/>
      <c r="K43" s="25"/>
      <c r="L43" s="25"/>
      <c r="M43" s="25"/>
      <c r="N43" s="25"/>
      <c r="O43" s="25"/>
      <c r="P43" s="31" t="str">
        <f>IF(F43="","",(J43*Parametros!$K$4+K43*Parametros!$K$5+M43*Parametros!$K$6+N43*Parametros!$K$7+O43*Parametros!$K$8)/Parametros!$B$2)</f>
        <v/>
      </c>
      <c r="Q43" s="18" t="str">
        <f>IF(F43="","",IF(P43&gt;=Parametros!$B$1,"Aprueba","No aprueba"))</f>
        <v/>
      </c>
      <c r="R43" s="19"/>
      <c r="T43" t="str">
        <f>IF($Q43="Aprueba",COUNTIF($Q$2:$Q43,"Aprueba"),"")</f>
        <v/>
      </c>
    </row>
    <row r="44" spans="1:20" ht="15" customHeight="1" x14ac:dyDescent="0.25">
      <c r="A44" s="18" t="str">
        <f t="shared" si="1"/>
        <v/>
      </c>
      <c r="B44" s="19"/>
      <c r="C44" s="20"/>
      <c r="D44" s="19"/>
      <c r="E44" s="22"/>
      <c r="F44" s="19"/>
      <c r="G44" s="19"/>
      <c r="H44" s="30"/>
      <c r="I44" s="19"/>
      <c r="J44" s="25"/>
      <c r="K44" s="25"/>
      <c r="L44" s="25"/>
      <c r="M44" s="25"/>
      <c r="N44" s="25"/>
      <c r="O44" s="25"/>
      <c r="P44" s="31" t="str">
        <f>IF(F44="","",(J44*Parametros!$K$4+K44*Parametros!$K$5+M44*Parametros!$K$6+N44*Parametros!$K$7+O44*Parametros!$K$8)/Parametros!$B$2)</f>
        <v/>
      </c>
      <c r="Q44" s="18" t="str">
        <f>IF(F44="","",IF(P44&gt;=Parametros!$B$1,"Aprueba","No aprueba"))</f>
        <v/>
      </c>
      <c r="R44" s="19"/>
      <c r="T44" t="str">
        <f>IF($Q44="Aprueba",COUNTIF($Q$2:$Q44,"Aprueba"),"")</f>
        <v/>
      </c>
    </row>
    <row r="45" spans="1:20" ht="15" customHeight="1" x14ac:dyDescent="0.25">
      <c r="A45" s="18" t="str">
        <f t="shared" si="1"/>
        <v/>
      </c>
      <c r="B45" s="19"/>
      <c r="C45" s="20"/>
      <c r="D45" s="19"/>
      <c r="E45" s="22"/>
      <c r="F45" s="19"/>
      <c r="G45" s="19"/>
      <c r="H45" s="30"/>
      <c r="I45" s="19"/>
      <c r="J45" s="25"/>
      <c r="K45" s="25"/>
      <c r="L45" s="25"/>
      <c r="M45" s="25"/>
      <c r="N45" s="25"/>
      <c r="O45" s="25"/>
      <c r="P45" s="31" t="str">
        <f>IF(F45="","",(J45*Parametros!$K$4+K45*Parametros!$K$5+M45*Parametros!$K$6+N45*Parametros!$K$7+O45*Parametros!$K$8)/Parametros!$B$2)</f>
        <v/>
      </c>
      <c r="Q45" s="18" t="str">
        <f>IF(F45="","",IF(P45&gt;=Parametros!$B$1,"Aprueba","No aprueba"))</f>
        <v/>
      </c>
      <c r="R45" s="19"/>
      <c r="T45" t="str">
        <f>IF($Q45="Aprueba",COUNTIF($Q$2:$Q45,"Aprueba"),"")</f>
        <v/>
      </c>
    </row>
    <row r="46" spans="1:20" ht="15" customHeight="1" x14ac:dyDescent="0.25">
      <c r="A46" s="18" t="str">
        <f t="shared" si="1"/>
        <v/>
      </c>
      <c r="B46" s="19"/>
      <c r="C46" s="20"/>
      <c r="D46" s="19"/>
      <c r="E46" s="22"/>
      <c r="F46" s="19"/>
      <c r="G46" s="19"/>
      <c r="H46" s="30"/>
      <c r="I46" s="19"/>
      <c r="J46" s="25"/>
      <c r="K46" s="25"/>
      <c r="L46" s="25"/>
      <c r="M46" s="25"/>
      <c r="N46" s="25"/>
      <c r="O46" s="25"/>
      <c r="P46" s="31" t="str">
        <f>IF(F46="","",(J46*Parametros!$K$4+K46*Parametros!$K$5+M46*Parametros!$K$6+N46*Parametros!$K$7+O46*Parametros!$K$8)/Parametros!$B$2)</f>
        <v/>
      </c>
      <c r="Q46" s="18" t="str">
        <f>IF(F46="","",IF(P46&gt;=Parametros!$B$1,"Aprueba","No aprueba"))</f>
        <v/>
      </c>
      <c r="R46" s="19"/>
      <c r="T46" t="str">
        <f>IF($Q46="Aprueba",COUNTIF($Q$2:$Q46,"Aprueba"),"")</f>
        <v/>
      </c>
    </row>
    <row r="47" spans="1:20" ht="15" customHeight="1" x14ac:dyDescent="0.25">
      <c r="A47" s="18" t="str">
        <f t="shared" si="1"/>
        <v/>
      </c>
      <c r="B47" s="19"/>
      <c r="C47" s="20"/>
      <c r="D47" s="19"/>
      <c r="E47" s="22"/>
      <c r="F47" s="19"/>
      <c r="G47" s="19"/>
      <c r="H47" s="30"/>
      <c r="I47" s="19"/>
      <c r="J47" s="25"/>
      <c r="K47" s="25"/>
      <c r="L47" s="25"/>
      <c r="M47" s="25"/>
      <c r="N47" s="25"/>
      <c r="O47" s="25"/>
      <c r="P47" s="31" t="str">
        <f>IF(F47="","",(J47*Parametros!$K$4+K47*Parametros!$K$5+M47*Parametros!$K$6+N47*Parametros!$K$7+O47*Parametros!$K$8)/Parametros!$B$2)</f>
        <v/>
      </c>
      <c r="Q47" s="18" t="str">
        <f>IF(F47="","",IF(P47&gt;=Parametros!$B$1,"Aprueba","No aprueba"))</f>
        <v/>
      </c>
      <c r="R47" s="19"/>
      <c r="T47" t="str">
        <f>IF($Q47="Aprueba",COUNTIF($Q$2:$Q47,"Aprueba"),"")</f>
        <v/>
      </c>
    </row>
    <row r="48" spans="1:20" ht="15" customHeight="1" x14ac:dyDescent="0.25">
      <c r="A48" s="18" t="str">
        <f t="shared" si="1"/>
        <v/>
      </c>
      <c r="B48" s="19"/>
      <c r="C48" s="20"/>
      <c r="D48" s="19"/>
      <c r="E48" s="22"/>
      <c r="F48" s="19"/>
      <c r="G48" s="19"/>
      <c r="H48" s="30"/>
      <c r="I48" s="19"/>
      <c r="J48" s="25"/>
      <c r="K48" s="25"/>
      <c r="L48" s="25"/>
      <c r="M48" s="25"/>
      <c r="N48" s="25"/>
      <c r="O48" s="25"/>
      <c r="P48" s="31" t="str">
        <f>IF(F48="","",(J48*Parametros!$K$4+K48*Parametros!$K$5+M48*Parametros!$K$6+N48*Parametros!$K$7+O48*Parametros!$K$8)/Parametros!$B$2)</f>
        <v/>
      </c>
      <c r="Q48" s="18" t="str">
        <f>IF(F48="","",IF(P48&gt;=Parametros!$B$1,"Aprueba","No aprueba"))</f>
        <v/>
      </c>
      <c r="R48" s="19"/>
      <c r="T48" t="str">
        <f>IF($Q48="Aprueba",COUNTIF($Q$2:$Q48,"Aprueba"),"")</f>
        <v/>
      </c>
    </row>
    <row r="49" spans="1:20" ht="15" customHeight="1" x14ac:dyDescent="0.25">
      <c r="A49" s="18" t="str">
        <f t="shared" si="1"/>
        <v/>
      </c>
      <c r="B49" s="19"/>
      <c r="C49" s="20"/>
      <c r="D49" s="19"/>
      <c r="E49" s="22"/>
      <c r="F49" s="19"/>
      <c r="G49" s="19"/>
      <c r="H49" s="30"/>
      <c r="I49" s="19"/>
      <c r="J49" s="25"/>
      <c r="K49" s="25"/>
      <c r="L49" s="25"/>
      <c r="M49" s="25"/>
      <c r="N49" s="25"/>
      <c r="O49" s="25"/>
      <c r="P49" s="31" t="str">
        <f>IF(F49="","",(J49*Parametros!$K$4+K49*Parametros!$K$5+M49*Parametros!$K$6+N49*Parametros!$K$7+O49*Parametros!$K$8)/Parametros!$B$2)</f>
        <v/>
      </c>
      <c r="Q49" s="18" t="str">
        <f>IF(F49="","",IF(P49&gt;=Parametros!$B$1,"Aprueba","No aprueba"))</f>
        <v/>
      </c>
      <c r="R49" s="19"/>
      <c r="T49" t="str">
        <f>IF($Q49="Aprueba",COUNTIF($Q$2:$Q49,"Aprueba"),"")</f>
        <v/>
      </c>
    </row>
    <row r="50" spans="1:20" ht="15" customHeight="1" x14ac:dyDescent="0.25">
      <c r="A50" s="18" t="str">
        <f t="shared" si="1"/>
        <v/>
      </c>
      <c r="B50" s="19"/>
      <c r="C50" s="20"/>
      <c r="D50" s="19"/>
      <c r="E50" s="22"/>
      <c r="F50" s="19"/>
      <c r="G50" s="19"/>
      <c r="H50" s="30"/>
      <c r="I50" s="19"/>
      <c r="J50" s="25"/>
      <c r="K50" s="25"/>
      <c r="L50" s="25"/>
      <c r="M50" s="25"/>
      <c r="N50" s="25"/>
      <c r="O50" s="25"/>
      <c r="P50" s="31" t="str">
        <f>IF(F50="","",(J50*Parametros!$K$4+K50*Parametros!$K$5+M50*Parametros!$K$6+N50*Parametros!$K$7+O50*Parametros!$K$8)/Parametros!$B$2)</f>
        <v/>
      </c>
      <c r="Q50" s="18" t="str">
        <f>IF(F50="","",IF(P50&gt;=Parametros!$B$1,"Aprueba","No aprueba"))</f>
        <v/>
      </c>
      <c r="R50" s="19"/>
      <c r="T50" t="str">
        <f>IF($Q50="Aprueba",COUNTIF($Q$2:$Q50,"Aprueba"),"")</f>
        <v/>
      </c>
    </row>
    <row r="51" spans="1:20" ht="15" customHeight="1" x14ac:dyDescent="0.25">
      <c r="A51" s="18" t="str">
        <f t="shared" si="1"/>
        <v/>
      </c>
      <c r="B51" s="19"/>
      <c r="C51" s="20"/>
      <c r="D51" s="19"/>
      <c r="E51" s="22"/>
      <c r="F51" s="19"/>
      <c r="G51" s="19"/>
      <c r="H51" s="30"/>
      <c r="I51" s="19"/>
      <c r="J51" s="25"/>
      <c r="K51" s="25"/>
      <c r="L51" s="25"/>
      <c r="M51" s="25"/>
      <c r="N51" s="25"/>
      <c r="O51" s="25"/>
      <c r="P51" s="31" t="str">
        <f>IF(F51="","",(J51*Parametros!$K$4+K51*Parametros!$K$5+M51*Parametros!$K$6+N51*Parametros!$K$7+O51*Parametros!$K$8)/Parametros!$B$2)</f>
        <v/>
      </c>
      <c r="Q51" s="18" t="str">
        <f>IF(F51="","",IF(P51&gt;=Parametros!$B$1,"Aprueba","No aprueba"))</f>
        <v/>
      </c>
      <c r="R51" s="19"/>
      <c r="T51" t="str">
        <f>IF($Q51="Aprueba",COUNTIF($Q$2:$Q51,"Aprueba"),"")</f>
        <v/>
      </c>
    </row>
    <row r="52" spans="1:20" ht="15" customHeight="1" x14ac:dyDescent="0.25">
      <c r="A52" s="18" t="str">
        <f t="shared" si="1"/>
        <v/>
      </c>
      <c r="B52" s="19"/>
      <c r="C52" s="20"/>
      <c r="D52" s="19"/>
      <c r="E52" s="22"/>
      <c r="F52" s="19"/>
      <c r="G52" s="19"/>
      <c r="H52" s="30"/>
      <c r="I52" s="19"/>
      <c r="J52" s="25"/>
      <c r="K52" s="25"/>
      <c r="L52" s="25"/>
      <c r="M52" s="25"/>
      <c r="N52" s="25"/>
      <c r="O52" s="25"/>
      <c r="P52" s="31" t="str">
        <f>IF(F52="","",(J52*Parametros!$K$4+K52*Parametros!$K$5+M52*Parametros!$K$6+N52*Parametros!$K$7+O52*Parametros!$K$8)/Parametros!$B$2)</f>
        <v/>
      </c>
      <c r="Q52" s="18" t="str">
        <f>IF(F52="","",IF(P52&gt;=Parametros!$B$1,"Aprueba","No aprueba"))</f>
        <v/>
      </c>
      <c r="R52" s="19"/>
      <c r="T52" t="str">
        <f>IF($Q52="Aprueba",COUNTIF($Q$2:$Q52,"Aprueba"),"")</f>
        <v/>
      </c>
    </row>
    <row r="53" spans="1:20" ht="15" customHeight="1" x14ac:dyDescent="0.25">
      <c r="A53" s="18" t="str">
        <f t="shared" si="1"/>
        <v/>
      </c>
      <c r="B53" s="19"/>
      <c r="C53" s="20"/>
      <c r="D53" s="19"/>
      <c r="E53" s="22"/>
      <c r="F53" s="19"/>
      <c r="G53" s="19"/>
      <c r="H53" s="30"/>
      <c r="I53" s="19"/>
      <c r="J53" s="25"/>
      <c r="K53" s="25"/>
      <c r="L53" s="25"/>
      <c r="M53" s="25"/>
      <c r="N53" s="25"/>
      <c r="O53" s="25"/>
      <c r="P53" s="31" t="str">
        <f>IF(F53="","",(J53*Parametros!$K$4+K53*Parametros!$K$5+M53*Parametros!$K$6+N53*Parametros!$K$7+O53*Parametros!$K$8)/Parametros!$B$2)</f>
        <v/>
      </c>
      <c r="Q53" s="18" t="str">
        <f>IF(F53="","",IF(P53&gt;=Parametros!$B$1,"Aprueba","No aprueba"))</f>
        <v/>
      </c>
      <c r="R53" s="19"/>
      <c r="T53" t="str">
        <f>IF($Q53="Aprueba",COUNTIF($Q$2:$Q53,"Aprueba"),"")</f>
        <v/>
      </c>
    </row>
    <row r="54" spans="1:20" ht="15" customHeight="1" x14ac:dyDescent="0.25">
      <c r="A54" s="18" t="str">
        <f t="shared" si="1"/>
        <v/>
      </c>
      <c r="B54" s="19"/>
      <c r="C54" s="20"/>
      <c r="D54" s="19"/>
      <c r="E54" s="22"/>
      <c r="F54" s="19"/>
      <c r="G54" s="19"/>
      <c r="H54" s="30"/>
      <c r="I54" s="19"/>
      <c r="J54" s="25"/>
      <c r="K54" s="25"/>
      <c r="L54" s="25"/>
      <c r="M54" s="25"/>
      <c r="N54" s="25"/>
      <c r="O54" s="25"/>
      <c r="P54" s="31" t="str">
        <f>IF(F54="","",(J54*Parametros!$K$4+K54*Parametros!$K$5+M54*Parametros!$K$6+N54*Parametros!$K$7+O54*Parametros!$K$8)/Parametros!$B$2)</f>
        <v/>
      </c>
      <c r="Q54" s="18" t="str">
        <f>IF(F54="","",IF(P54&gt;=Parametros!$B$1,"Aprueba","No aprueba"))</f>
        <v/>
      </c>
      <c r="R54" s="19"/>
      <c r="T54" t="str">
        <f>IF($Q54="Aprueba",COUNTIF($Q$2:$Q54,"Aprueba"),"")</f>
        <v/>
      </c>
    </row>
    <row r="55" spans="1:20" ht="15" customHeight="1" x14ac:dyDescent="0.25">
      <c r="A55" s="18" t="str">
        <f t="shared" si="1"/>
        <v/>
      </c>
      <c r="B55" s="19"/>
      <c r="C55" s="20"/>
      <c r="D55" s="19"/>
      <c r="E55" s="22"/>
      <c r="F55" s="19"/>
      <c r="G55" s="19"/>
      <c r="H55" s="30"/>
      <c r="I55" s="19"/>
      <c r="J55" s="25"/>
      <c r="K55" s="25"/>
      <c r="L55" s="25"/>
      <c r="M55" s="25"/>
      <c r="N55" s="25"/>
      <c r="O55" s="25"/>
      <c r="P55" s="31" t="str">
        <f>IF(F55="","",(J55*Parametros!$K$4+K55*Parametros!$K$5+M55*Parametros!$K$6+N55*Parametros!$K$7+O55*Parametros!$K$8)/Parametros!$B$2)</f>
        <v/>
      </c>
      <c r="Q55" s="18" t="str">
        <f>IF(F55="","",IF(P55&gt;=Parametros!$B$1,"Aprueba","No aprueba"))</f>
        <v/>
      </c>
      <c r="R55" s="19"/>
      <c r="T55" t="str">
        <f>IF($Q55="Aprueba",COUNTIF($Q$2:$Q55,"Aprueba"),"")</f>
        <v/>
      </c>
    </row>
    <row r="56" spans="1:20" ht="15" customHeight="1" x14ac:dyDescent="0.25">
      <c r="A56" s="18" t="str">
        <f t="shared" si="1"/>
        <v/>
      </c>
      <c r="B56" s="19"/>
      <c r="C56" s="20"/>
      <c r="D56" s="19"/>
      <c r="E56" s="22"/>
      <c r="F56" s="19"/>
      <c r="G56" s="19"/>
      <c r="H56" s="30"/>
      <c r="I56" s="19"/>
      <c r="J56" s="25"/>
      <c r="K56" s="25"/>
      <c r="L56" s="25"/>
      <c r="M56" s="25"/>
      <c r="N56" s="25"/>
      <c r="O56" s="25"/>
      <c r="P56" s="31" t="str">
        <f>IF(F56="","",(J56*Parametros!$K$4+K56*Parametros!$K$5+M56*Parametros!$K$6+N56*Parametros!$K$7+O56*Parametros!$K$8)/Parametros!$B$2)</f>
        <v/>
      </c>
      <c r="Q56" s="18" t="str">
        <f>IF(F56="","",IF(P56&gt;=Parametros!$B$1,"Aprueba","No aprueba"))</f>
        <v/>
      </c>
      <c r="R56" s="19"/>
      <c r="T56" t="str">
        <f>IF($Q56="Aprueba",COUNTIF($Q$2:$Q56,"Aprueba"),"")</f>
        <v/>
      </c>
    </row>
    <row r="57" spans="1:20" ht="15" customHeight="1" x14ac:dyDescent="0.25">
      <c r="A57" s="18" t="str">
        <f t="shared" si="1"/>
        <v/>
      </c>
      <c r="B57" s="19"/>
      <c r="C57" s="20"/>
      <c r="D57" s="19"/>
      <c r="E57" s="22"/>
      <c r="F57" s="19"/>
      <c r="G57" s="19"/>
      <c r="H57" s="30"/>
      <c r="I57" s="19"/>
      <c r="J57" s="25"/>
      <c r="K57" s="25"/>
      <c r="L57" s="25"/>
      <c r="M57" s="25"/>
      <c r="N57" s="25"/>
      <c r="O57" s="25"/>
      <c r="P57" s="31" t="str">
        <f>IF(F57="","",(J57*Parametros!$K$4+K57*Parametros!$K$5+M57*Parametros!$K$6+N57*Parametros!$K$7+O57*Parametros!$K$8)/Parametros!$B$2)</f>
        <v/>
      </c>
      <c r="Q57" s="18" t="str">
        <f>IF(F57="","",IF(P57&gt;=Parametros!$B$1,"Aprueba","No aprueba"))</f>
        <v/>
      </c>
      <c r="R57" s="19"/>
      <c r="T57" t="str">
        <f>IF($Q57="Aprueba",COUNTIF($Q$2:$Q57,"Aprueba"),"")</f>
        <v/>
      </c>
    </row>
    <row r="58" spans="1:20" ht="15" customHeight="1" x14ac:dyDescent="0.25">
      <c r="A58" s="18" t="str">
        <f t="shared" si="1"/>
        <v/>
      </c>
      <c r="B58" s="19"/>
      <c r="C58" s="20"/>
      <c r="D58" s="19"/>
      <c r="E58" s="22"/>
      <c r="F58" s="19"/>
      <c r="G58" s="19"/>
      <c r="H58" s="30"/>
      <c r="I58" s="19"/>
      <c r="J58" s="25"/>
      <c r="K58" s="25"/>
      <c r="L58" s="25"/>
      <c r="M58" s="25"/>
      <c r="N58" s="25"/>
      <c r="O58" s="25"/>
      <c r="P58" s="31" t="str">
        <f>IF(F58="","",(J58*Parametros!$K$4+K58*Parametros!$K$5+M58*Parametros!$K$6+N58*Parametros!$K$7+O58*Parametros!$K$8)/Parametros!$B$2)</f>
        <v/>
      </c>
      <c r="Q58" s="18" t="str">
        <f>IF(F58="","",IF(P58&gt;=Parametros!$B$1,"Aprueba","No aprueba"))</f>
        <v/>
      </c>
      <c r="R58" s="19"/>
      <c r="T58" t="str">
        <f>IF($Q58="Aprueba",COUNTIF($Q$2:$Q58,"Aprueba"),"")</f>
        <v/>
      </c>
    </row>
    <row r="59" spans="1:20" ht="15" customHeight="1" x14ac:dyDescent="0.25">
      <c r="A59" s="18" t="str">
        <f t="shared" si="1"/>
        <v/>
      </c>
      <c r="B59" s="19"/>
      <c r="C59" s="20"/>
      <c r="D59" s="19"/>
      <c r="E59" s="22"/>
      <c r="F59" s="19"/>
      <c r="G59" s="19"/>
      <c r="H59" s="30"/>
      <c r="I59" s="19"/>
      <c r="J59" s="25"/>
      <c r="K59" s="25"/>
      <c r="L59" s="25"/>
      <c r="M59" s="25"/>
      <c r="N59" s="25"/>
      <c r="O59" s="25"/>
      <c r="P59" s="31" t="str">
        <f>IF(F59="","",(J59*Parametros!$K$4+K59*Parametros!$K$5+M59*Parametros!$K$6+N59*Parametros!$K$7+O59*Parametros!$K$8)/Parametros!$B$2)</f>
        <v/>
      </c>
      <c r="Q59" s="18" t="str">
        <f>IF(F59="","",IF(P59&gt;=Parametros!$B$1,"Aprueba","No aprueba"))</f>
        <v/>
      </c>
      <c r="R59" s="19"/>
      <c r="T59" t="str">
        <f>IF($Q59="Aprueba",COUNTIF($Q$2:$Q59,"Aprueba"),"")</f>
        <v/>
      </c>
    </row>
    <row r="60" spans="1:20" ht="15" customHeight="1" x14ac:dyDescent="0.25">
      <c r="A60" s="18" t="str">
        <f t="shared" si="1"/>
        <v/>
      </c>
      <c r="B60" s="19"/>
      <c r="C60" s="20"/>
      <c r="D60" s="19"/>
      <c r="E60" s="22"/>
      <c r="F60" s="19"/>
      <c r="G60" s="19"/>
      <c r="H60" s="30"/>
      <c r="I60" s="19"/>
      <c r="J60" s="25"/>
      <c r="K60" s="25"/>
      <c r="L60" s="25"/>
      <c r="M60" s="25"/>
      <c r="N60" s="25"/>
      <c r="O60" s="25"/>
      <c r="P60" s="31" t="str">
        <f>IF(F60="","",(J60*Parametros!$K$4+K60*Parametros!$K$5+M60*Parametros!$K$6+N60*Parametros!$K$7+O60*Parametros!$K$8)/Parametros!$B$2)</f>
        <v/>
      </c>
      <c r="Q60" s="18" t="str">
        <f>IF(F60="","",IF(P60&gt;=Parametros!$B$1,"Aprueba","No aprueba"))</f>
        <v/>
      </c>
      <c r="R60" s="19"/>
      <c r="T60" t="str">
        <f>IF($Q60="Aprueba",COUNTIF($Q$2:$Q60,"Aprueba"),"")</f>
        <v/>
      </c>
    </row>
    <row r="61" spans="1:20" ht="15" customHeight="1" x14ac:dyDescent="0.25">
      <c r="A61" s="18" t="str">
        <f t="shared" si="1"/>
        <v/>
      </c>
      <c r="B61" s="19"/>
      <c r="C61" s="20"/>
      <c r="D61" s="19"/>
      <c r="E61" s="22"/>
      <c r="F61" s="19"/>
      <c r="G61" s="19"/>
      <c r="H61" s="30"/>
      <c r="I61" s="19"/>
      <c r="J61" s="25"/>
      <c r="K61" s="25"/>
      <c r="L61" s="25"/>
      <c r="M61" s="25"/>
      <c r="N61" s="25"/>
      <c r="O61" s="25"/>
      <c r="P61" s="31" t="str">
        <f>IF(F61="","",(J61*Parametros!$K$4+K61*Parametros!$K$5+M61*Parametros!$K$6+N61*Parametros!$K$7+O61*Parametros!$K$8)/Parametros!$B$2)</f>
        <v/>
      </c>
      <c r="Q61" s="18" t="str">
        <f>IF(F61="","",IF(P61&gt;=Parametros!$B$1,"Aprueba","No aprueba"))</f>
        <v/>
      </c>
      <c r="R61" s="19"/>
      <c r="T61" t="str">
        <f>IF($Q61="Aprueba",COUNTIF($Q$2:$Q61,"Aprueba"),"")</f>
        <v/>
      </c>
    </row>
    <row r="62" spans="1:20" ht="15" customHeight="1" x14ac:dyDescent="0.25">
      <c r="A62" s="18" t="str">
        <f t="shared" si="1"/>
        <v/>
      </c>
      <c r="B62" s="19"/>
      <c r="C62" s="20"/>
      <c r="D62" s="19"/>
      <c r="E62" s="22"/>
      <c r="F62" s="19"/>
      <c r="G62" s="19"/>
      <c r="H62" s="30"/>
      <c r="I62" s="19"/>
      <c r="J62" s="25"/>
      <c r="K62" s="25"/>
      <c r="L62" s="25"/>
      <c r="M62" s="25"/>
      <c r="N62" s="25"/>
      <c r="O62" s="25"/>
      <c r="P62" s="31" t="str">
        <f>IF(F62="","",(J62*Parametros!$K$4+K62*Parametros!$K$5+M62*Parametros!$K$6+N62*Parametros!$K$7+O62*Parametros!$K$8)/Parametros!$B$2)</f>
        <v/>
      </c>
      <c r="Q62" s="18" t="str">
        <f>IF(F62="","",IF(P62&gt;=Parametros!$B$1,"Aprueba","No aprueba"))</f>
        <v/>
      </c>
      <c r="R62" s="19"/>
      <c r="T62" t="str">
        <f>IF($Q62="Aprueba",COUNTIF($Q$2:$Q62,"Aprueba"),"")</f>
        <v/>
      </c>
    </row>
    <row r="63" spans="1:20" ht="15" customHeight="1" x14ac:dyDescent="0.25">
      <c r="A63" s="18" t="str">
        <f t="shared" si="1"/>
        <v/>
      </c>
      <c r="B63" s="19"/>
      <c r="C63" s="20"/>
      <c r="D63" s="19"/>
      <c r="E63" s="22"/>
      <c r="F63" s="19"/>
      <c r="G63" s="19"/>
      <c r="H63" s="30"/>
      <c r="I63" s="19"/>
      <c r="J63" s="25"/>
      <c r="K63" s="25"/>
      <c r="L63" s="25"/>
      <c r="M63" s="25"/>
      <c r="N63" s="25"/>
      <c r="O63" s="25"/>
      <c r="P63" s="31" t="str">
        <f>IF(F63="","",(J63*Parametros!$K$4+K63*Parametros!$K$5+M63*Parametros!$K$6+N63*Parametros!$K$7+O63*Parametros!$K$8)/Parametros!$B$2)</f>
        <v/>
      </c>
      <c r="Q63" s="18" t="str">
        <f>IF(F63="","",IF(P63&gt;=Parametros!$B$1,"Aprueba","No aprueba"))</f>
        <v/>
      </c>
      <c r="R63" s="19"/>
      <c r="T63" t="str">
        <f>IF($Q63="Aprueba",COUNTIF($Q$2:$Q63,"Aprueba"),"")</f>
        <v/>
      </c>
    </row>
    <row r="64" spans="1:20" ht="15" customHeight="1" x14ac:dyDescent="0.25">
      <c r="A64" s="18" t="str">
        <f t="shared" si="1"/>
        <v/>
      </c>
      <c r="B64" s="19"/>
      <c r="C64" s="20"/>
      <c r="D64" s="19"/>
      <c r="E64" s="22"/>
      <c r="F64" s="19"/>
      <c r="G64" s="19"/>
      <c r="H64" s="30"/>
      <c r="I64" s="19"/>
      <c r="J64" s="25"/>
      <c r="K64" s="25"/>
      <c r="L64" s="25"/>
      <c r="M64" s="25"/>
      <c r="N64" s="25"/>
      <c r="O64" s="25"/>
      <c r="P64" s="31" t="str">
        <f>IF(F64="","",(J64*Parametros!$K$4+K64*Parametros!$K$5+M64*Parametros!$K$6+N64*Parametros!$K$7+O64*Parametros!$K$8)/Parametros!$B$2)</f>
        <v/>
      </c>
      <c r="Q64" s="18" t="str">
        <f>IF(F64="","",IF(P64&gt;=Parametros!$B$1,"Aprueba","No aprueba"))</f>
        <v/>
      </c>
      <c r="R64" s="19"/>
      <c r="T64" t="str">
        <f>IF($Q64="Aprueba",COUNTIF($Q$2:$Q64,"Aprueba"),"")</f>
        <v/>
      </c>
    </row>
    <row r="65" spans="1:20" ht="15" customHeight="1" x14ac:dyDescent="0.25">
      <c r="A65" s="18" t="str">
        <f t="shared" si="1"/>
        <v/>
      </c>
      <c r="B65" s="19"/>
      <c r="C65" s="20"/>
      <c r="D65" s="19"/>
      <c r="E65" s="22"/>
      <c r="F65" s="19"/>
      <c r="G65" s="19"/>
      <c r="H65" s="30"/>
      <c r="I65" s="19"/>
      <c r="J65" s="25"/>
      <c r="K65" s="25"/>
      <c r="L65" s="25"/>
      <c r="M65" s="25"/>
      <c r="N65" s="25"/>
      <c r="O65" s="25"/>
      <c r="P65" s="31" t="str">
        <f>IF(F65="","",(J65*Parametros!$K$4+K65*Parametros!$K$5+M65*Parametros!$K$6+N65*Parametros!$K$7+O65*Parametros!$K$8)/Parametros!$B$2)</f>
        <v/>
      </c>
      <c r="Q65" s="18" t="str">
        <f>IF(F65="","",IF(P65&gt;=Parametros!$B$1,"Aprueba","No aprueba"))</f>
        <v/>
      </c>
      <c r="R65" s="19"/>
      <c r="T65" t="str">
        <f>IF($Q65="Aprueba",COUNTIF($Q$2:$Q65,"Aprueba"),"")</f>
        <v/>
      </c>
    </row>
    <row r="66" spans="1:20" ht="15" customHeight="1" x14ac:dyDescent="0.25">
      <c r="A66" s="18" t="str">
        <f t="shared" ref="A66:A96" si="2">IF(F66="","",ROW()-1)</f>
        <v/>
      </c>
      <c r="B66" s="19"/>
      <c r="C66" s="20"/>
      <c r="D66" s="19"/>
      <c r="E66" s="22"/>
      <c r="F66" s="19"/>
      <c r="G66" s="19"/>
      <c r="H66" s="30"/>
      <c r="I66" s="19"/>
      <c r="J66" s="25"/>
      <c r="K66" s="25"/>
      <c r="L66" s="25"/>
      <c r="M66" s="25"/>
      <c r="N66" s="25"/>
      <c r="O66" s="25"/>
      <c r="P66" s="31" t="str">
        <f>IF(F66="","",(J66*Parametros!$K$4+K66*Parametros!$K$5+M66*Parametros!$K$6+N66*Parametros!$K$7+O66*Parametros!$K$8)/Parametros!$B$2)</f>
        <v/>
      </c>
      <c r="Q66" s="18" t="str">
        <f>IF(F66="","",IF(P66&gt;=Parametros!$B$1,"Aprueba","No aprueba"))</f>
        <v/>
      </c>
      <c r="R66" s="19"/>
      <c r="T66" t="str">
        <f>IF($Q66="Aprueba",COUNTIF($Q$2:$Q66,"Aprueba"),"")</f>
        <v/>
      </c>
    </row>
    <row r="67" spans="1:20" ht="15" customHeight="1" x14ac:dyDescent="0.25">
      <c r="A67" s="18" t="str">
        <f t="shared" si="2"/>
        <v/>
      </c>
      <c r="B67" s="19"/>
      <c r="C67" s="20"/>
      <c r="D67" s="19"/>
      <c r="E67" s="22"/>
      <c r="F67" s="19"/>
      <c r="G67" s="19"/>
      <c r="H67" s="30"/>
      <c r="I67" s="19"/>
      <c r="J67" s="25"/>
      <c r="K67" s="25"/>
      <c r="L67" s="25"/>
      <c r="M67" s="25"/>
      <c r="N67" s="25"/>
      <c r="O67" s="25"/>
      <c r="P67" s="31" t="str">
        <f>IF(F67="","",(J67*Parametros!$K$4+K67*Parametros!$K$5+M67*Parametros!$K$6+N67*Parametros!$K$7+O67*Parametros!$K$8)/Parametros!$B$2)</f>
        <v/>
      </c>
      <c r="Q67" s="18" t="str">
        <f>IF(F67="","",IF(P67&gt;=Parametros!$B$1,"Aprueba","No aprueba"))</f>
        <v/>
      </c>
      <c r="R67" s="19"/>
      <c r="T67" t="str">
        <f>IF($Q67="Aprueba",COUNTIF($Q$2:$Q67,"Aprueba"),"")</f>
        <v/>
      </c>
    </row>
    <row r="68" spans="1:20" ht="15" customHeight="1" x14ac:dyDescent="0.25">
      <c r="A68" s="18" t="str">
        <f t="shared" si="2"/>
        <v/>
      </c>
      <c r="B68" s="19"/>
      <c r="C68" s="20"/>
      <c r="D68" s="19"/>
      <c r="E68" s="22"/>
      <c r="F68" s="19"/>
      <c r="G68" s="19"/>
      <c r="H68" s="30"/>
      <c r="I68" s="19"/>
      <c r="J68" s="25"/>
      <c r="K68" s="25"/>
      <c r="L68" s="25"/>
      <c r="M68" s="25"/>
      <c r="N68" s="25"/>
      <c r="O68" s="25"/>
      <c r="P68" s="31" t="str">
        <f>IF(F68="","",(J68*Parametros!$K$4+K68*Parametros!$K$5+M68*Parametros!$K$6+N68*Parametros!$K$7+O68*Parametros!$K$8)/Parametros!$B$2)</f>
        <v/>
      </c>
      <c r="Q68" s="18" t="str">
        <f>IF(F68="","",IF(P68&gt;=Parametros!$B$1,"Aprueba","No aprueba"))</f>
        <v/>
      </c>
      <c r="R68" s="19"/>
      <c r="T68" t="str">
        <f>IF($Q68="Aprueba",COUNTIF($Q$2:$Q68,"Aprueba"),"")</f>
        <v/>
      </c>
    </row>
    <row r="69" spans="1:20" ht="15" customHeight="1" x14ac:dyDescent="0.25">
      <c r="A69" s="18" t="str">
        <f t="shared" si="2"/>
        <v/>
      </c>
      <c r="B69" s="19"/>
      <c r="C69" s="20"/>
      <c r="D69" s="19"/>
      <c r="E69" s="22"/>
      <c r="F69" s="19"/>
      <c r="G69" s="19"/>
      <c r="H69" s="30"/>
      <c r="I69" s="19"/>
      <c r="J69" s="25"/>
      <c r="K69" s="25"/>
      <c r="L69" s="25"/>
      <c r="M69" s="25"/>
      <c r="N69" s="25"/>
      <c r="O69" s="25"/>
      <c r="P69" s="31" t="str">
        <f>IF(F69="","",(J69*Parametros!$K$4+K69*Parametros!$K$5+M69*Parametros!$K$6+N69*Parametros!$K$7+O69*Parametros!$K$8)/Parametros!$B$2)</f>
        <v/>
      </c>
      <c r="Q69" s="18" t="str">
        <f>IF(F69="","",IF(P69&gt;=Parametros!$B$1,"Aprueba","No aprueba"))</f>
        <v/>
      </c>
      <c r="R69" s="19"/>
      <c r="T69" t="str">
        <f>IF($Q69="Aprueba",COUNTIF($Q$2:$Q69,"Aprueba"),"")</f>
        <v/>
      </c>
    </row>
    <row r="70" spans="1:20" ht="15" customHeight="1" x14ac:dyDescent="0.25">
      <c r="A70" s="18" t="str">
        <f t="shared" si="2"/>
        <v/>
      </c>
      <c r="B70" s="19"/>
      <c r="C70" s="20"/>
      <c r="D70" s="19"/>
      <c r="E70" s="22"/>
      <c r="F70" s="19"/>
      <c r="G70" s="19"/>
      <c r="H70" s="30"/>
      <c r="I70" s="19"/>
      <c r="J70" s="25"/>
      <c r="K70" s="25"/>
      <c r="L70" s="25"/>
      <c r="M70" s="25"/>
      <c r="N70" s="25"/>
      <c r="O70" s="25"/>
      <c r="P70" s="31" t="str">
        <f>IF(F70="","",(J70*Parametros!$K$4+K70*Parametros!$K$5+M70*Parametros!$K$6+N70*Parametros!$K$7+O70*Parametros!$K$8)/Parametros!$B$2)</f>
        <v/>
      </c>
      <c r="Q70" s="18" t="str">
        <f>IF(F70="","",IF(P70&gt;=Parametros!$B$1,"Aprueba","No aprueba"))</f>
        <v/>
      </c>
      <c r="R70" s="19"/>
      <c r="T70" t="str">
        <f>IF($Q70="Aprueba",COUNTIF($Q$2:$Q70,"Aprueba"),"")</f>
        <v/>
      </c>
    </row>
    <row r="71" spans="1:20" ht="15" customHeight="1" x14ac:dyDescent="0.25">
      <c r="A71" s="18" t="str">
        <f t="shared" si="2"/>
        <v/>
      </c>
      <c r="B71" s="19"/>
      <c r="C71" s="20"/>
      <c r="D71" s="19"/>
      <c r="E71" s="22"/>
      <c r="F71" s="19"/>
      <c r="G71" s="19"/>
      <c r="H71" s="30"/>
      <c r="I71" s="19"/>
      <c r="J71" s="25"/>
      <c r="K71" s="25"/>
      <c r="L71" s="25"/>
      <c r="M71" s="25"/>
      <c r="N71" s="25"/>
      <c r="O71" s="25"/>
      <c r="P71" s="31" t="str">
        <f>IF(F71="","",(J71*Parametros!$K$4+K71*Parametros!$K$5+M71*Parametros!$K$6+N71*Parametros!$K$7+O71*Parametros!$K$8)/Parametros!$B$2)</f>
        <v/>
      </c>
      <c r="Q71" s="18" t="str">
        <f>IF(F71="","",IF(P71&gt;=Parametros!$B$1,"Aprueba","No aprueba"))</f>
        <v/>
      </c>
      <c r="R71" s="19"/>
      <c r="T71" t="str">
        <f>IF($Q71="Aprueba",COUNTIF($Q$2:$Q71,"Aprueba"),"")</f>
        <v/>
      </c>
    </row>
    <row r="72" spans="1:20" ht="15" customHeight="1" x14ac:dyDescent="0.25">
      <c r="A72" s="18" t="str">
        <f t="shared" si="2"/>
        <v/>
      </c>
      <c r="B72" s="19"/>
      <c r="C72" s="20"/>
      <c r="D72" s="19"/>
      <c r="E72" s="22"/>
      <c r="F72" s="19"/>
      <c r="G72" s="19"/>
      <c r="H72" s="30"/>
      <c r="I72" s="19"/>
      <c r="J72" s="25"/>
      <c r="K72" s="25"/>
      <c r="L72" s="25"/>
      <c r="M72" s="25"/>
      <c r="N72" s="25"/>
      <c r="O72" s="25"/>
      <c r="P72" s="31" t="str">
        <f>IF(F72="","",(J72*Parametros!$K$4+K72*Parametros!$K$5+M72*Parametros!$K$6+N72*Parametros!$K$7+O72*Parametros!$K$8)/Parametros!$B$2)</f>
        <v/>
      </c>
      <c r="Q72" s="18" t="str">
        <f>IF(F72="","",IF(P72&gt;=Parametros!$B$1,"Aprueba","No aprueba"))</f>
        <v/>
      </c>
      <c r="R72" s="19"/>
      <c r="T72" t="str">
        <f>IF($Q72="Aprueba",COUNTIF($Q$2:$Q72,"Aprueba"),"")</f>
        <v/>
      </c>
    </row>
    <row r="73" spans="1:20" ht="15" customHeight="1" x14ac:dyDescent="0.25">
      <c r="A73" s="18" t="str">
        <f t="shared" si="2"/>
        <v/>
      </c>
      <c r="B73" s="19"/>
      <c r="C73" s="20"/>
      <c r="D73" s="19"/>
      <c r="E73" s="22"/>
      <c r="F73" s="19"/>
      <c r="G73" s="19"/>
      <c r="H73" s="30"/>
      <c r="I73" s="19"/>
      <c r="J73" s="25"/>
      <c r="K73" s="25"/>
      <c r="L73" s="25"/>
      <c r="M73" s="25"/>
      <c r="N73" s="25"/>
      <c r="O73" s="25"/>
      <c r="P73" s="31" t="str">
        <f>IF(F73="","",(J73*Parametros!$K$4+K73*Parametros!$K$5+M73*Parametros!$K$6+N73*Parametros!$K$7+O73*Parametros!$K$8)/Parametros!$B$2)</f>
        <v/>
      </c>
      <c r="Q73" s="18" t="str">
        <f>IF(F73="","",IF(P73&gt;=Parametros!$B$1,"Aprueba","No aprueba"))</f>
        <v/>
      </c>
      <c r="R73" s="19"/>
      <c r="T73" t="str">
        <f>IF($Q73="Aprueba",COUNTIF($Q$2:$Q73,"Aprueba"),"")</f>
        <v/>
      </c>
    </row>
    <row r="74" spans="1:20" ht="15" customHeight="1" x14ac:dyDescent="0.25">
      <c r="A74" s="18" t="str">
        <f t="shared" si="2"/>
        <v/>
      </c>
      <c r="B74" s="19"/>
      <c r="C74" s="20"/>
      <c r="D74" s="19"/>
      <c r="E74" s="22"/>
      <c r="F74" s="19"/>
      <c r="G74" s="19"/>
      <c r="H74" s="30"/>
      <c r="I74" s="19"/>
      <c r="J74" s="25"/>
      <c r="K74" s="25"/>
      <c r="L74" s="25"/>
      <c r="M74" s="25"/>
      <c r="N74" s="25"/>
      <c r="O74" s="25"/>
      <c r="P74" s="31" t="str">
        <f>IF(F74="","",(J74*Parametros!$K$4+K74*Parametros!$K$5+M74*Parametros!$K$6+N74*Parametros!$K$7+O74*Parametros!$K$8)/Parametros!$B$2)</f>
        <v/>
      </c>
      <c r="Q74" s="18" t="str">
        <f>IF(F74="","",IF(P74&gt;=Parametros!$B$1,"Aprueba","No aprueba"))</f>
        <v/>
      </c>
      <c r="R74" s="19"/>
      <c r="T74" t="str">
        <f>IF($Q74="Aprueba",COUNTIF($Q$2:$Q74,"Aprueba"),"")</f>
        <v/>
      </c>
    </row>
    <row r="75" spans="1:20" ht="15" customHeight="1" x14ac:dyDescent="0.25">
      <c r="A75" s="18" t="str">
        <f t="shared" si="2"/>
        <v/>
      </c>
      <c r="B75" s="19"/>
      <c r="C75" s="20"/>
      <c r="D75" s="19"/>
      <c r="E75" s="22"/>
      <c r="F75" s="19"/>
      <c r="G75" s="19"/>
      <c r="H75" s="30"/>
      <c r="I75" s="19"/>
      <c r="J75" s="25"/>
      <c r="K75" s="25"/>
      <c r="L75" s="25"/>
      <c r="M75" s="25"/>
      <c r="N75" s="25"/>
      <c r="O75" s="25"/>
      <c r="P75" s="31" t="str">
        <f>IF(F75="","",(J75*Parametros!$K$4+K75*Parametros!$K$5+M75*Parametros!$K$6+N75*Parametros!$K$7+O75*Parametros!$K$8)/Parametros!$B$2)</f>
        <v/>
      </c>
      <c r="Q75" s="18" t="str">
        <f>IF(F75="","",IF(P75&gt;=Parametros!$B$1,"Aprueba","No aprueba"))</f>
        <v/>
      </c>
      <c r="R75" s="19"/>
      <c r="T75" t="str">
        <f>IF($Q75="Aprueba",COUNTIF($Q$2:$Q75,"Aprueba"),"")</f>
        <v/>
      </c>
    </row>
    <row r="76" spans="1:20" ht="15" customHeight="1" x14ac:dyDescent="0.25">
      <c r="A76" s="18" t="str">
        <f t="shared" si="2"/>
        <v/>
      </c>
      <c r="B76" s="19"/>
      <c r="C76" s="20"/>
      <c r="D76" s="19"/>
      <c r="E76" s="22"/>
      <c r="F76" s="19"/>
      <c r="G76" s="19"/>
      <c r="H76" s="30"/>
      <c r="I76" s="19"/>
      <c r="J76" s="25"/>
      <c r="K76" s="25"/>
      <c r="L76" s="25"/>
      <c r="M76" s="25"/>
      <c r="N76" s="25"/>
      <c r="O76" s="25"/>
      <c r="P76" s="31" t="str">
        <f>IF(F76="","",(J76*Parametros!$K$4+K76*Parametros!$K$5+M76*Parametros!$K$6+N76*Parametros!$K$7+O76*Parametros!$K$8)/Parametros!$B$2)</f>
        <v/>
      </c>
      <c r="Q76" s="18" t="str">
        <f>IF(F76="","",IF(P76&gt;=Parametros!$B$1,"Aprueba","No aprueba"))</f>
        <v/>
      </c>
      <c r="R76" s="19"/>
      <c r="T76" t="str">
        <f>IF($Q76="Aprueba",COUNTIF($Q$2:$Q76,"Aprueba"),"")</f>
        <v/>
      </c>
    </row>
    <row r="77" spans="1:20" ht="15" customHeight="1" x14ac:dyDescent="0.25">
      <c r="A77" s="18" t="str">
        <f t="shared" si="2"/>
        <v/>
      </c>
      <c r="B77" s="19"/>
      <c r="C77" s="20"/>
      <c r="D77" s="19"/>
      <c r="E77" s="22"/>
      <c r="F77" s="19"/>
      <c r="G77" s="19"/>
      <c r="H77" s="30"/>
      <c r="I77" s="19"/>
      <c r="J77" s="25"/>
      <c r="K77" s="25"/>
      <c r="L77" s="25"/>
      <c r="M77" s="25"/>
      <c r="N77" s="25"/>
      <c r="O77" s="25"/>
      <c r="P77" s="31" t="str">
        <f>IF(F77="","",(J77*Parametros!$K$4+K77*Parametros!$K$5+M77*Parametros!$K$6+N77*Parametros!$K$7+O77*Parametros!$K$8)/Parametros!$B$2)</f>
        <v/>
      </c>
      <c r="Q77" s="18" t="str">
        <f>IF(F77="","",IF(P77&gt;=Parametros!$B$1,"Aprueba","No aprueba"))</f>
        <v/>
      </c>
      <c r="R77" s="19"/>
      <c r="T77" t="str">
        <f>IF($Q77="Aprueba",COUNTIF($Q$2:$Q77,"Aprueba"),"")</f>
        <v/>
      </c>
    </row>
    <row r="78" spans="1:20" ht="15" customHeight="1" x14ac:dyDescent="0.25">
      <c r="A78" s="18" t="str">
        <f t="shared" si="2"/>
        <v/>
      </c>
      <c r="B78" s="19"/>
      <c r="C78" s="20"/>
      <c r="D78" s="19"/>
      <c r="E78" s="22"/>
      <c r="F78" s="19"/>
      <c r="G78" s="19"/>
      <c r="H78" s="30"/>
      <c r="I78" s="19"/>
      <c r="J78" s="25"/>
      <c r="K78" s="25"/>
      <c r="L78" s="25"/>
      <c r="M78" s="25"/>
      <c r="N78" s="25"/>
      <c r="O78" s="25"/>
      <c r="P78" s="31" t="str">
        <f>IF(F78="","",(J78*Parametros!$K$4+K78*Parametros!$K$5+M78*Parametros!$K$6+N78*Parametros!$K$7+O78*Parametros!$K$8)/Parametros!$B$2)</f>
        <v/>
      </c>
      <c r="Q78" s="18" t="str">
        <f>IF(F78="","",IF(P78&gt;=Parametros!$B$1,"Aprueba","No aprueba"))</f>
        <v/>
      </c>
      <c r="R78" s="19"/>
      <c r="T78" t="str">
        <f>IF($Q78="Aprueba",COUNTIF($Q$2:$Q78,"Aprueba"),"")</f>
        <v/>
      </c>
    </row>
    <row r="79" spans="1:20" ht="15" customHeight="1" x14ac:dyDescent="0.25">
      <c r="A79" s="18" t="str">
        <f t="shared" si="2"/>
        <v/>
      </c>
      <c r="B79" s="19"/>
      <c r="C79" s="20"/>
      <c r="D79" s="19"/>
      <c r="E79" s="22"/>
      <c r="F79" s="19"/>
      <c r="G79" s="19"/>
      <c r="H79" s="30"/>
      <c r="I79" s="19"/>
      <c r="J79" s="25"/>
      <c r="K79" s="25"/>
      <c r="L79" s="25"/>
      <c r="M79" s="25"/>
      <c r="N79" s="25"/>
      <c r="O79" s="25"/>
      <c r="P79" s="31" t="str">
        <f>IF(F79="","",(J79*Parametros!$K$4+K79*Parametros!$K$5+M79*Parametros!$K$6+N79*Parametros!$K$7+O79*Parametros!$K$8)/Parametros!$B$2)</f>
        <v/>
      </c>
      <c r="Q79" s="18" t="str">
        <f>IF(F79="","",IF(P79&gt;=Parametros!$B$1,"Aprueba","No aprueba"))</f>
        <v/>
      </c>
      <c r="R79" s="19"/>
      <c r="T79" t="str">
        <f>IF($Q79="Aprueba",COUNTIF($Q$2:$Q79,"Aprueba"),"")</f>
        <v/>
      </c>
    </row>
    <row r="80" spans="1:20" ht="15" customHeight="1" x14ac:dyDescent="0.25">
      <c r="A80" s="18" t="str">
        <f t="shared" si="2"/>
        <v/>
      </c>
      <c r="B80" s="19"/>
      <c r="C80" s="20"/>
      <c r="D80" s="19"/>
      <c r="E80" s="22"/>
      <c r="F80" s="19"/>
      <c r="G80" s="19"/>
      <c r="H80" s="30"/>
      <c r="I80" s="19"/>
      <c r="J80" s="25"/>
      <c r="K80" s="25"/>
      <c r="L80" s="25"/>
      <c r="M80" s="25"/>
      <c r="N80" s="25"/>
      <c r="O80" s="25"/>
      <c r="P80" s="31" t="str">
        <f>IF(F80="","",(J80*Parametros!$K$4+K80*Parametros!$K$5+M80*Parametros!$K$6+N80*Parametros!$K$7+O80*Parametros!$K$8)/Parametros!$B$2)</f>
        <v/>
      </c>
      <c r="Q80" s="18" t="str">
        <f>IF(F80="","",IF(P80&gt;=Parametros!$B$1,"Aprueba","No aprueba"))</f>
        <v/>
      </c>
      <c r="R80" s="19"/>
      <c r="T80" t="str">
        <f>IF($Q80="Aprueba",COUNTIF($Q$2:$Q80,"Aprueba"),"")</f>
        <v/>
      </c>
    </row>
    <row r="81" spans="1:20" ht="15" customHeight="1" x14ac:dyDescent="0.25">
      <c r="A81" s="18" t="str">
        <f t="shared" si="2"/>
        <v/>
      </c>
      <c r="B81" s="19"/>
      <c r="C81" s="20"/>
      <c r="D81" s="19"/>
      <c r="E81" s="22"/>
      <c r="F81" s="19"/>
      <c r="G81" s="19"/>
      <c r="H81" s="30"/>
      <c r="I81" s="19"/>
      <c r="J81" s="25"/>
      <c r="K81" s="25"/>
      <c r="L81" s="25"/>
      <c r="M81" s="25"/>
      <c r="N81" s="25"/>
      <c r="O81" s="25"/>
      <c r="P81" s="31" t="str">
        <f>IF(F81="","",(J81*Parametros!$K$4+K81*Parametros!$K$5+M81*Parametros!$K$6+N81*Parametros!$K$7+O81*Parametros!$K$8)/Parametros!$B$2)</f>
        <v/>
      </c>
      <c r="Q81" s="18" t="str">
        <f>IF(F81="","",IF(P81&gt;=Parametros!$B$1,"Aprueba","No aprueba"))</f>
        <v/>
      </c>
      <c r="R81" s="19"/>
      <c r="T81" t="str">
        <f>IF($Q81="Aprueba",COUNTIF($Q$2:$Q81,"Aprueba"),"")</f>
        <v/>
      </c>
    </row>
    <row r="82" spans="1:20" ht="15" customHeight="1" x14ac:dyDescent="0.25">
      <c r="A82" s="18" t="str">
        <f t="shared" si="2"/>
        <v/>
      </c>
      <c r="B82" s="19"/>
      <c r="C82" s="20"/>
      <c r="D82" s="19"/>
      <c r="E82" s="22"/>
      <c r="F82" s="19"/>
      <c r="G82" s="19"/>
      <c r="H82" s="30"/>
      <c r="I82" s="19"/>
      <c r="J82" s="25"/>
      <c r="K82" s="25"/>
      <c r="L82" s="25"/>
      <c r="M82" s="25"/>
      <c r="N82" s="25"/>
      <c r="O82" s="25"/>
      <c r="P82" s="31" t="str">
        <f>IF(F82="","",(J82*Parametros!$K$4+K82*Parametros!$K$5+M82*Parametros!$K$6+N82*Parametros!$K$7+O82*Parametros!$K$8)/Parametros!$B$2)</f>
        <v/>
      </c>
      <c r="Q82" s="18" t="str">
        <f>IF(F82="","",IF(P82&gt;=Parametros!$B$1,"Aprueba","No aprueba"))</f>
        <v/>
      </c>
      <c r="R82" s="19"/>
      <c r="T82" t="str">
        <f>IF($Q82="Aprueba",COUNTIF($Q$2:$Q82,"Aprueba"),"")</f>
        <v/>
      </c>
    </row>
    <row r="83" spans="1:20" ht="15" customHeight="1" x14ac:dyDescent="0.25">
      <c r="A83" s="18" t="str">
        <f t="shared" si="2"/>
        <v/>
      </c>
      <c r="B83" s="19"/>
      <c r="C83" s="20"/>
      <c r="D83" s="19"/>
      <c r="E83" s="22"/>
      <c r="F83" s="19"/>
      <c r="G83" s="19"/>
      <c r="H83" s="30"/>
      <c r="I83" s="19"/>
      <c r="J83" s="25"/>
      <c r="K83" s="25"/>
      <c r="L83" s="25"/>
      <c r="M83" s="25"/>
      <c r="N83" s="25"/>
      <c r="O83" s="25"/>
      <c r="P83" s="31" t="str">
        <f>IF(F83="","",(J83*Parametros!$K$4+K83*Parametros!$K$5+M83*Parametros!$K$6+N83*Parametros!$K$7+O83*Parametros!$K$8)/Parametros!$B$2)</f>
        <v/>
      </c>
      <c r="Q83" s="18" t="str">
        <f>IF(F83="","",IF(P83&gt;=Parametros!$B$1,"Aprueba","No aprueba"))</f>
        <v/>
      </c>
      <c r="R83" s="19"/>
      <c r="T83" t="str">
        <f>IF($Q83="Aprueba",COUNTIF($Q$2:$Q83,"Aprueba"),"")</f>
        <v/>
      </c>
    </row>
    <row r="84" spans="1:20" ht="15" customHeight="1" x14ac:dyDescent="0.25">
      <c r="A84" s="18" t="str">
        <f t="shared" si="2"/>
        <v/>
      </c>
      <c r="B84" s="19"/>
      <c r="C84" s="20"/>
      <c r="D84" s="19"/>
      <c r="E84" s="22"/>
      <c r="F84" s="19"/>
      <c r="G84" s="19"/>
      <c r="H84" s="30"/>
      <c r="I84" s="19"/>
      <c r="J84" s="25"/>
      <c r="K84" s="25"/>
      <c r="L84" s="25"/>
      <c r="M84" s="25"/>
      <c r="N84" s="25"/>
      <c r="O84" s="25"/>
      <c r="P84" s="31" t="str">
        <f>IF(F84="","",(J84*Parametros!$K$4+K84*Parametros!$K$5+M84*Parametros!$K$6+N84*Parametros!$K$7+O84*Parametros!$K$8)/Parametros!$B$2)</f>
        <v/>
      </c>
      <c r="Q84" s="18" t="str">
        <f>IF(F84="","",IF(P84&gt;=Parametros!$B$1,"Aprueba","No aprueba"))</f>
        <v/>
      </c>
      <c r="R84" s="19"/>
      <c r="T84" t="str">
        <f>IF($Q84="Aprueba",COUNTIF($Q$2:$Q84,"Aprueba"),"")</f>
        <v/>
      </c>
    </row>
    <row r="85" spans="1:20" ht="15" customHeight="1" x14ac:dyDescent="0.25">
      <c r="A85" s="18" t="str">
        <f t="shared" si="2"/>
        <v/>
      </c>
      <c r="B85" s="19"/>
      <c r="C85" s="20"/>
      <c r="D85" s="19"/>
      <c r="E85" s="22"/>
      <c r="F85" s="19"/>
      <c r="G85" s="19"/>
      <c r="H85" s="30"/>
      <c r="I85" s="19"/>
      <c r="J85" s="25"/>
      <c r="K85" s="25"/>
      <c r="L85" s="25"/>
      <c r="M85" s="25"/>
      <c r="N85" s="25"/>
      <c r="O85" s="25"/>
      <c r="P85" s="31" t="str">
        <f>IF(F85="","",(J85*Parametros!$K$4+K85*Parametros!$K$5+M85*Parametros!$K$6+N85*Parametros!$K$7+O85*Parametros!$K$8)/Parametros!$B$2)</f>
        <v/>
      </c>
      <c r="Q85" s="18" t="str">
        <f>IF(F85="","",IF(P85&gt;=Parametros!$B$1,"Aprueba","No aprueba"))</f>
        <v/>
      </c>
      <c r="R85" s="19"/>
      <c r="T85" t="str">
        <f>IF($Q85="Aprueba",COUNTIF($Q$2:$Q85,"Aprueba"),"")</f>
        <v/>
      </c>
    </row>
    <row r="86" spans="1:20" ht="15" customHeight="1" x14ac:dyDescent="0.25">
      <c r="A86" s="18" t="str">
        <f t="shared" si="2"/>
        <v/>
      </c>
      <c r="B86" s="19"/>
      <c r="C86" s="20"/>
      <c r="D86" s="19"/>
      <c r="E86" s="22"/>
      <c r="F86" s="19"/>
      <c r="G86" s="19"/>
      <c r="H86" s="30"/>
      <c r="I86" s="19"/>
      <c r="J86" s="25"/>
      <c r="K86" s="25"/>
      <c r="L86" s="25"/>
      <c r="M86" s="25"/>
      <c r="N86" s="25"/>
      <c r="O86" s="25"/>
      <c r="P86" s="31" t="str">
        <f>IF(F86="","",(J86*Parametros!$K$4+K86*Parametros!$K$5+M86*Parametros!$K$6+N86*Parametros!$K$7+O86*Parametros!$K$8)/Parametros!$B$2)</f>
        <v/>
      </c>
      <c r="Q86" s="18" t="str">
        <f>IF(F86="","",IF(P86&gt;=Parametros!$B$1,"Aprueba","No aprueba"))</f>
        <v/>
      </c>
      <c r="R86" s="19"/>
      <c r="T86" t="str">
        <f>IF($Q86="Aprueba",COUNTIF($Q$2:$Q86,"Aprueba"),"")</f>
        <v/>
      </c>
    </row>
    <row r="87" spans="1:20" ht="15" customHeight="1" x14ac:dyDescent="0.25">
      <c r="A87" s="18" t="str">
        <f t="shared" si="2"/>
        <v/>
      </c>
      <c r="B87" s="19"/>
      <c r="C87" s="20"/>
      <c r="D87" s="19"/>
      <c r="E87" s="22"/>
      <c r="F87" s="19"/>
      <c r="G87" s="19"/>
      <c r="H87" s="30"/>
      <c r="I87" s="19"/>
      <c r="J87" s="25"/>
      <c r="K87" s="25"/>
      <c r="L87" s="25"/>
      <c r="M87" s="25"/>
      <c r="N87" s="25"/>
      <c r="O87" s="25"/>
      <c r="P87" s="31" t="str">
        <f>IF(F87="","",(J87*Parametros!$K$4+K87*Parametros!$K$5+M87*Parametros!$K$6+N87*Parametros!$K$7+O87*Parametros!$K$8)/Parametros!$B$2)</f>
        <v/>
      </c>
      <c r="Q87" s="18" t="str">
        <f>IF(F87="","",IF(P87&gt;=Parametros!$B$1,"Aprueba","No aprueba"))</f>
        <v/>
      </c>
      <c r="R87" s="19"/>
      <c r="T87" t="str">
        <f>IF($Q87="Aprueba",COUNTIF($Q$2:$Q87,"Aprueba"),"")</f>
        <v/>
      </c>
    </row>
    <row r="88" spans="1:20" ht="15" customHeight="1" x14ac:dyDescent="0.25">
      <c r="A88" s="18" t="str">
        <f t="shared" si="2"/>
        <v/>
      </c>
      <c r="B88" s="19"/>
      <c r="C88" s="20"/>
      <c r="D88" s="19"/>
      <c r="E88" s="22"/>
      <c r="F88" s="19"/>
      <c r="G88" s="19"/>
      <c r="H88" s="30"/>
      <c r="I88" s="19"/>
      <c r="J88" s="25"/>
      <c r="K88" s="25"/>
      <c r="L88" s="25"/>
      <c r="M88" s="25"/>
      <c r="N88" s="25"/>
      <c r="O88" s="25"/>
      <c r="P88" s="31" t="str">
        <f>IF(F88="","",(J88*Parametros!$K$4+K88*Parametros!$K$5+M88*Parametros!$K$6+N88*Parametros!$K$7+O88*Parametros!$K$8)/Parametros!$B$2)</f>
        <v/>
      </c>
      <c r="Q88" s="18" t="str">
        <f>IF(F88="","",IF(P88&gt;=Parametros!$B$1,"Aprueba","No aprueba"))</f>
        <v/>
      </c>
      <c r="R88" s="19"/>
      <c r="T88" t="str">
        <f>IF($Q88="Aprueba",COUNTIF($Q$2:$Q88,"Aprueba"),"")</f>
        <v/>
      </c>
    </row>
    <row r="89" spans="1:20" ht="15" customHeight="1" x14ac:dyDescent="0.25">
      <c r="A89" s="18" t="str">
        <f t="shared" si="2"/>
        <v/>
      </c>
      <c r="B89" s="19"/>
      <c r="C89" s="20"/>
      <c r="D89" s="19"/>
      <c r="E89" s="22"/>
      <c r="F89" s="19"/>
      <c r="G89" s="19"/>
      <c r="H89" s="30"/>
      <c r="I89" s="19"/>
      <c r="J89" s="25"/>
      <c r="K89" s="25"/>
      <c r="L89" s="25"/>
      <c r="M89" s="25"/>
      <c r="N89" s="25"/>
      <c r="O89" s="25"/>
      <c r="P89" s="31" t="str">
        <f>IF(F89="","",(J89*Parametros!$K$4+K89*Parametros!$K$5+M89*Parametros!$K$6+N89*Parametros!$K$7+O89*Parametros!$K$8)/Parametros!$B$2)</f>
        <v/>
      </c>
      <c r="Q89" s="18" t="str">
        <f>IF(F89="","",IF(P89&gt;=Parametros!$B$1,"Aprueba","No aprueba"))</f>
        <v/>
      </c>
      <c r="R89" s="19"/>
      <c r="T89" t="str">
        <f>IF($Q89="Aprueba",COUNTIF($Q$2:$Q89,"Aprueba"),"")</f>
        <v/>
      </c>
    </row>
    <row r="90" spans="1:20" ht="15" customHeight="1" x14ac:dyDescent="0.25">
      <c r="A90" s="18" t="str">
        <f t="shared" si="2"/>
        <v/>
      </c>
      <c r="B90" s="19"/>
      <c r="C90" s="20"/>
      <c r="D90" s="19"/>
      <c r="E90" s="22"/>
      <c r="F90" s="19"/>
      <c r="G90" s="19"/>
      <c r="H90" s="30"/>
      <c r="I90" s="19"/>
      <c r="J90" s="25"/>
      <c r="K90" s="25"/>
      <c r="L90" s="25"/>
      <c r="M90" s="25"/>
      <c r="N90" s="25"/>
      <c r="O90" s="25"/>
      <c r="P90" s="31" t="str">
        <f>IF(F90="","",(J90*Parametros!$K$4+K90*Parametros!$K$5+M90*Parametros!$K$6+N90*Parametros!$K$7+O90*Parametros!$K$8)/Parametros!$B$2)</f>
        <v/>
      </c>
      <c r="Q90" s="18" t="str">
        <f>IF(F90="","",IF(P90&gt;=Parametros!$B$1,"Aprueba","No aprueba"))</f>
        <v/>
      </c>
      <c r="R90" s="19"/>
      <c r="T90" t="str">
        <f>IF($Q90="Aprueba",COUNTIF($Q$2:$Q90,"Aprueba"),"")</f>
        <v/>
      </c>
    </row>
    <row r="91" spans="1:20" ht="15" customHeight="1" x14ac:dyDescent="0.25">
      <c r="A91" s="18" t="str">
        <f t="shared" si="2"/>
        <v/>
      </c>
      <c r="B91" s="19"/>
      <c r="C91" s="20"/>
      <c r="D91" s="19"/>
      <c r="E91" s="22"/>
      <c r="F91" s="19"/>
      <c r="G91" s="19"/>
      <c r="H91" s="30"/>
      <c r="I91" s="19"/>
      <c r="J91" s="25"/>
      <c r="K91" s="25"/>
      <c r="L91" s="25"/>
      <c r="M91" s="25"/>
      <c r="N91" s="25"/>
      <c r="O91" s="25"/>
      <c r="P91" s="31" t="str">
        <f>IF(F91="","",(J91*Parametros!$K$4+K91*Parametros!$K$5+M91*Parametros!$K$6+N91*Parametros!$K$7+O91*Parametros!$K$8)/Parametros!$B$2)</f>
        <v/>
      </c>
      <c r="Q91" s="18" t="str">
        <f>IF(F91="","",IF(P91&gt;=Parametros!$B$1,"Aprueba","No aprueba"))</f>
        <v/>
      </c>
      <c r="R91" s="19"/>
      <c r="T91" t="str">
        <f>IF($Q91="Aprueba",COUNTIF($Q$2:$Q91,"Aprueba"),"")</f>
        <v/>
      </c>
    </row>
    <row r="92" spans="1:20" ht="15" customHeight="1" x14ac:dyDescent="0.25">
      <c r="A92" s="18" t="str">
        <f t="shared" si="2"/>
        <v/>
      </c>
      <c r="B92" s="19"/>
      <c r="C92" s="20"/>
      <c r="D92" s="19"/>
      <c r="E92" s="22"/>
      <c r="F92" s="19"/>
      <c r="G92" s="19"/>
      <c r="H92" s="30"/>
      <c r="I92" s="19"/>
      <c r="J92" s="25"/>
      <c r="K92" s="25"/>
      <c r="L92" s="25"/>
      <c r="M92" s="25"/>
      <c r="N92" s="25"/>
      <c r="O92" s="25"/>
      <c r="P92" s="31" t="str">
        <f>IF(F92="","",(J92*Parametros!$K$4+K92*Parametros!$K$5+M92*Parametros!$K$6+N92*Parametros!$K$7+O92*Parametros!$K$8)/Parametros!$B$2)</f>
        <v/>
      </c>
      <c r="Q92" s="18" t="str">
        <f>IF(F92="","",IF(P92&gt;=Parametros!$B$1,"Aprueba","No aprueba"))</f>
        <v/>
      </c>
      <c r="R92" s="19"/>
      <c r="T92" t="str">
        <f>IF($Q92="Aprueba",COUNTIF($Q$2:$Q92,"Aprueba"),"")</f>
        <v/>
      </c>
    </row>
    <row r="93" spans="1:20" ht="15" customHeight="1" x14ac:dyDescent="0.25">
      <c r="A93" s="18" t="str">
        <f t="shared" si="2"/>
        <v/>
      </c>
      <c r="B93" s="19"/>
      <c r="C93" s="20"/>
      <c r="D93" s="19"/>
      <c r="E93" s="22"/>
      <c r="F93" s="19"/>
      <c r="G93" s="19"/>
      <c r="H93" s="30"/>
      <c r="I93" s="19"/>
      <c r="J93" s="25"/>
      <c r="K93" s="25"/>
      <c r="L93" s="25"/>
      <c r="M93" s="25"/>
      <c r="N93" s="25"/>
      <c r="O93" s="25"/>
      <c r="P93" s="31" t="str">
        <f>IF(F93="","",(J93*Parametros!$K$4+K93*Parametros!$K$5+M93*Parametros!$K$6+N93*Parametros!$K$7+O93*Parametros!$K$8)/Parametros!$B$2)</f>
        <v/>
      </c>
      <c r="Q93" s="18" t="str">
        <f>IF(F93="","",IF(P93&gt;=Parametros!$B$1,"Aprueba","No aprueba"))</f>
        <v/>
      </c>
      <c r="R93" s="19"/>
      <c r="T93" t="str">
        <f>IF($Q93="Aprueba",COUNTIF($Q$2:$Q93,"Aprueba"),"")</f>
        <v/>
      </c>
    </row>
    <row r="94" spans="1:20" ht="15" customHeight="1" x14ac:dyDescent="0.25">
      <c r="A94" s="18" t="str">
        <f t="shared" si="2"/>
        <v/>
      </c>
      <c r="B94" s="19"/>
      <c r="C94" s="20"/>
      <c r="D94" s="19"/>
      <c r="E94" s="22"/>
      <c r="F94" s="19"/>
      <c r="G94" s="19"/>
      <c r="H94" s="30"/>
      <c r="I94" s="19"/>
      <c r="J94" s="25"/>
      <c r="K94" s="25"/>
      <c r="L94" s="25"/>
      <c r="M94" s="25"/>
      <c r="N94" s="25"/>
      <c r="O94" s="25"/>
      <c r="P94" s="31" t="str">
        <f>IF(F94="","",(J94*Parametros!$K$4+K94*Parametros!$K$5+M94*Parametros!$K$6+N94*Parametros!$K$7+O94*Parametros!$K$8)/Parametros!$B$2)</f>
        <v/>
      </c>
      <c r="Q94" s="18" t="str">
        <f>IF(F94="","",IF(P94&gt;=Parametros!$B$1,"Aprueba","No aprueba"))</f>
        <v/>
      </c>
      <c r="R94" s="19"/>
      <c r="T94" t="str">
        <f>IF($Q94="Aprueba",COUNTIF($Q$2:$Q94,"Aprueba"),"")</f>
        <v/>
      </c>
    </row>
    <row r="95" spans="1:20" ht="15" customHeight="1" x14ac:dyDescent="0.25">
      <c r="A95" s="18" t="str">
        <f t="shared" si="2"/>
        <v/>
      </c>
      <c r="B95" s="19"/>
      <c r="C95" s="20"/>
      <c r="D95" s="19"/>
      <c r="E95" s="22"/>
      <c r="F95" s="19"/>
      <c r="G95" s="19"/>
      <c r="H95" s="30"/>
      <c r="I95" s="19"/>
      <c r="J95" s="25"/>
      <c r="K95" s="25"/>
      <c r="L95" s="25"/>
      <c r="M95" s="25"/>
      <c r="N95" s="25"/>
      <c r="O95" s="25"/>
      <c r="P95" s="31" t="str">
        <f>IF(F95="","",(J95*Parametros!$K$4+K95*Parametros!$K$5+M95*Parametros!$K$6+N95*Parametros!$K$7+O95*Parametros!$K$8)/Parametros!$B$2)</f>
        <v/>
      </c>
      <c r="Q95" s="18" t="str">
        <f>IF(F95="","",IF(P95&gt;=Parametros!$B$1,"Aprueba","No aprueba"))</f>
        <v/>
      </c>
      <c r="R95" s="19"/>
      <c r="T95" t="str">
        <f>IF($Q95="Aprueba",COUNTIF($Q$2:$Q95,"Aprueba"),"")</f>
        <v/>
      </c>
    </row>
    <row r="96" spans="1:20" ht="15" customHeight="1" x14ac:dyDescent="0.25">
      <c r="A96" s="18" t="str">
        <f t="shared" si="2"/>
        <v/>
      </c>
      <c r="B96" s="19"/>
      <c r="C96" s="20"/>
      <c r="D96" s="19"/>
      <c r="E96" s="22"/>
      <c r="F96" s="19"/>
      <c r="G96" s="19"/>
      <c r="H96" s="30"/>
      <c r="I96" s="19"/>
      <c r="J96" s="25"/>
      <c r="K96" s="25"/>
      <c r="L96" s="25"/>
      <c r="M96" s="25"/>
      <c r="N96" s="25"/>
      <c r="O96" s="25"/>
      <c r="P96" s="31" t="str">
        <f>IF(F96="","",(J96*Parametros!$K$4+K96*Parametros!$K$5+M96*Parametros!$K$6+N96*Parametros!$K$7+O96*Parametros!$K$8)/Parametros!$B$2)</f>
        <v/>
      </c>
      <c r="Q96" s="18" t="str">
        <f>IF(F96="","",IF(P96&gt;=Parametros!$B$1,"Aprueba","No aprueba"))</f>
        <v/>
      </c>
      <c r="R96" s="19"/>
      <c r="T96" t="str">
        <f>IF($Q96="Aprueba",COUNTIF($Q$2:$Q96,"Aprueba"),"")</f>
        <v/>
      </c>
    </row>
    <row r="97" spans="20:20" ht="14.25" customHeight="1" x14ac:dyDescent="0.25">
      <c r="T97" t="str">
        <f>IF($Q97="Aprueba",COUNTIF($Q$2:$Q97,"Aprueba"),"")</f>
        <v/>
      </c>
    </row>
    <row r="98" spans="20:20" ht="14.25" customHeight="1" x14ac:dyDescent="0.25">
      <c r="T98" t="str">
        <f>IF($Q98="Aprueba",COUNTIF($Q$2:$Q98,"Aprueba"),"")</f>
        <v/>
      </c>
    </row>
    <row r="99" spans="20:20" ht="14.25" customHeight="1" x14ac:dyDescent="0.25">
      <c r="T99" t="str">
        <f>IF($Q99="Aprueba",COUNTIF($Q$2:$Q99,"Aprueba"),"")</f>
        <v/>
      </c>
    </row>
    <row r="100" spans="20:20" ht="14.25" customHeight="1" x14ac:dyDescent="0.25">
      <c r="T100" t="str">
        <f>IF($Q100="Aprueba",COUNTIF($Q$2:$Q100,"Aprueba"),"")</f>
        <v/>
      </c>
    </row>
    <row r="101" spans="20:20" ht="14.25" customHeight="1" x14ac:dyDescent="0.25">
      <c r="T101" t="str">
        <f>IF($Q101="Aprueba",COUNTIF($Q$2:$Q101,"Aprueba"),"")</f>
        <v/>
      </c>
    </row>
    <row r="102" spans="20:20" ht="14.25" customHeight="1" x14ac:dyDescent="0.25">
      <c r="T102" t="str">
        <f>IF($Q102="Aprueba",COUNTIF($Q$2:$Q102,"Aprueba"),"")</f>
        <v/>
      </c>
    </row>
    <row r="103" spans="20:20" ht="14.25" customHeight="1" x14ac:dyDescent="0.25">
      <c r="T103" t="str">
        <f>IF($Q103="Aprueba",COUNTIF($Q$2:$Q103,"Aprueba"),"")</f>
        <v/>
      </c>
    </row>
    <row r="104" spans="20:20" ht="14.25" customHeight="1" x14ac:dyDescent="0.25">
      <c r="T104" t="str">
        <f>IF($Q104="Aprueba",COUNTIF($Q$2:$Q104,"Aprueba"),"")</f>
        <v/>
      </c>
    </row>
    <row r="105" spans="20:20" ht="14.25" customHeight="1" x14ac:dyDescent="0.25">
      <c r="T105" t="str">
        <f>IF($Q105="Aprueba",COUNTIF($Q$2:$Q105,"Aprueba"),"")</f>
        <v/>
      </c>
    </row>
    <row r="106" spans="20:20" ht="14.25" customHeight="1" x14ac:dyDescent="0.25">
      <c r="T106" t="str">
        <f>IF($Q106="Aprueba",COUNTIF($Q$2:$Q106,"Aprueba"),"")</f>
        <v/>
      </c>
    </row>
    <row r="107" spans="20:20" ht="14.25" customHeight="1" x14ac:dyDescent="0.25">
      <c r="T107" t="str">
        <f>IF($Q107="Aprueba",COUNTIF($Q$2:$Q107,"Aprueba"),"")</f>
        <v/>
      </c>
    </row>
    <row r="108" spans="20:20" ht="14.25" customHeight="1" x14ac:dyDescent="0.25">
      <c r="T108" t="str">
        <f>IF($Q108="Aprueba",COUNTIF($Q$2:$Q108,"Aprueba"),"")</f>
        <v/>
      </c>
    </row>
    <row r="109" spans="20:20" ht="14.25" customHeight="1" x14ac:dyDescent="0.25">
      <c r="T109" t="str">
        <f>IF($Q109="Aprueba",COUNTIF($Q$2:$Q109,"Aprueba"),"")</f>
        <v/>
      </c>
    </row>
    <row r="110" spans="20:20" ht="14.25" customHeight="1" x14ac:dyDescent="0.25">
      <c r="T110" t="str">
        <f>IF($Q110="Aprueba",COUNTIF($Q$2:$Q110,"Aprueba"),"")</f>
        <v/>
      </c>
    </row>
    <row r="111" spans="20:20" ht="14.25" customHeight="1" x14ac:dyDescent="0.25">
      <c r="T111" t="str">
        <f>IF($Q111="Aprueba",COUNTIF($Q$2:$Q111,"Aprueba"),"")</f>
        <v/>
      </c>
    </row>
    <row r="112" spans="20:20" ht="14.25" customHeight="1" x14ac:dyDescent="0.25">
      <c r="T112" t="str">
        <f>IF($Q112="Aprueba",COUNTIF($Q$2:$Q112,"Aprueba"),"")</f>
        <v/>
      </c>
    </row>
    <row r="113" spans="20:20" ht="14.25" customHeight="1" x14ac:dyDescent="0.25">
      <c r="T113" t="str">
        <f>IF($Q113="Aprueba",COUNTIF($Q$2:$Q113,"Aprueba"),"")</f>
        <v/>
      </c>
    </row>
    <row r="114" spans="20:20" ht="14.25" customHeight="1" x14ac:dyDescent="0.25">
      <c r="T114" t="str">
        <f>IF($Q114="Aprueba",COUNTIF($Q$2:$Q114,"Aprueba"),"")</f>
        <v/>
      </c>
    </row>
    <row r="115" spans="20:20" ht="14.25" customHeight="1" x14ac:dyDescent="0.25">
      <c r="T115" t="str">
        <f>IF($Q115="Aprueba",COUNTIF($Q$2:$Q115,"Aprueba"),"")</f>
        <v/>
      </c>
    </row>
    <row r="116" spans="20:20" ht="14.25" customHeight="1" x14ac:dyDescent="0.25">
      <c r="T116" t="str">
        <f>IF($Q116="Aprueba",COUNTIF($Q$2:$Q116,"Aprueba"),"")</f>
        <v/>
      </c>
    </row>
    <row r="117" spans="20:20" ht="14.25" customHeight="1" x14ac:dyDescent="0.25">
      <c r="T117" t="str">
        <f>IF($Q117="Aprueba",COUNTIF($Q$2:$Q117,"Aprueba"),"")</f>
        <v/>
      </c>
    </row>
    <row r="118" spans="20:20" ht="14.25" customHeight="1" x14ac:dyDescent="0.25">
      <c r="T118" t="str">
        <f>IF($Q118="Aprueba",COUNTIF($Q$2:$Q118,"Aprueba"),"")</f>
        <v/>
      </c>
    </row>
    <row r="119" spans="20:20" ht="14.25" customHeight="1" x14ac:dyDescent="0.25">
      <c r="T119" t="str">
        <f>IF($Q119="Aprueba",COUNTIF($Q$2:$Q119,"Aprueba"),"")</f>
        <v/>
      </c>
    </row>
    <row r="120" spans="20:20" ht="14.25" customHeight="1" x14ac:dyDescent="0.25">
      <c r="T120" t="str">
        <f>IF($Q120="Aprueba",COUNTIF($Q$2:$Q120,"Aprueba"),"")</f>
        <v/>
      </c>
    </row>
    <row r="121" spans="20:20" ht="14.25" customHeight="1" x14ac:dyDescent="0.25">
      <c r="T121" t="str">
        <f>IF($Q121="Aprueba",COUNTIF($Q$2:$Q121,"Aprueba"),"")</f>
        <v/>
      </c>
    </row>
    <row r="122" spans="20:20" ht="14.25" customHeight="1" x14ac:dyDescent="0.25">
      <c r="T122" t="str">
        <f>IF($Q122="Aprueba",COUNTIF($Q$2:$Q122,"Aprueba"),"")</f>
        <v/>
      </c>
    </row>
    <row r="123" spans="20:20" ht="14.25" customHeight="1" x14ac:dyDescent="0.25">
      <c r="T123" t="str">
        <f>IF($Q123="Aprueba",COUNTIF($Q$2:$Q123,"Aprueba"),"")</f>
        <v/>
      </c>
    </row>
    <row r="124" spans="20:20" ht="14.25" customHeight="1" x14ac:dyDescent="0.25">
      <c r="T124" t="str">
        <f>IF($Q124="Aprueba",COUNTIF($Q$2:$Q124,"Aprueba"),"")</f>
        <v/>
      </c>
    </row>
    <row r="125" spans="20:20" ht="14.25" customHeight="1" x14ac:dyDescent="0.25">
      <c r="T125" t="str">
        <f>IF($Q125="Aprueba",COUNTIF($Q$2:$Q125,"Aprueba"),"")</f>
        <v/>
      </c>
    </row>
    <row r="126" spans="20:20" ht="14.25" customHeight="1" x14ac:dyDescent="0.25">
      <c r="T126" t="str">
        <f>IF($Q126="Aprueba",COUNTIF($Q$2:$Q126,"Aprueba"),"")</f>
        <v/>
      </c>
    </row>
    <row r="127" spans="20:20" ht="14.25" customHeight="1" x14ac:dyDescent="0.25">
      <c r="T127" t="str">
        <f>IF($Q127="Aprueba",COUNTIF($Q$2:$Q127,"Aprueba"),"")</f>
        <v/>
      </c>
    </row>
    <row r="128" spans="20:20" ht="14.25" customHeight="1" x14ac:dyDescent="0.25">
      <c r="T128" t="str">
        <f>IF($Q128="Aprueba",COUNTIF($Q$2:$Q128,"Aprueba"),"")</f>
        <v/>
      </c>
    </row>
    <row r="129" spans="20:20" ht="14.25" customHeight="1" x14ac:dyDescent="0.25">
      <c r="T129" t="str">
        <f>IF($Q129="Aprueba",COUNTIF($Q$2:$Q129,"Aprueba"),"")</f>
        <v/>
      </c>
    </row>
    <row r="130" spans="20:20" ht="14.25" customHeight="1" x14ac:dyDescent="0.25">
      <c r="T130" t="str">
        <f>IF($Q130="Aprueba",COUNTIF($Q$2:$Q130,"Aprueba"),"")</f>
        <v/>
      </c>
    </row>
    <row r="131" spans="20:20" ht="14.25" customHeight="1" x14ac:dyDescent="0.25">
      <c r="T131" t="str">
        <f>IF($Q131="Aprueba",COUNTIF($Q$2:$Q131,"Aprueba"),"")</f>
        <v/>
      </c>
    </row>
    <row r="132" spans="20:20" ht="14.25" customHeight="1" x14ac:dyDescent="0.25">
      <c r="T132" t="str">
        <f>IF($Q132="Aprueba",COUNTIF($Q$2:$Q132,"Aprueba"),"")</f>
        <v/>
      </c>
    </row>
    <row r="133" spans="20:20" ht="14.25" customHeight="1" x14ac:dyDescent="0.25">
      <c r="T133" t="str">
        <f>IF($Q133="Aprueba",COUNTIF($Q$2:$Q133,"Aprueba"),"")</f>
        <v/>
      </c>
    </row>
    <row r="134" spans="20:20" ht="14.25" customHeight="1" x14ac:dyDescent="0.25">
      <c r="T134" t="str">
        <f>IF($Q134="Aprueba",COUNTIF($Q$2:$Q134,"Aprueba"),"")</f>
        <v/>
      </c>
    </row>
    <row r="135" spans="20:20" ht="14.25" customHeight="1" x14ac:dyDescent="0.25">
      <c r="T135" t="str">
        <f>IF($Q135="Aprueba",COUNTIF($Q$2:$Q135,"Aprueba"),"")</f>
        <v/>
      </c>
    </row>
    <row r="136" spans="20:20" ht="14.25" customHeight="1" x14ac:dyDescent="0.25">
      <c r="T136" t="str">
        <f>IF($Q136="Aprueba",COUNTIF($Q$2:$Q136,"Aprueba"),"")</f>
        <v/>
      </c>
    </row>
    <row r="137" spans="20:20" ht="14.25" customHeight="1" x14ac:dyDescent="0.25">
      <c r="T137" t="str">
        <f>IF($Q137="Aprueba",COUNTIF($Q$2:$Q137,"Aprueba"),"")</f>
        <v/>
      </c>
    </row>
    <row r="138" spans="20:20" ht="14.25" customHeight="1" x14ac:dyDescent="0.25">
      <c r="T138" t="str">
        <f>IF($Q138="Aprueba",COUNTIF($Q$2:$Q138,"Aprueba"),"")</f>
        <v/>
      </c>
    </row>
    <row r="139" spans="20:20" ht="14.25" customHeight="1" x14ac:dyDescent="0.25">
      <c r="T139" t="str">
        <f>IF($Q139="Aprueba",COUNTIF($Q$2:$Q139,"Aprueba"),"")</f>
        <v/>
      </c>
    </row>
    <row r="140" spans="20:20" ht="14.25" customHeight="1" x14ac:dyDescent="0.25">
      <c r="T140" t="str">
        <f>IF($Q140="Aprueba",COUNTIF($Q$2:$Q140,"Aprueba"),"")</f>
        <v/>
      </c>
    </row>
    <row r="141" spans="20:20" ht="14.25" customHeight="1" x14ac:dyDescent="0.25">
      <c r="T141" t="str">
        <f>IF($Q141="Aprueba",COUNTIF($Q$2:$Q141,"Aprueba"),"")</f>
        <v/>
      </c>
    </row>
    <row r="142" spans="20:20" ht="14.25" customHeight="1" x14ac:dyDescent="0.25">
      <c r="T142" t="str">
        <f>IF($Q142="Aprueba",COUNTIF($Q$2:$Q142,"Aprueba"),"")</f>
        <v/>
      </c>
    </row>
    <row r="143" spans="20:20" ht="14.25" customHeight="1" x14ac:dyDescent="0.25">
      <c r="T143" t="str">
        <f>IF($Q143="Aprueba",COUNTIF($Q$2:$Q143,"Aprueba"),"")</f>
        <v/>
      </c>
    </row>
    <row r="144" spans="20:20" ht="14.25" customHeight="1" x14ac:dyDescent="0.25">
      <c r="T144" t="str">
        <f>IF($Q144="Aprueba",COUNTIF($Q$2:$Q144,"Aprueba"),"")</f>
        <v/>
      </c>
    </row>
    <row r="145" spans="20:20" ht="14.25" customHeight="1" x14ac:dyDescent="0.25">
      <c r="T145" t="str">
        <f>IF($Q145="Aprueba",COUNTIF($Q$2:$Q145,"Aprueba"),"")</f>
        <v/>
      </c>
    </row>
    <row r="146" spans="20:20" ht="14.25" customHeight="1" x14ac:dyDescent="0.25">
      <c r="T146" t="str">
        <f>IF($Q146="Aprueba",COUNTIF($Q$2:$Q146,"Aprueba"),"")</f>
        <v/>
      </c>
    </row>
    <row r="147" spans="20:20" ht="14.25" customHeight="1" x14ac:dyDescent="0.25">
      <c r="T147" t="str">
        <f>IF($Q147="Aprueba",COUNTIF($Q$2:$Q147,"Aprueba"),"")</f>
        <v/>
      </c>
    </row>
    <row r="148" spans="20:20" ht="14.25" customHeight="1" x14ac:dyDescent="0.25">
      <c r="T148" t="str">
        <f>IF($Q148="Aprueba",COUNTIF($Q$2:$Q148,"Aprueba"),"")</f>
        <v/>
      </c>
    </row>
    <row r="149" spans="20:20" ht="14.25" customHeight="1" x14ac:dyDescent="0.25">
      <c r="T149" t="str">
        <f>IF($Q149="Aprueba",COUNTIF($Q$2:$Q149,"Aprueba"),"")</f>
        <v/>
      </c>
    </row>
    <row r="150" spans="20:20" ht="14.25" customHeight="1" x14ac:dyDescent="0.25">
      <c r="T150" t="str">
        <f>IF($Q150="Aprueba",COUNTIF($Q$2:$Q150,"Aprueba"),"")</f>
        <v/>
      </c>
    </row>
    <row r="151" spans="20:20" ht="14.25" customHeight="1" x14ac:dyDescent="0.25">
      <c r="T151" t="str">
        <f>IF($Q151="Aprueba",COUNTIF($Q$2:$Q151,"Aprueba"),"")</f>
        <v/>
      </c>
    </row>
    <row r="152" spans="20:20" ht="14.25" customHeight="1" x14ac:dyDescent="0.25">
      <c r="T152" t="str">
        <f>IF($Q152="Aprueba",COUNTIF($Q$2:$Q152,"Aprueba"),"")</f>
        <v/>
      </c>
    </row>
    <row r="153" spans="20:20" ht="14.25" customHeight="1" x14ac:dyDescent="0.25">
      <c r="T153" t="str">
        <f>IF($Q153="Aprueba",COUNTIF($Q$2:$Q153,"Aprueba"),"")</f>
        <v/>
      </c>
    </row>
    <row r="154" spans="20:20" ht="14.25" customHeight="1" x14ac:dyDescent="0.25">
      <c r="T154" t="str">
        <f>IF($Q154="Aprueba",COUNTIF($Q$2:$Q154,"Aprueba"),"")</f>
        <v/>
      </c>
    </row>
    <row r="155" spans="20:20" ht="14.25" customHeight="1" x14ac:dyDescent="0.25">
      <c r="T155" t="str">
        <f>IF($Q155="Aprueba",COUNTIF($Q$2:$Q155,"Aprueba"),"")</f>
        <v/>
      </c>
    </row>
    <row r="156" spans="20:20" ht="14.25" customHeight="1" x14ac:dyDescent="0.25">
      <c r="T156" t="str">
        <f>IF($Q156="Aprueba",COUNTIF($Q$2:$Q156,"Aprueba"),"")</f>
        <v/>
      </c>
    </row>
    <row r="157" spans="20:20" ht="14.25" customHeight="1" x14ac:dyDescent="0.25">
      <c r="T157" t="str">
        <f>IF($Q157="Aprueba",COUNTIF($Q$2:$Q157,"Aprueba"),"")</f>
        <v/>
      </c>
    </row>
    <row r="158" spans="20:20" ht="14.25" customHeight="1" x14ac:dyDescent="0.25">
      <c r="T158" t="str">
        <f>IF($Q158="Aprueba",COUNTIF($Q$2:$Q158,"Aprueba"),"")</f>
        <v/>
      </c>
    </row>
    <row r="159" spans="20:20" ht="14.25" customHeight="1" x14ac:dyDescent="0.25">
      <c r="T159" t="str">
        <f>IF($Q159="Aprueba",COUNTIF($Q$2:$Q159,"Aprueba"),"")</f>
        <v/>
      </c>
    </row>
    <row r="160" spans="20:20" ht="14.25" customHeight="1" x14ac:dyDescent="0.25">
      <c r="T160" t="str">
        <f>IF($Q160="Aprueba",COUNTIF($Q$2:$Q160,"Aprueba"),"")</f>
        <v/>
      </c>
    </row>
    <row r="161" spans="20:20" ht="14.25" customHeight="1" x14ac:dyDescent="0.25">
      <c r="T161" t="str">
        <f>IF($Q161="Aprueba",COUNTIF($Q$2:$Q161,"Aprueba"),"")</f>
        <v/>
      </c>
    </row>
    <row r="162" spans="20:20" ht="14.25" customHeight="1" x14ac:dyDescent="0.25">
      <c r="T162" t="str">
        <f>IF($Q162="Aprueba",COUNTIF($Q$2:$Q162,"Aprueba"),"")</f>
        <v/>
      </c>
    </row>
    <row r="163" spans="20:20" ht="14.25" customHeight="1" x14ac:dyDescent="0.25">
      <c r="T163" t="str">
        <f>IF($Q163="Aprueba",COUNTIF($Q$2:$Q163,"Aprueba"),"")</f>
        <v/>
      </c>
    </row>
    <row r="164" spans="20:20" ht="14.25" customHeight="1" x14ac:dyDescent="0.25">
      <c r="T164" t="str">
        <f>IF($Q164="Aprueba",COUNTIF($Q$2:$Q164,"Aprueba"),"")</f>
        <v/>
      </c>
    </row>
    <row r="165" spans="20:20" ht="14.25" customHeight="1" x14ac:dyDescent="0.25">
      <c r="T165" t="str">
        <f>IF($Q165="Aprueba",COUNTIF($Q$2:$Q165,"Aprueba"),"")</f>
        <v/>
      </c>
    </row>
    <row r="166" spans="20:20" ht="14.25" customHeight="1" x14ac:dyDescent="0.25">
      <c r="T166" t="str">
        <f>IF($Q166="Aprueba",COUNTIF($Q$2:$Q166,"Aprueba"),"")</f>
        <v/>
      </c>
    </row>
    <row r="167" spans="20:20" ht="14.25" customHeight="1" x14ac:dyDescent="0.25">
      <c r="T167" t="str">
        <f>IF($Q167="Aprueba",COUNTIF($Q$2:$Q167,"Aprueba"),"")</f>
        <v/>
      </c>
    </row>
    <row r="168" spans="20:20" ht="14.25" customHeight="1" x14ac:dyDescent="0.25">
      <c r="T168" t="str">
        <f>IF($Q168="Aprueba",COUNTIF($Q$2:$Q168,"Aprueba"),"")</f>
        <v/>
      </c>
    </row>
    <row r="169" spans="20:20" ht="14.25" customHeight="1" x14ac:dyDescent="0.25">
      <c r="T169" t="str">
        <f>IF($Q169="Aprueba",COUNTIF($Q$2:$Q169,"Aprueba"),"")</f>
        <v/>
      </c>
    </row>
    <row r="170" spans="20:20" ht="14.25" customHeight="1" x14ac:dyDescent="0.25">
      <c r="T170" t="str">
        <f>IF($Q170="Aprueba",COUNTIF($Q$2:$Q170,"Aprueba"),"")</f>
        <v/>
      </c>
    </row>
    <row r="171" spans="20:20" ht="14.25" customHeight="1" x14ac:dyDescent="0.25">
      <c r="T171" t="str">
        <f>IF($Q171="Aprueba",COUNTIF($Q$2:$Q171,"Aprueba"),"")</f>
        <v/>
      </c>
    </row>
    <row r="172" spans="20:20" ht="14.25" customHeight="1" x14ac:dyDescent="0.25">
      <c r="T172" t="str">
        <f>IF($Q172="Aprueba",COUNTIF($Q$2:$Q172,"Aprueba"),"")</f>
        <v/>
      </c>
    </row>
    <row r="173" spans="20:20" ht="14.25" customHeight="1" x14ac:dyDescent="0.25">
      <c r="T173" t="str">
        <f>IF($Q173="Aprueba",COUNTIF($Q$2:$Q173,"Aprueba"),"")</f>
        <v/>
      </c>
    </row>
    <row r="174" spans="20:20" ht="14.25" customHeight="1" x14ac:dyDescent="0.25">
      <c r="T174" t="str">
        <f>IF($Q174="Aprueba",COUNTIF($Q$2:$Q174,"Aprueba"),"")</f>
        <v/>
      </c>
    </row>
    <row r="175" spans="20:20" ht="14.25" customHeight="1" x14ac:dyDescent="0.25">
      <c r="T175" t="str">
        <f>IF($Q175="Aprueba",COUNTIF($Q$2:$Q175,"Aprueba"),"")</f>
        <v/>
      </c>
    </row>
    <row r="176" spans="20:20" ht="14.25" customHeight="1" x14ac:dyDescent="0.25">
      <c r="T176" t="str">
        <f>IF($Q176="Aprueba",COUNTIF($Q$2:$Q176,"Aprueba"),"")</f>
        <v/>
      </c>
    </row>
    <row r="177" spans="20:20" ht="14.25" customHeight="1" x14ac:dyDescent="0.25">
      <c r="T177" t="str">
        <f>IF($Q177="Aprueba",COUNTIF($Q$2:$Q177,"Aprueba"),"")</f>
        <v/>
      </c>
    </row>
    <row r="178" spans="20:20" ht="14.25" customHeight="1" x14ac:dyDescent="0.25">
      <c r="T178" t="str">
        <f>IF($Q178="Aprueba",COUNTIF($Q$2:$Q178,"Aprueba"),"")</f>
        <v/>
      </c>
    </row>
    <row r="179" spans="20:20" ht="14.25" customHeight="1" x14ac:dyDescent="0.25">
      <c r="T179" t="str">
        <f>IF($Q179="Aprueba",COUNTIF($Q$2:$Q179,"Aprueba"),"")</f>
        <v/>
      </c>
    </row>
    <row r="180" spans="20:20" ht="14.25" customHeight="1" x14ac:dyDescent="0.25">
      <c r="T180" t="str">
        <f>IF($Q180="Aprueba",COUNTIF($Q$2:$Q180,"Aprueba"),"")</f>
        <v/>
      </c>
    </row>
    <row r="181" spans="20:20" ht="14.25" customHeight="1" x14ac:dyDescent="0.25">
      <c r="T181" t="str">
        <f>IF($Q181="Aprueba",COUNTIF($Q$2:$Q181,"Aprueba"),"")</f>
        <v/>
      </c>
    </row>
    <row r="182" spans="20:20" ht="14.25" customHeight="1" x14ac:dyDescent="0.25">
      <c r="T182" t="str">
        <f>IF($Q182="Aprueba",COUNTIF($Q$2:$Q182,"Aprueba"),"")</f>
        <v/>
      </c>
    </row>
    <row r="183" spans="20:20" ht="14.25" customHeight="1" x14ac:dyDescent="0.25">
      <c r="T183" t="str">
        <f>IF($Q183="Aprueba",COUNTIF($Q$2:$Q183,"Aprueba"),"")</f>
        <v/>
      </c>
    </row>
    <row r="184" spans="20:20" ht="14.25" customHeight="1" x14ac:dyDescent="0.25">
      <c r="T184" t="str">
        <f>IF($Q184="Aprueba",COUNTIF($Q$2:$Q184,"Aprueba"),"")</f>
        <v/>
      </c>
    </row>
    <row r="185" spans="20:20" ht="14.25" customHeight="1" x14ac:dyDescent="0.25">
      <c r="T185" t="str">
        <f>IF($Q185="Aprueba",COUNTIF($Q$2:$Q185,"Aprueba"),"")</f>
        <v/>
      </c>
    </row>
    <row r="186" spans="20:20" ht="14.25" customHeight="1" x14ac:dyDescent="0.25">
      <c r="T186" t="str">
        <f>IF($Q186="Aprueba",COUNTIF($Q$2:$Q186,"Aprueba"),"")</f>
        <v/>
      </c>
    </row>
    <row r="187" spans="20:20" ht="14.25" customHeight="1" x14ac:dyDescent="0.25">
      <c r="T187" t="str">
        <f>IF($Q187="Aprueba",COUNTIF($Q$2:$Q187,"Aprueba"),"")</f>
        <v/>
      </c>
    </row>
    <row r="188" spans="20:20" ht="14.25" customHeight="1" x14ac:dyDescent="0.25">
      <c r="T188" t="str">
        <f>IF($Q188="Aprueba",COUNTIF($Q$2:$Q188,"Aprueba"),"")</f>
        <v/>
      </c>
    </row>
    <row r="189" spans="20:20" ht="14.25" customHeight="1" x14ac:dyDescent="0.25">
      <c r="T189" t="str">
        <f>IF($Q189="Aprueba",COUNTIF($Q$2:$Q189,"Aprueba"),"")</f>
        <v/>
      </c>
    </row>
    <row r="190" spans="20:20" ht="14.25" customHeight="1" x14ac:dyDescent="0.25">
      <c r="T190" t="str">
        <f>IF($Q190="Aprueba",COUNTIF($Q$2:$Q190,"Aprueba"),"")</f>
        <v/>
      </c>
    </row>
    <row r="191" spans="20:20" ht="14.25" customHeight="1" x14ac:dyDescent="0.25">
      <c r="T191" t="str">
        <f>IF($Q191="Aprueba",COUNTIF($Q$2:$Q191,"Aprueba"),"")</f>
        <v/>
      </c>
    </row>
    <row r="192" spans="20:20" ht="14.25" customHeight="1" x14ac:dyDescent="0.25">
      <c r="T192" t="str">
        <f>IF($Q192="Aprueba",COUNTIF($Q$2:$Q192,"Aprueba"),"")</f>
        <v/>
      </c>
    </row>
    <row r="193" spans="20:20" ht="14.25" customHeight="1" x14ac:dyDescent="0.25">
      <c r="T193" t="str">
        <f>IF($Q193="Aprueba",COUNTIF($Q$2:$Q193,"Aprueba"),"")</f>
        <v/>
      </c>
    </row>
    <row r="194" spans="20:20" ht="14.25" customHeight="1" x14ac:dyDescent="0.25">
      <c r="T194" t="str">
        <f>IF($Q194="Aprueba",COUNTIF($Q$2:$Q194,"Aprueba"),"")</f>
        <v/>
      </c>
    </row>
    <row r="195" spans="20:20" ht="14.25" customHeight="1" x14ac:dyDescent="0.25">
      <c r="T195" t="str">
        <f>IF($Q195="Aprueba",COUNTIF($Q$2:$Q195,"Aprueba"),"")</f>
        <v/>
      </c>
    </row>
    <row r="196" spans="20:20" ht="14.25" customHeight="1" x14ac:dyDescent="0.25">
      <c r="T196" t="str">
        <f>IF($Q196="Aprueba",COUNTIF($Q$2:$Q196,"Aprueba"),"")</f>
        <v/>
      </c>
    </row>
    <row r="197" spans="20:20" ht="14.25" customHeight="1" x14ac:dyDescent="0.25">
      <c r="T197" t="str">
        <f>IF($Q197="Aprueba",COUNTIF($Q$2:$Q197,"Aprueba"),"")</f>
        <v/>
      </c>
    </row>
    <row r="198" spans="20:20" ht="14.25" customHeight="1" x14ac:dyDescent="0.25">
      <c r="T198" t="str">
        <f>IF($Q198="Aprueba",COUNTIF($Q$2:$Q198,"Aprueba"),"")</f>
        <v/>
      </c>
    </row>
    <row r="199" spans="20:20" ht="14.25" customHeight="1" x14ac:dyDescent="0.25">
      <c r="T199" t="str">
        <f>IF($Q199="Aprueba",COUNTIF($Q$2:$Q199,"Aprueba"),"")</f>
        <v/>
      </c>
    </row>
    <row r="200" spans="20:20" ht="14.25" customHeight="1" x14ac:dyDescent="0.25">
      <c r="T200" t="str">
        <f>IF($Q200="Aprueba",COUNTIF($Q$2:$Q200,"Aprueba"),"")</f>
        <v/>
      </c>
    </row>
    <row r="201" spans="20:20" ht="14.25" customHeight="1" x14ac:dyDescent="0.25">
      <c r="T201" t="str">
        <f>IF($Q201="Aprueba",COUNTIF($Q$2:$Q201,"Aprueba"),"")</f>
        <v/>
      </c>
    </row>
    <row r="202" spans="20:20" ht="14.25" customHeight="1" x14ac:dyDescent="0.25">
      <c r="T202" t="str">
        <f>IF($Q202="Aprueba",COUNTIF($Q$2:$Q202,"Aprueba"),"")</f>
        <v/>
      </c>
    </row>
    <row r="203" spans="20:20" ht="14.25" customHeight="1" x14ac:dyDescent="0.25">
      <c r="T203" t="str">
        <f>IF($Q203="Aprueba",COUNTIF($Q$2:$Q203,"Aprueba"),"")</f>
        <v/>
      </c>
    </row>
    <row r="204" spans="20:20" ht="14.25" customHeight="1" x14ac:dyDescent="0.25">
      <c r="T204" t="str">
        <f>IF($Q204="Aprueba",COUNTIF($Q$2:$Q204,"Aprueba"),"")</f>
        <v/>
      </c>
    </row>
    <row r="205" spans="20:20" ht="14.25" customHeight="1" x14ac:dyDescent="0.25">
      <c r="T205" t="str">
        <f>IF($Q205="Aprueba",COUNTIF($Q$2:$Q205,"Aprueba"),"")</f>
        <v/>
      </c>
    </row>
    <row r="206" spans="20:20" ht="14.25" customHeight="1" x14ac:dyDescent="0.25">
      <c r="T206" t="str">
        <f>IF($Q206="Aprueba",COUNTIF($Q$2:$Q206,"Aprueba"),"")</f>
        <v/>
      </c>
    </row>
    <row r="207" spans="20:20" ht="14.25" customHeight="1" x14ac:dyDescent="0.25">
      <c r="T207" t="str">
        <f>IF($Q207="Aprueba",COUNTIF($Q$2:$Q207,"Aprueba"),"")</f>
        <v/>
      </c>
    </row>
    <row r="208" spans="20:20" ht="14.25" customHeight="1" x14ac:dyDescent="0.25">
      <c r="T208" t="str">
        <f>IF($Q208="Aprueba",COUNTIF($Q$2:$Q208,"Aprueba"),"")</f>
        <v/>
      </c>
    </row>
    <row r="209" spans="20:20" ht="14.25" customHeight="1" x14ac:dyDescent="0.25">
      <c r="T209" t="str">
        <f>IF($Q209="Aprueba",COUNTIF($Q$2:$Q209,"Aprueba"),"")</f>
        <v/>
      </c>
    </row>
    <row r="210" spans="20:20" ht="14.25" customHeight="1" x14ac:dyDescent="0.25">
      <c r="T210" t="str">
        <f>IF($Q210="Aprueba",COUNTIF($Q$2:$Q210,"Aprueba"),"")</f>
        <v/>
      </c>
    </row>
    <row r="211" spans="20:20" ht="14.25" customHeight="1" x14ac:dyDescent="0.25">
      <c r="T211" t="str">
        <f>IF($Q211="Aprueba",COUNTIF($Q$2:$Q211,"Aprueba"),"")</f>
        <v/>
      </c>
    </row>
    <row r="212" spans="20:20" ht="14.25" customHeight="1" x14ac:dyDescent="0.25">
      <c r="T212" t="str">
        <f>IF($Q212="Aprueba",COUNTIF($Q$2:$Q212,"Aprueba"),"")</f>
        <v/>
      </c>
    </row>
    <row r="213" spans="20:20" ht="14.25" customHeight="1" x14ac:dyDescent="0.25">
      <c r="T213" t="str">
        <f>IF($Q213="Aprueba",COUNTIF($Q$2:$Q213,"Aprueba"),"")</f>
        <v/>
      </c>
    </row>
    <row r="214" spans="20:20" ht="14.25" customHeight="1" x14ac:dyDescent="0.25">
      <c r="T214" t="str">
        <f>IF($Q214="Aprueba",COUNTIF($Q$2:$Q214,"Aprueba"),"")</f>
        <v/>
      </c>
    </row>
    <row r="215" spans="20:20" ht="14.25" customHeight="1" x14ac:dyDescent="0.25">
      <c r="T215" t="str">
        <f>IF($Q215="Aprueba",COUNTIF($Q$2:$Q215,"Aprueba"),"")</f>
        <v/>
      </c>
    </row>
    <row r="216" spans="20:20" ht="14.25" customHeight="1" x14ac:dyDescent="0.25">
      <c r="T216" t="str">
        <f>IF($Q216="Aprueba",COUNTIF($Q$2:$Q216,"Aprueba"),"")</f>
        <v/>
      </c>
    </row>
    <row r="217" spans="20:20" ht="14.25" customHeight="1" x14ac:dyDescent="0.25">
      <c r="T217" t="str">
        <f>IF($Q217="Aprueba",COUNTIF($Q$2:$Q217,"Aprueba"),"")</f>
        <v/>
      </c>
    </row>
    <row r="218" spans="20:20" ht="14.25" customHeight="1" x14ac:dyDescent="0.25">
      <c r="T218" t="str">
        <f>IF($Q218="Aprueba",COUNTIF($Q$2:$Q218,"Aprueba"),"")</f>
        <v/>
      </c>
    </row>
    <row r="219" spans="20:20" ht="14.25" customHeight="1" x14ac:dyDescent="0.25">
      <c r="T219" t="str">
        <f>IF($Q219="Aprueba",COUNTIF($Q$2:$Q219,"Aprueba"),"")</f>
        <v/>
      </c>
    </row>
    <row r="220" spans="20:20" ht="14.25" customHeight="1" x14ac:dyDescent="0.25">
      <c r="T220" t="str">
        <f>IF($Q220="Aprueba",COUNTIF($Q$2:$Q220,"Aprueba"),"")</f>
        <v/>
      </c>
    </row>
    <row r="221" spans="20:20" ht="14.25" customHeight="1" x14ac:dyDescent="0.25">
      <c r="T221" t="str">
        <f>IF($Q221="Aprueba",COUNTIF($Q$2:$Q221,"Aprueba"),"")</f>
        <v/>
      </c>
    </row>
    <row r="222" spans="20:20" ht="14.25" customHeight="1" x14ac:dyDescent="0.25">
      <c r="T222" t="str">
        <f>IF($Q222="Aprueba",COUNTIF($Q$2:$Q222,"Aprueba"),"")</f>
        <v/>
      </c>
    </row>
    <row r="223" spans="20:20" ht="14.25" customHeight="1" x14ac:dyDescent="0.25">
      <c r="T223" t="str">
        <f>IF($Q223="Aprueba",COUNTIF($Q$2:$Q223,"Aprueba"),"")</f>
        <v/>
      </c>
    </row>
    <row r="224" spans="20:20" ht="14.25" customHeight="1" x14ac:dyDescent="0.25">
      <c r="T224" t="str">
        <f>IF($Q224="Aprueba",COUNTIF($Q$2:$Q224,"Aprueba"),"")</f>
        <v/>
      </c>
    </row>
    <row r="225" spans="20:20" ht="14.25" customHeight="1" x14ac:dyDescent="0.25">
      <c r="T225" t="str">
        <f>IF($Q225="Aprueba",COUNTIF($Q$2:$Q225,"Aprueba"),"")</f>
        <v/>
      </c>
    </row>
    <row r="226" spans="20:20" ht="14.25" customHeight="1" x14ac:dyDescent="0.25">
      <c r="T226" t="str">
        <f>IF($Q226="Aprueba",COUNTIF($Q$2:$Q226,"Aprueba"),"")</f>
        <v/>
      </c>
    </row>
    <row r="227" spans="20:20" ht="14.25" customHeight="1" x14ac:dyDescent="0.25">
      <c r="T227" t="str">
        <f>IF($Q227="Aprueba",COUNTIF($Q$2:$Q227,"Aprueba"),"")</f>
        <v/>
      </c>
    </row>
    <row r="228" spans="20:20" ht="14.25" customHeight="1" x14ac:dyDescent="0.25">
      <c r="T228" t="str">
        <f>IF($Q228="Aprueba",COUNTIF($Q$2:$Q228,"Aprueba"),"")</f>
        <v/>
      </c>
    </row>
    <row r="229" spans="20:20" ht="14.25" customHeight="1" x14ac:dyDescent="0.25">
      <c r="T229" t="str">
        <f>IF($Q229="Aprueba",COUNTIF($Q$2:$Q229,"Aprueba"),"")</f>
        <v/>
      </c>
    </row>
    <row r="230" spans="20:20" ht="14.25" customHeight="1" x14ac:dyDescent="0.25">
      <c r="T230" t="str">
        <f>IF($Q230="Aprueba",COUNTIF($Q$2:$Q230,"Aprueba"),"")</f>
        <v/>
      </c>
    </row>
    <row r="231" spans="20:20" ht="14.25" customHeight="1" x14ac:dyDescent="0.25">
      <c r="T231" t="str">
        <f>IF($Q231="Aprueba",COUNTIF($Q$2:$Q231,"Aprueba"),"")</f>
        <v/>
      </c>
    </row>
    <row r="232" spans="20:20" ht="14.25" customHeight="1" x14ac:dyDescent="0.25">
      <c r="T232" t="str">
        <f>IF($Q232="Aprueba",COUNTIF($Q$2:$Q232,"Aprueba"),"")</f>
        <v/>
      </c>
    </row>
    <row r="233" spans="20:20" ht="14.25" customHeight="1" x14ac:dyDescent="0.25">
      <c r="T233" t="str">
        <f>IF($Q233="Aprueba",COUNTIF($Q$2:$Q233,"Aprueba"),"")</f>
        <v/>
      </c>
    </row>
    <row r="234" spans="20:20" ht="14.25" customHeight="1" x14ac:dyDescent="0.25">
      <c r="T234" t="str">
        <f>IF($Q234="Aprueba",COUNTIF($Q$2:$Q234,"Aprueba"),"")</f>
        <v/>
      </c>
    </row>
    <row r="235" spans="20:20" ht="14.25" customHeight="1" x14ac:dyDescent="0.25">
      <c r="T235" t="str">
        <f>IF($Q235="Aprueba",COUNTIF($Q$2:$Q235,"Aprueba"),"")</f>
        <v/>
      </c>
    </row>
    <row r="236" spans="20:20" ht="14.25" customHeight="1" x14ac:dyDescent="0.25">
      <c r="T236" t="str">
        <f>IF($Q236="Aprueba",COUNTIF($Q$2:$Q236,"Aprueba"),"")</f>
        <v/>
      </c>
    </row>
    <row r="237" spans="20:20" ht="14.25" customHeight="1" x14ac:dyDescent="0.25">
      <c r="T237" t="str">
        <f>IF($Q237="Aprueba",COUNTIF($Q$2:$Q237,"Aprueba"),"")</f>
        <v/>
      </c>
    </row>
    <row r="238" spans="20:20" ht="14.25" customHeight="1" x14ac:dyDescent="0.25">
      <c r="T238" t="str">
        <f>IF($Q238="Aprueba",COUNTIF($Q$2:$Q238,"Aprueba"),"")</f>
        <v/>
      </c>
    </row>
    <row r="239" spans="20:20" ht="14.25" customHeight="1" x14ac:dyDescent="0.25">
      <c r="T239" t="str">
        <f>IF($Q239="Aprueba",COUNTIF($Q$2:$Q239,"Aprueba"),"")</f>
        <v/>
      </c>
    </row>
    <row r="240" spans="20:20" ht="14.25" customHeight="1" x14ac:dyDescent="0.25">
      <c r="T240" t="str">
        <f>IF($Q240="Aprueba",COUNTIF($Q$2:$Q240,"Aprueba"),"")</f>
        <v/>
      </c>
    </row>
    <row r="241" spans="20:20" ht="14.25" customHeight="1" x14ac:dyDescent="0.25">
      <c r="T241" t="str">
        <f>IF($Q241="Aprueba",COUNTIF($Q$2:$Q241,"Aprueba"),"")</f>
        <v/>
      </c>
    </row>
    <row r="242" spans="20:20" ht="14.25" customHeight="1" x14ac:dyDescent="0.25">
      <c r="T242" t="str">
        <f>IF($Q242="Aprueba",COUNTIF($Q$2:$Q242,"Aprueba"),"")</f>
        <v/>
      </c>
    </row>
    <row r="243" spans="20:20" ht="14.25" customHeight="1" x14ac:dyDescent="0.25">
      <c r="T243" t="str">
        <f>IF($Q243="Aprueba",COUNTIF($Q$2:$Q243,"Aprueba"),"")</f>
        <v/>
      </c>
    </row>
    <row r="244" spans="20:20" ht="14.25" customHeight="1" x14ac:dyDescent="0.25">
      <c r="T244" t="str">
        <f>IF($Q244="Aprueba",COUNTIF($Q$2:$Q244,"Aprueba"),"")</f>
        <v/>
      </c>
    </row>
    <row r="245" spans="20:20" ht="14.25" customHeight="1" x14ac:dyDescent="0.25">
      <c r="T245" t="str">
        <f>IF($Q245="Aprueba",COUNTIF($Q$2:$Q245,"Aprueba"),"")</f>
        <v/>
      </c>
    </row>
    <row r="246" spans="20:20" ht="14.25" customHeight="1" x14ac:dyDescent="0.25">
      <c r="T246" t="str">
        <f>IF($Q246="Aprueba",COUNTIF($Q$2:$Q246,"Aprueba"),"")</f>
        <v/>
      </c>
    </row>
    <row r="247" spans="20:20" ht="14.25" customHeight="1" x14ac:dyDescent="0.25">
      <c r="T247" t="str">
        <f>IF($Q247="Aprueba",COUNTIF($Q$2:$Q247,"Aprueba"),"")</f>
        <v/>
      </c>
    </row>
    <row r="248" spans="20:20" ht="14.25" customHeight="1" x14ac:dyDescent="0.25">
      <c r="T248" t="str">
        <f>IF($Q248="Aprueba",COUNTIF($Q$2:$Q248,"Aprueba"),"")</f>
        <v/>
      </c>
    </row>
    <row r="249" spans="20:20" ht="14.25" customHeight="1" x14ac:dyDescent="0.25">
      <c r="T249" t="str">
        <f>IF($Q249="Aprueba",COUNTIF($Q$2:$Q249,"Aprueba"),"")</f>
        <v/>
      </c>
    </row>
    <row r="250" spans="20:20" ht="14.25" customHeight="1" x14ac:dyDescent="0.25">
      <c r="T250" t="str">
        <f>IF($Q250="Aprueba",COUNTIF($Q$2:$Q250,"Aprueba"),"")</f>
        <v/>
      </c>
    </row>
    <row r="251" spans="20:20" ht="14.25" customHeight="1" x14ac:dyDescent="0.25">
      <c r="T251" t="str">
        <f>IF($Q251="Aprueba",COUNTIF($Q$2:$Q251,"Aprueba"),"")</f>
        <v/>
      </c>
    </row>
    <row r="252" spans="20:20" ht="14.25" customHeight="1" x14ac:dyDescent="0.25">
      <c r="T252" t="str">
        <f>IF($Q252="Aprueba",COUNTIF($Q$2:$Q252,"Aprueba"),"")</f>
        <v/>
      </c>
    </row>
    <row r="253" spans="20:20" ht="14.25" customHeight="1" x14ac:dyDescent="0.25">
      <c r="T253" t="str">
        <f>IF($Q253="Aprueba",COUNTIF($Q$2:$Q253,"Aprueba"),"")</f>
        <v/>
      </c>
    </row>
    <row r="254" spans="20:20" ht="14.25" customHeight="1" x14ac:dyDescent="0.25">
      <c r="T254" t="str">
        <f>IF($Q254="Aprueba",COUNTIF($Q$2:$Q254,"Aprueba"),"")</f>
        <v/>
      </c>
    </row>
    <row r="255" spans="20:20" ht="14.25" customHeight="1" x14ac:dyDescent="0.25">
      <c r="T255" t="str">
        <f>IF($Q255="Aprueba",COUNTIF($Q$2:$Q255,"Aprueba"),"")</f>
        <v/>
      </c>
    </row>
    <row r="256" spans="20:20" ht="14.25" customHeight="1" x14ac:dyDescent="0.25">
      <c r="T256" t="str">
        <f>IF($Q256="Aprueba",COUNTIF($Q$2:$Q256,"Aprueba"),"")</f>
        <v/>
      </c>
    </row>
    <row r="257" spans="20:20" ht="14.25" customHeight="1" x14ac:dyDescent="0.25">
      <c r="T257" t="str">
        <f>IF($Q257="Aprueba",COUNTIF($Q$2:$Q257,"Aprueba"),"")</f>
        <v/>
      </c>
    </row>
    <row r="258" spans="20:20" ht="14.25" customHeight="1" x14ac:dyDescent="0.25">
      <c r="T258" t="str">
        <f>IF($Q258="Aprueba",COUNTIF($Q$2:$Q258,"Aprueba"),"")</f>
        <v/>
      </c>
    </row>
    <row r="259" spans="20:20" ht="14.25" customHeight="1" x14ac:dyDescent="0.25">
      <c r="T259" t="str">
        <f>IF($Q259="Aprueba",COUNTIF($Q$2:$Q259,"Aprueba"),"")</f>
        <v/>
      </c>
    </row>
    <row r="260" spans="20:20" ht="14.25" customHeight="1" x14ac:dyDescent="0.25">
      <c r="T260" t="str">
        <f>IF($Q260="Aprueba",COUNTIF($Q$2:$Q260,"Aprueba"),"")</f>
        <v/>
      </c>
    </row>
    <row r="261" spans="20:20" ht="14.25" customHeight="1" x14ac:dyDescent="0.25">
      <c r="T261" t="str">
        <f>IF($Q261="Aprueba",COUNTIF($Q$2:$Q261,"Aprueba"),"")</f>
        <v/>
      </c>
    </row>
    <row r="262" spans="20:20" ht="14.25" customHeight="1" x14ac:dyDescent="0.25">
      <c r="T262" t="str">
        <f>IF($Q262="Aprueba",COUNTIF($Q$2:$Q262,"Aprueba"),"")</f>
        <v/>
      </c>
    </row>
    <row r="263" spans="20:20" ht="14.25" customHeight="1" x14ac:dyDescent="0.25">
      <c r="T263" t="str">
        <f>IF($Q263="Aprueba",COUNTIF($Q$2:$Q263,"Aprueba"),"")</f>
        <v/>
      </c>
    </row>
    <row r="264" spans="20:20" ht="14.25" customHeight="1" x14ac:dyDescent="0.25">
      <c r="T264" t="str">
        <f>IF($Q264="Aprueba",COUNTIF($Q$2:$Q264,"Aprueba"),"")</f>
        <v/>
      </c>
    </row>
    <row r="265" spans="20:20" ht="14.25" customHeight="1" x14ac:dyDescent="0.25">
      <c r="T265" t="str">
        <f>IF($Q265="Aprueba",COUNTIF($Q$2:$Q265,"Aprueba"),"")</f>
        <v/>
      </c>
    </row>
    <row r="266" spans="20:20" ht="14.25" customHeight="1" x14ac:dyDescent="0.25">
      <c r="T266" t="str">
        <f>IF($Q266="Aprueba",COUNTIF($Q$2:$Q266,"Aprueba"),"")</f>
        <v/>
      </c>
    </row>
    <row r="267" spans="20:20" ht="14.25" customHeight="1" x14ac:dyDescent="0.25">
      <c r="T267" t="str">
        <f>IF($Q267="Aprueba",COUNTIF($Q$2:$Q267,"Aprueba"),"")</f>
        <v/>
      </c>
    </row>
    <row r="268" spans="20:20" ht="14.25" customHeight="1" x14ac:dyDescent="0.25">
      <c r="T268" t="str">
        <f>IF($Q268="Aprueba",COUNTIF($Q$2:$Q268,"Aprueba"),"")</f>
        <v/>
      </c>
    </row>
    <row r="269" spans="20:20" ht="14.25" customHeight="1" x14ac:dyDescent="0.25">
      <c r="T269" t="str">
        <f>IF($Q269="Aprueba",COUNTIF($Q$2:$Q269,"Aprueba"),"")</f>
        <v/>
      </c>
    </row>
    <row r="270" spans="20:20" ht="14.25" customHeight="1" x14ac:dyDescent="0.25">
      <c r="T270" t="str">
        <f>IF($Q270="Aprueba",COUNTIF($Q$2:$Q270,"Aprueba"),"")</f>
        <v/>
      </c>
    </row>
    <row r="271" spans="20:20" ht="14.25" customHeight="1" x14ac:dyDescent="0.25">
      <c r="T271" t="str">
        <f>IF($Q271="Aprueba",COUNTIF($Q$2:$Q271,"Aprueba"),"")</f>
        <v/>
      </c>
    </row>
    <row r="272" spans="20:20" ht="14.25" customHeight="1" x14ac:dyDescent="0.25">
      <c r="T272" t="str">
        <f>IF($Q272="Aprueba",COUNTIF($Q$2:$Q272,"Aprueba"),"")</f>
        <v/>
      </c>
    </row>
    <row r="273" spans="20:20" ht="14.25" customHeight="1" x14ac:dyDescent="0.25">
      <c r="T273" t="str">
        <f>IF($Q273="Aprueba",COUNTIF($Q$2:$Q273,"Aprueba"),"")</f>
        <v/>
      </c>
    </row>
    <row r="274" spans="20:20" ht="14.25" customHeight="1" x14ac:dyDescent="0.25">
      <c r="T274" t="str">
        <f>IF($Q274="Aprueba",COUNTIF($Q$2:$Q274,"Aprueba"),"")</f>
        <v/>
      </c>
    </row>
    <row r="275" spans="20:20" ht="14.25" customHeight="1" x14ac:dyDescent="0.25">
      <c r="T275" t="str">
        <f>IF($Q275="Aprueba",COUNTIF($Q$2:$Q275,"Aprueba"),"")</f>
        <v/>
      </c>
    </row>
    <row r="276" spans="20:20" ht="14.25" customHeight="1" x14ac:dyDescent="0.25">
      <c r="T276" t="str">
        <f>IF($Q276="Aprueba",COUNTIF($Q$2:$Q276,"Aprueba"),"")</f>
        <v/>
      </c>
    </row>
    <row r="277" spans="20:20" ht="14.25" customHeight="1" x14ac:dyDescent="0.25">
      <c r="T277" t="str">
        <f>IF($Q277="Aprueba",COUNTIF($Q$2:$Q277,"Aprueba"),"")</f>
        <v/>
      </c>
    </row>
    <row r="278" spans="20:20" ht="14.25" customHeight="1" x14ac:dyDescent="0.25">
      <c r="T278" t="str">
        <f>IF($Q278="Aprueba",COUNTIF($Q$2:$Q278,"Aprueba"),"")</f>
        <v/>
      </c>
    </row>
    <row r="279" spans="20:20" ht="14.25" customHeight="1" x14ac:dyDescent="0.25">
      <c r="T279" t="str">
        <f>IF($Q279="Aprueba",COUNTIF($Q$2:$Q279,"Aprueba"),"")</f>
        <v/>
      </c>
    </row>
    <row r="280" spans="20:20" ht="14.25" customHeight="1" x14ac:dyDescent="0.25">
      <c r="T280" t="str">
        <f>IF($Q280="Aprueba",COUNTIF($Q$2:$Q280,"Aprueba"),"")</f>
        <v/>
      </c>
    </row>
    <row r="281" spans="20:20" ht="14.25" customHeight="1" x14ac:dyDescent="0.25">
      <c r="T281" t="str">
        <f>IF($Q281="Aprueba",COUNTIF($Q$2:$Q281,"Aprueba"),"")</f>
        <v/>
      </c>
    </row>
    <row r="282" spans="20:20" ht="14.25" customHeight="1" x14ac:dyDescent="0.25">
      <c r="T282" t="str">
        <f>IF($Q282="Aprueba",COUNTIF($Q$2:$Q282,"Aprueba"),"")</f>
        <v/>
      </c>
    </row>
    <row r="283" spans="20:20" ht="14.25" customHeight="1" x14ac:dyDescent="0.25">
      <c r="T283" t="str">
        <f>IF($Q283="Aprueba",COUNTIF($Q$2:$Q283,"Aprueba"),"")</f>
        <v/>
      </c>
    </row>
    <row r="284" spans="20:20" ht="14.25" customHeight="1" x14ac:dyDescent="0.25">
      <c r="T284" t="str">
        <f>IF($Q284="Aprueba",COUNTIF($Q$2:$Q284,"Aprueba"),"")</f>
        <v/>
      </c>
    </row>
    <row r="285" spans="20:20" ht="14.25" customHeight="1" x14ac:dyDescent="0.25">
      <c r="T285" t="str">
        <f>IF($Q285="Aprueba",COUNTIF($Q$2:$Q285,"Aprueba"),"")</f>
        <v/>
      </c>
    </row>
    <row r="286" spans="20:20" ht="14.25" customHeight="1" x14ac:dyDescent="0.25">
      <c r="T286" t="str">
        <f>IF($Q286="Aprueba",COUNTIF($Q$2:$Q286,"Aprueba"),"")</f>
        <v/>
      </c>
    </row>
    <row r="287" spans="20:20" ht="14.25" customHeight="1" x14ac:dyDescent="0.25">
      <c r="T287" t="str">
        <f>IF($Q287="Aprueba",COUNTIF($Q$2:$Q287,"Aprueba"),"")</f>
        <v/>
      </c>
    </row>
    <row r="288" spans="20:20" ht="14.25" customHeight="1" x14ac:dyDescent="0.25">
      <c r="T288" t="str">
        <f>IF($Q288="Aprueba",COUNTIF($Q$2:$Q288,"Aprueba"),"")</f>
        <v/>
      </c>
    </row>
    <row r="289" spans="20:20" ht="14.25" customHeight="1" x14ac:dyDescent="0.25">
      <c r="T289" t="str">
        <f>IF($Q289="Aprueba",COUNTIF($Q$2:$Q289,"Aprueba"),"")</f>
        <v/>
      </c>
    </row>
    <row r="290" spans="20:20" ht="14.25" customHeight="1" x14ac:dyDescent="0.25">
      <c r="T290" t="str">
        <f>IF($Q290="Aprueba",COUNTIF($Q$2:$Q290,"Aprueba"),"")</f>
        <v/>
      </c>
    </row>
    <row r="291" spans="20:20" ht="14.25" customHeight="1" x14ac:dyDescent="0.25">
      <c r="T291" t="str">
        <f>IF($Q291="Aprueba",COUNTIF($Q$2:$Q291,"Aprueba"),"")</f>
        <v/>
      </c>
    </row>
    <row r="292" spans="20:20" ht="14.25" customHeight="1" x14ac:dyDescent="0.25">
      <c r="T292" t="str">
        <f>IF($Q292="Aprueba",COUNTIF($Q$2:$Q292,"Aprueba"),"")</f>
        <v/>
      </c>
    </row>
    <row r="293" spans="20:20" ht="14.25" customHeight="1" x14ac:dyDescent="0.25">
      <c r="T293" t="str">
        <f>IF($Q293="Aprueba",COUNTIF($Q$2:$Q293,"Aprueba"),"")</f>
        <v/>
      </c>
    </row>
    <row r="294" spans="20:20" ht="14.25" customHeight="1" x14ac:dyDescent="0.25">
      <c r="T294" t="str">
        <f>IF($Q294="Aprueba",COUNTIF($Q$2:$Q294,"Aprueba"),"")</f>
        <v/>
      </c>
    </row>
    <row r="295" spans="20:20" ht="14.25" customHeight="1" x14ac:dyDescent="0.25">
      <c r="T295" t="str">
        <f>IF($Q295="Aprueba",COUNTIF($Q$2:$Q295,"Aprueba"),"")</f>
        <v/>
      </c>
    </row>
    <row r="296" spans="20:20" ht="14.25" customHeight="1" x14ac:dyDescent="0.25">
      <c r="T296" t="str">
        <f>IF($Q296="Aprueba",COUNTIF($Q$2:$Q296,"Aprueba"),"")</f>
        <v/>
      </c>
    </row>
    <row r="297" spans="20:20" ht="14.25" customHeight="1" x14ac:dyDescent="0.25">
      <c r="T297" t="str">
        <f>IF($Q297="Aprueba",COUNTIF($Q$2:$Q297,"Aprueba"),"")</f>
        <v/>
      </c>
    </row>
    <row r="298" spans="20:20" ht="14.25" customHeight="1" x14ac:dyDescent="0.25">
      <c r="T298" t="str">
        <f>IF($Q298="Aprueba",COUNTIF($Q$2:$Q298,"Aprueba"),"")</f>
        <v/>
      </c>
    </row>
    <row r="299" spans="20:20" ht="14.25" customHeight="1" x14ac:dyDescent="0.25">
      <c r="T299" t="str">
        <f>IF($Q299="Aprueba",COUNTIF($Q$2:$Q299,"Aprueba"),"")</f>
        <v/>
      </c>
    </row>
    <row r="300" spans="20:20" ht="14.25" customHeight="1" x14ac:dyDescent="0.25">
      <c r="T300" t="str">
        <f>IF($Q300="Aprueba",COUNTIF($Q$2:$Q300,"Aprueba"),"")</f>
        <v/>
      </c>
    </row>
    <row r="301" spans="20:20" ht="14.25" customHeight="1" x14ac:dyDescent="0.25">
      <c r="T301" t="str">
        <f>IF($Q301="Aprueba",COUNTIF($Q$2:$Q301,"Aprueba"),"")</f>
        <v/>
      </c>
    </row>
    <row r="302" spans="20:20" ht="14.25" customHeight="1" x14ac:dyDescent="0.25">
      <c r="T302" t="str">
        <f>IF($Q302="Aprueba",COUNTIF($Q$2:$Q302,"Aprueba"),"")</f>
        <v/>
      </c>
    </row>
    <row r="303" spans="20:20" ht="14.25" customHeight="1" x14ac:dyDescent="0.25">
      <c r="T303" t="str">
        <f>IF($Q303="Aprueba",COUNTIF($Q$2:$Q303,"Aprueba"),"")</f>
        <v/>
      </c>
    </row>
    <row r="304" spans="20:20" ht="14.25" customHeight="1" x14ac:dyDescent="0.25">
      <c r="T304" t="str">
        <f>IF($Q304="Aprueba",COUNTIF($Q$2:$Q304,"Aprueba"),"")</f>
        <v/>
      </c>
    </row>
    <row r="305" spans="20:20" ht="14.25" customHeight="1" x14ac:dyDescent="0.25">
      <c r="T305" t="str">
        <f>IF($Q305="Aprueba",COUNTIF($Q$2:$Q305,"Aprueba"),"")</f>
        <v/>
      </c>
    </row>
    <row r="306" spans="20:20" ht="14.25" customHeight="1" x14ac:dyDescent="0.25">
      <c r="T306" t="str">
        <f>IF($Q306="Aprueba",COUNTIF($Q$2:$Q306,"Aprueba"),"")</f>
        <v/>
      </c>
    </row>
    <row r="307" spans="20:20" ht="14.25" customHeight="1" x14ac:dyDescent="0.25">
      <c r="T307" t="str">
        <f>IF($Q307="Aprueba",COUNTIF($Q$2:$Q307,"Aprueba"),"")</f>
        <v/>
      </c>
    </row>
    <row r="308" spans="20:20" ht="14.25" customHeight="1" x14ac:dyDescent="0.25">
      <c r="T308" t="str">
        <f>IF($Q308="Aprueba",COUNTIF($Q$2:$Q308,"Aprueba"),"")</f>
        <v/>
      </c>
    </row>
    <row r="309" spans="20:20" ht="14.25" customHeight="1" x14ac:dyDescent="0.25">
      <c r="T309" t="str">
        <f>IF($Q309="Aprueba",COUNTIF($Q$2:$Q309,"Aprueba"),"")</f>
        <v/>
      </c>
    </row>
    <row r="310" spans="20:20" ht="14.25" customHeight="1" x14ac:dyDescent="0.25">
      <c r="T310" t="str">
        <f>IF($Q310="Aprueba",COUNTIF($Q$2:$Q310,"Aprueba"),"")</f>
        <v/>
      </c>
    </row>
    <row r="311" spans="20:20" ht="14.25" customHeight="1" x14ac:dyDescent="0.25">
      <c r="T311" t="str">
        <f>IF($Q311="Aprueba",COUNTIF($Q$2:$Q311,"Aprueba"),"")</f>
        <v/>
      </c>
    </row>
    <row r="312" spans="20:20" ht="14.25" customHeight="1" x14ac:dyDescent="0.25">
      <c r="T312" t="str">
        <f>IF($Q312="Aprueba",COUNTIF($Q$2:$Q312,"Aprueba"),"")</f>
        <v/>
      </c>
    </row>
    <row r="313" spans="20:20" ht="14.25" customHeight="1" x14ac:dyDescent="0.25">
      <c r="T313" t="str">
        <f>IF($Q313="Aprueba",COUNTIF($Q$2:$Q313,"Aprueba"),"")</f>
        <v/>
      </c>
    </row>
    <row r="314" spans="20:20" ht="14.25" customHeight="1" x14ac:dyDescent="0.25">
      <c r="T314" t="str">
        <f>IF($Q314="Aprueba",COUNTIF($Q$2:$Q314,"Aprueba"),"")</f>
        <v/>
      </c>
    </row>
    <row r="315" spans="20:20" ht="14.25" customHeight="1" x14ac:dyDescent="0.25">
      <c r="T315" t="str">
        <f>IF($Q315="Aprueba",COUNTIF($Q$2:$Q315,"Aprueba"),"")</f>
        <v/>
      </c>
    </row>
    <row r="316" spans="20:20" ht="14.25" customHeight="1" x14ac:dyDescent="0.25">
      <c r="T316" t="str">
        <f>IF($Q316="Aprueba",COUNTIF($Q$2:$Q316,"Aprueba"),"")</f>
        <v/>
      </c>
    </row>
    <row r="317" spans="20:20" ht="14.25" customHeight="1" x14ac:dyDescent="0.25">
      <c r="T317" t="str">
        <f>IF($Q317="Aprueba",COUNTIF($Q$2:$Q317,"Aprueba"),"")</f>
        <v/>
      </c>
    </row>
    <row r="318" spans="20:20" ht="14.25" customHeight="1" x14ac:dyDescent="0.25">
      <c r="T318" t="str">
        <f>IF($Q318="Aprueba",COUNTIF($Q$2:$Q318,"Aprueba"),"")</f>
        <v/>
      </c>
    </row>
    <row r="319" spans="20:20" ht="14.25" customHeight="1" x14ac:dyDescent="0.25">
      <c r="T319" t="str">
        <f>IF($Q319="Aprueba",COUNTIF($Q$2:$Q319,"Aprueba"),"")</f>
        <v/>
      </c>
    </row>
    <row r="320" spans="20:20" ht="14.25" customHeight="1" x14ac:dyDescent="0.25">
      <c r="T320" t="str">
        <f>IF($Q320="Aprueba",COUNTIF($Q$2:$Q320,"Aprueba"),"")</f>
        <v/>
      </c>
    </row>
    <row r="321" spans="20:20" ht="14.25" customHeight="1" x14ac:dyDescent="0.25">
      <c r="T321" t="str">
        <f>IF($Q321="Aprueba",COUNTIF($Q$2:$Q321,"Aprueba"),"")</f>
        <v/>
      </c>
    </row>
    <row r="322" spans="20:20" ht="14.25" customHeight="1" x14ac:dyDescent="0.25">
      <c r="T322" t="str">
        <f>IF($Q322="Aprueba",COUNTIF($Q$2:$Q322,"Aprueba"),"")</f>
        <v/>
      </c>
    </row>
    <row r="323" spans="20:20" ht="14.25" customHeight="1" x14ac:dyDescent="0.25">
      <c r="T323" t="str">
        <f>IF($Q323="Aprueba",COUNTIF($Q$2:$Q323,"Aprueba"),"")</f>
        <v/>
      </c>
    </row>
    <row r="324" spans="20:20" ht="14.25" customHeight="1" x14ac:dyDescent="0.25">
      <c r="T324" t="str">
        <f>IF($Q324="Aprueba",COUNTIF($Q$2:$Q324,"Aprueba"),"")</f>
        <v/>
      </c>
    </row>
    <row r="325" spans="20:20" ht="14.25" customHeight="1" x14ac:dyDescent="0.25">
      <c r="T325" t="str">
        <f>IF($Q325="Aprueba",COUNTIF($Q$2:$Q325,"Aprueba"),"")</f>
        <v/>
      </c>
    </row>
    <row r="326" spans="20:20" ht="14.25" customHeight="1" x14ac:dyDescent="0.25">
      <c r="T326" t="str">
        <f>IF($Q326="Aprueba",COUNTIF($Q$2:$Q326,"Aprueba"),"")</f>
        <v/>
      </c>
    </row>
    <row r="327" spans="20:20" ht="14.25" customHeight="1" x14ac:dyDescent="0.25">
      <c r="T327" t="str">
        <f>IF($Q327="Aprueba",COUNTIF($Q$2:$Q327,"Aprueba"),"")</f>
        <v/>
      </c>
    </row>
    <row r="328" spans="20:20" ht="14.25" customHeight="1" x14ac:dyDescent="0.25">
      <c r="T328" t="str">
        <f>IF($Q328="Aprueba",COUNTIF($Q$2:$Q328,"Aprueba"),"")</f>
        <v/>
      </c>
    </row>
    <row r="329" spans="20:20" ht="14.25" customHeight="1" x14ac:dyDescent="0.25">
      <c r="T329" t="str">
        <f>IF($Q329="Aprueba",COUNTIF($Q$2:$Q329,"Aprueba"),"")</f>
        <v/>
      </c>
    </row>
    <row r="330" spans="20:20" ht="14.25" customHeight="1" x14ac:dyDescent="0.25">
      <c r="T330" t="str">
        <f>IF($Q330="Aprueba",COUNTIF($Q$2:$Q330,"Aprueba"),"")</f>
        <v/>
      </c>
    </row>
    <row r="331" spans="20:20" ht="14.25" customHeight="1" x14ac:dyDescent="0.25">
      <c r="T331" t="str">
        <f>IF($Q331="Aprueba",COUNTIF($Q$2:$Q331,"Aprueba"),"")</f>
        <v/>
      </c>
    </row>
    <row r="332" spans="20:20" ht="14.25" customHeight="1" x14ac:dyDescent="0.25">
      <c r="T332" t="str">
        <f>IF($Q332="Aprueba",COUNTIF($Q$2:$Q332,"Aprueba"),"")</f>
        <v/>
      </c>
    </row>
    <row r="333" spans="20:20" ht="14.25" customHeight="1" x14ac:dyDescent="0.25">
      <c r="T333" t="str">
        <f>IF($Q333="Aprueba",COUNTIF($Q$2:$Q333,"Aprueba"),"")</f>
        <v/>
      </c>
    </row>
    <row r="334" spans="20:20" ht="14.25" customHeight="1" x14ac:dyDescent="0.25">
      <c r="T334" t="str">
        <f>IF($Q334="Aprueba",COUNTIF($Q$2:$Q334,"Aprueba"),"")</f>
        <v/>
      </c>
    </row>
    <row r="335" spans="20:20" ht="14.25" customHeight="1" x14ac:dyDescent="0.25">
      <c r="T335" t="str">
        <f>IF($Q335="Aprueba",COUNTIF($Q$2:$Q335,"Aprueba"),"")</f>
        <v/>
      </c>
    </row>
    <row r="336" spans="20:20" ht="14.25" customHeight="1" x14ac:dyDescent="0.25">
      <c r="T336" t="str">
        <f>IF($Q336="Aprueba",COUNTIF($Q$2:$Q336,"Aprueba"),"")</f>
        <v/>
      </c>
    </row>
    <row r="337" spans="20:20" ht="14.25" customHeight="1" x14ac:dyDescent="0.25">
      <c r="T337" t="str">
        <f>IF($Q337="Aprueba",COUNTIF($Q$2:$Q337,"Aprueba"),"")</f>
        <v/>
      </c>
    </row>
    <row r="338" spans="20:20" ht="14.25" customHeight="1" x14ac:dyDescent="0.25">
      <c r="T338" t="str">
        <f>IF($Q338="Aprueba",COUNTIF($Q$2:$Q338,"Aprueba"),"")</f>
        <v/>
      </c>
    </row>
    <row r="339" spans="20:20" ht="14.25" customHeight="1" x14ac:dyDescent="0.25">
      <c r="T339" t="str">
        <f>IF($Q339="Aprueba",COUNTIF($Q$2:$Q339,"Aprueba"),"")</f>
        <v/>
      </c>
    </row>
    <row r="340" spans="20:20" ht="14.25" customHeight="1" x14ac:dyDescent="0.25">
      <c r="T340" t="str">
        <f>IF($Q340="Aprueba",COUNTIF($Q$2:$Q340,"Aprueba"),"")</f>
        <v/>
      </c>
    </row>
    <row r="341" spans="20:20" ht="14.25" customHeight="1" x14ac:dyDescent="0.25">
      <c r="T341" t="str">
        <f>IF($Q341="Aprueba",COUNTIF($Q$2:$Q341,"Aprueba"),"")</f>
        <v/>
      </c>
    </row>
    <row r="342" spans="20:20" ht="14.25" customHeight="1" x14ac:dyDescent="0.25">
      <c r="T342" t="str">
        <f>IF($Q342="Aprueba",COUNTIF($Q$2:$Q342,"Aprueba"),"")</f>
        <v/>
      </c>
    </row>
    <row r="343" spans="20:20" ht="14.25" customHeight="1" x14ac:dyDescent="0.25">
      <c r="T343" t="str">
        <f>IF($Q343="Aprueba",COUNTIF($Q$2:$Q343,"Aprueba"),"")</f>
        <v/>
      </c>
    </row>
    <row r="344" spans="20:20" ht="14.25" customHeight="1" x14ac:dyDescent="0.25">
      <c r="T344" t="str">
        <f>IF($Q344="Aprueba",COUNTIF($Q$2:$Q344,"Aprueba"),"")</f>
        <v/>
      </c>
    </row>
    <row r="345" spans="20:20" ht="14.25" customHeight="1" x14ac:dyDescent="0.25">
      <c r="T345" t="str">
        <f>IF($Q345="Aprueba",COUNTIF($Q$2:$Q345,"Aprueba"),"")</f>
        <v/>
      </c>
    </row>
    <row r="346" spans="20:20" ht="14.25" customHeight="1" x14ac:dyDescent="0.25">
      <c r="T346" t="str">
        <f>IF($Q346="Aprueba",COUNTIF($Q$2:$Q346,"Aprueba"),"")</f>
        <v/>
      </c>
    </row>
    <row r="347" spans="20:20" ht="14.25" customHeight="1" x14ac:dyDescent="0.25">
      <c r="T347" t="str">
        <f>IF($Q347="Aprueba",COUNTIF($Q$2:$Q347,"Aprueba"),"")</f>
        <v/>
      </c>
    </row>
    <row r="348" spans="20:20" ht="14.25" customHeight="1" x14ac:dyDescent="0.25">
      <c r="T348" t="str">
        <f>IF($Q348="Aprueba",COUNTIF($Q$2:$Q348,"Aprueba"),"")</f>
        <v/>
      </c>
    </row>
    <row r="349" spans="20:20" ht="14.25" customHeight="1" x14ac:dyDescent="0.25">
      <c r="T349" t="str">
        <f>IF($Q349="Aprueba",COUNTIF($Q$2:$Q349,"Aprueba"),"")</f>
        <v/>
      </c>
    </row>
    <row r="350" spans="20:20" ht="14.25" customHeight="1" x14ac:dyDescent="0.25">
      <c r="T350" t="str">
        <f>IF($Q350="Aprueba",COUNTIF($Q$2:$Q350,"Aprueba"),"")</f>
        <v/>
      </c>
    </row>
    <row r="351" spans="20:20" ht="14.25" customHeight="1" x14ac:dyDescent="0.25">
      <c r="T351" t="str">
        <f>IF($Q351="Aprueba",COUNTIF($Q$2:$Q351,"Aprueba"),"")</f>
        <v/>
      </c>
    </row>
    <row r="352" spans="20:20" ht="14.25" customHeight="1" x14ac:dyDescent="0.25">
      <c r="T352" t="str">
        <f>IF($Q352="Aprueba",COUNTIF($Q$2:$Q352,"Aprueba"),"")</f>
        <v/>
      </c>
    </row>
    <row r="353" spans="20:20" ht="14.25" customHeight="1" x14ac:dyDescent="0.25">
      <c r="T353" t="str">
        <f>IF($Q353="Aprueba",COUNTIF($Q$2:$Q353,"Aprueba"),"")</f>
        <v/>
      </c>
    </row>
    <row r="354" spans="20:20" ht="14.25" customHeight="1" x14ac:dyDescent="0.25">
      <c r="T354" t="str">
        <f>IF($Q354="Aprueba",COUNTIF($Q$2:$Q354,"Aprueba"),"")</f>
        <v/>
      </c>
    </row>
    <row r="355" spans="20:20" ht="14.25" customHeight="1" x14ac:dyDescent="0.25">
      <c r="T355" t="str">
        <f>IF($Q355="Aprueba",COUNTIF($Q$2:$Q355,"Aprueba"),"")</f>
        <v/>
      </c>
    </row>
    <row r="356" spans="20:20" ht="14.25" customHeight="1" x14ac:dyDescent="0.25">
      <c r="T356" t="str">
        <f>IF($Q356="Aprueba",COUNTIF($Q$2:$Q356,"Aprueba"),"")</f>
        <v/>
      </c>
    </row>
    <row r="357" spans="20:20" ht="14.25" customHeight="1" x14ac:dyDescent="0.25">
      <c r="T357" t="str">
        <f>IF($Q357="Aprueba",COUNTIF($Q$2:$Q357,"Aprueba"),"")</f>
        <v/>
      </c>
    </row>
    <row r="358" spans="20:20" ht="14.25" customHeight="1" x14ac:dyDescent="0.25">
      <c r="T358" t="str">
        <f>IF($Q358="Aprueba",COUNTIF($Q$2:$Q358,"Aprueba"),"")</f>
        <v/>
      </c>
    </row>
    <row r="359" spans="20:20" ht="14.25" customHeight="1" x14ac:dyDescent="0.25">
      <c r="T359" t="str">
        <f>IF($Q359="Aprueba",COUNTIF($Q$2:$Q359,"Aprueba"),"")</f>
        <v/>
      </c>
    </row>
    <row r="360" spans="20:20" ht="14.25" customHeight="1" x14ac:dyDescent="0.25">
      <c r="T360" t="str">
        <f>IF($Q360="Aprueba",COUNTIF($Q$2:$Q360,"Aprueba"),"")</f>
        <v/>
      </c>
    </row>
    <row r="361" spans="20:20" ht="14.25" customHeight="1" x14ac:dyDescent="0.25">
      <c r="T361" t="str">
        <f>IF($Q361="Aprueba",COUNTIF($Q$2:$Q361,"Aprueba"),"")</f>
        <v/>
      </c>
    </row>
    <row r="362" spans="20:20" ht="14.25" customHeight="1" x14ac:dyDescent="0.25">
      <c r="T362" t="str">
        <f>IF($Q362="Aprueba",COUNTIF($Q$2:$Q362,"Aprueba"),"")</f>
        <v/>
      </c>
    </row>
    <row r="363" spans="20:20" ht="14.25" customHeight="1" x14ac:dyDescent="0.25">
      <c r="T363" t="str">
        <f>IF($Q363="Aprueba",COUNTIF($Q$2:$Q363,"Aprueba"),"")</f>
        <v/>
      </c>
    </row>
    <row r="364" spans="20:20" ht="14.25" customHeight="1" x14ac:dyDescent="0.25">
      <c r="T364" t="str">
        <f>IF($Q364="Aprueba",COUNTIF($Q$2:$Q364,"Aprueba"),"")</f>
        <v/>
      </c>
    </row>
    <row r="365" spans="20:20" ht="14.25" customHeight="1" x14ac:dyDescent="0.25">
      <c r="T365" t="str">
        <f>IF($Q365="Aprueba",COUNTIF($Q$2:$Q365,"Aprueba"),"")</f>
        <v/>
      </c>
    </row>
    <row r="366" spans="20:20" ht="14.25" customHeight="1" x14ac:dyDescent="0.25">
      <c r="T366" t="str">
        <f>IF($Q366="Aprueba",COUNTIF($Q$2:$Q366,"Aprueba"),"")</f>
        <v/>
      </c>
    </row>
    <row r="367" spans="20:20" ht="14.25" customHeight="1" x14ac:dyDescent="0.25">
      <c r="T367" t="str">
        <f>IF($Q367="Aprueba",COUNTIF($Q$2:$Q367,"Aprueba"),"")</f>
        <v/>
      </c>
    </row>
    <row r="368" spans="20:20" ht="14.25" customHeight="1" x14ac:dyDescent="0.25">
      <c r="T368" t="str">
        <f>IF($Q368="Aprueba",COUNTIF($Q$2:$Q368,"Aprueba"),"")</f>
        <v/>
      </c>
    </row>
    <row r="369" spans="20:20" ht="14.25" customHeight="1" x14ac:dyDescent="0.25">
      <c r="T369" t="str">
        <f>IF($Q369="Aprueba",COUNTIF($Q$2:$Q369,"Aprueba"),"")</f>
        <v/>
      </c>
    </row>
    <row r="370" spans="20:20" ht="14.25" customHeight="1" x14ac:dyDescent="0.25">
      <c r="T370" t="str">
        <f>IF($Q370="Aprueba",COUNTIF($Q$2:$Q370,"Aprueba"),"")</f>
        <v/>
      </c>
    </row>
    <row r="371" spans="20:20" ht="14.25" customHeight="1" x14ac:dyDescent="0.25">
      <c r="T371" t="str">
        <f>IF($Q371="Aprueba",COUNTIF($Q$2:$Q371,"Aprueba"),"")</f>
        <v/>
      </c>
    </row>
    <row r="372" spans="20:20" ht="14.25" customHeight="1" x14ac:dyDescent="0.25">
      <c r="T372" t="str">
        <f>IF($Q372="Aprueba",COUNTIF($Q$2:$Q372,"Aprueba"),"")</f>
        <v/>
      </c>
    </row>
    <row r="373" spans="20:20" ht="14.25" customHeight="1" x14ac:dyDescent="0.25">
      <c r="T373" t="str">
        <f>IF($Q373="Aprueba",COUNTIF($Q$2:$Q373,"Aprueba"),"")</f>
        <v/>
      </c>
    </row>
    <row r="374" spans="20:20" ht="14.25" customHeight="1" x14ac:dyDescent="0.25">
      <c r="T374" t="str">
        <f>IF($Q374="Aprueba",COUNTIF($Q$2:$Q374,"Aprueba"),"")</f>
        <v/>
      </c>
    </row>
    <row r="375" spans="20:20" ht="14.25" customHeight="1" x14ac:dyDescent="0.25">
      <c r="T375" t="str">
        <f>IF($Q375="Aprueba",COUNTIF($Q$2:$Q375,"Aprueba"),"")</f>
        <v/>
      </c>
    </row>
    <row r="376" spans="20:20" ht="14.25" customHeight="1" x14ac:dyDescent="0.25">
      <c r="T376" t="str">
        <f>IF($Q376="Aprueba",COUNTIF($Q$2:$Q376,"Aprueba"),"")</f>
        <v/>
      </c>
    </row>
    <row r="377" spans="20:20" ht="14.25" customHeight="1" x14ac:dyDescent="0.25">
      <c r="T377" t="str">
        <f>IF($Q377="Aprueba",COUNTIF($Q$2:$Q377,"Aprueba"),"")</f>
        <v/>
      </c>
    </row>
    <row r="378" spans="20:20" ht="14.25" customHeight="1" x14ac:dyDescent="0.25">
      <c r="T378" t="str">
        <f>IF($Q378="Aprueba",COUNTIF($Q$2:$Q378,"Aprueba"),"")</f>
        <v/>
      </c>
    </row>
    <row r="379" spans="20:20" ht="14.25" customHeight="1" x14ac:dyDescent="0.25">
      <c r="T379" t="str">
        <f>IF($Q379="Aprueba",COUNTIF($Q$2:$Q379,"Aprueba"),"")</f>
        <v/>
      </c>
    </row>
    <row r="380" spans="20:20" ht="14.25" customHeight="1" x14ac:dyDescent="0.25">
      <c r="T380" t="str">
        <f>IF($Q380="Aprueba",COUNTIF($Q$2:$Q380,"Aprueba"),"")</f>
        <v/>
      </c>
    </row>
    <row r="381" spans="20:20" ht="14.25" customHeight="1" x14ac:dyDescent="0.25">
      <c r="T381" t="str">
        <f>IF($Q381="Aprueba",COUNTIF($Q$2:$Q381,"Aprueba"),"")</f>
        <v/>
      </c>
    </row>
    <row r="382" spans="20:20" ht="14.25" customHeight="1" x14ac:dyDescent="0.25">
      <c r="T382" t="str">
        <f>IF($Q382="Aprueba",COUNTIF($Q$2:$Q382,"Aprueba"),"")</f>
        <v/>
      </c>
    </row>
    <row r="383" spans="20:20" ht="14.25" customHeight="1" x14ac:dyDescent="0.25">
      <c r="T383" t="str">
        <f>IF($Q383="Aprueba",COUNTIF($Q$2:$Q383,"Aprueba"),"")</f>
        <v/>
      </c>
    </row>
    <row r="384" spans="20:20" ht="14.25" customHeight="1" x14ac:dyDescent="0.25">
      <c r="T384" t="str">
        <f>IF($Q384="Aprueba",COUNTIF($Q$2:$Q384,"Aprueba"),"")</f>
        <v/>
      </c>
    </row>
    <row r="385" spans="20:20" ht="14.25" customHeight="1" x14ac:dyDescent="0.25">
      <c r="T385" t="str">
        <f>IF($Q385="Aprueba",COUNTIF($Q$2:$Q385,"Aprueba"),"")</f>
        <v/>
      </c>
    </row>
    <row r="386" spans="20:20" ht="14.25" customHeight="1" x14ac:dyDescent="0.25">
      <c r="T386" t="str">
        <f>IF($Q386="Aprueba",COUNTIF($Q$2:$Q386,"Aprueba"),"")</f>
        <v/>
      </c>
    </row>
    <row r="387" spans="20:20" ht="14.25" customHeight="1" x14ac:dyDescent="0.25">
      <c r="T387" t="str">
        <f>IF($Q387="Aprueba",COUNTIF($Q$2:$Q387,"Aprueba"),"")</f>
        <v/>
      </c>
    </row>
    <row r="388" spans="20:20" ht="14.25" customHeight="1" x14ac:dyDescent="0.25">
      <c r="T388" t="str">
        <f>IF($Q388="Aprueba",COUNTIF($Q$2:$Q388,"Aprueba"),"")</f>
        <v/>
      </c>
    </row>
    <row r="389" spans="20:20" ht="14.25" customHeight="1" x14ac:dyDescent="0.25">
      <c r="T389" t="str">
        <f>IF($Q389="Aprueba",COUNTIF($Q$2:$Q389,"Aprueba"),"")</f>
        <v/>
      </c>
    </row>
    <row r="390" spans="20:20" ht="14.25" customHeight="1" x14ac:dyDescent="0.25">
      <c r="T390" t="str">
        <f>IF($Q390="Aprueba",COUNTIF($Q$2:$Q390,"Aprueba"),"")</f>
        <v/>
      </c>
    </row>
    <row r="391" spans="20:20" ht="14.25" customHeight="1" x14ac:dyDescent="0.25">
      <c r="T391" t="str">
        <f>IF($Q391="Aprueba",COUNTIF($Q$2:$Q391,"Aprueba"),"")</f>
        <v/>
      </c>
    </row>
    <row r="392" spans="20:20" ht="14.25" customHeight="1" x14ac:dyDescent="0.25">
      <c r="T392" t="str">
        <f>IF($Q392="Aprueba",COUNTIF($Q$2:$Q392,"Aprueba"),"")</f>
        <v/>
      </c>
    </row>
    <row r="393" spans="20:20" ht="14.25" customHeight="1" x14ac:dyDescent="0.25">
      <c r="T393" t="str">
        <f>IF($Q393="Aprueba",COUNTIF($Q$2:$Q393,"Aprueba"),"")</f>
        <v/>
      </c>
    </row>
    <row r="394" spans="20:20" ht="14.25" customHeight="1" x14ac:dyDescent="0.25">
      <c r="T394" t="str">
        <f>IF($Q394="Aprueba",COUNTIF($Q$2:$Q394,"Aprueba"),"")</f>
        <v/>
      </c>
    </row>
    <row r="395" spans="20:20" ht="14.25" customHeight="1" x14ac:dyDescent="0.25">
      <c r="T395" t="str">
        <f>IF($Q395="Aprueba",COUNTIF($Q$2:$Q395,"Aprueba"),"")</f>
        <v/>
      </c>
    </row>
    <row r="396" spans="20:20" ht="14.25" customHeight="1" x14ac:dyDescent="0.25">
      <c r="T396" t="str">
        <f>IF($Q396="Aprueba",COUNTIF($Q$2:$Q396,"Aprueba"),"")</f>
        <v/>
      </c>
    </row>
    <row r="397" spans="20:20" ht="14.25" customHeight="1" x14ac:dyDescent="0.25">
      <c r="T397" t="str">
        <f>IF($Q397="Aprueba",COUNTIF($Q$2:$Q397,"Aprueba"),"")</f>
        <v/>
      </c>
    </row>
    <row r="398" spans="20:20" ht="14.25" customHeight="1" x14ac:dyDescent="0.25">
      <c r="T398" t="str">
        <f>IF($Q398="Aprueba",COUNTIF($Q$2:$Q398,"Aprueba"),"")</f>
        <v/>
      </c>
    </row>
    <row r="399" spans="20:20" ht="14.25" customHeight="1" x14ac:dyDescent="0.25">
      <c r="T399" t="str">
        <f>IF($Q399="Aprueba",COUNTIF($Q$2:$Q399,"Aprueba"),"")</f>
        <v/>
      </c>
    </row>
    <row r="400" spans="20:20" ht="14.25" customHeight="1" x14ac:dyDescent="0.25">
      <c r="T400" t="str">
        <f>IF($Q400="Aprueba",COUNTIF($Q$2:$Q400,"Aprueba"),"")</f>
        <v/>
      </c>
    </row>
    <row r="401" spans="20:20" ht="14.25" customHeight="1" x14ac:dyDescent="0.25">
      <c r="T401" t="str">
        <f>IF($Q401="Aprueba",COUNTIF($Q$2:$Q401,"Aprueba"),"")</f>
        <v/>
      </c>
    </row>
    <row r="402" spans="20:20" ht="14.25" customHeight="1" x14ac:dyDescent="0.25">
      <c r="T402" t="str">
        <f>IF($Q402="Aprueba",COUNTIF($Q$2:$Q402,"Aprueba"),"")</f>
        <v/>
      </c>
    </row>
    <row r="403" spans="20:20" ht="14.25" customHeight="1" x14ac:dyDescent="0.25">
      <c r="T403" t="str">
        <f>IF($Q403="Aprueba",COUNTIF($Q$2:$Q403,"Aprueba"),"")</f>
        <v/>
      </c>
    </row>
    <row r="404" spans="20:20" ht="14.25" customHeight="1" x14ac:dyDescent="0.25">
      <c r="T404" t="str">
        <f>IF($Q404="Aprueba",COUNTIF($Q$2:$Q404,"Aprueba"),"")</f>
        <v/>
      </c>
    </row>
    <row r="405" spans="20:20" ht="14.25" customHeight="1" x14ac:dyDescent="0.25">
      <c r="T405" t="str">
        <f>IF($Q405="Aprueba",COUNTIF($Q$2:$Q405,"Aprueba"),"")</f>
        <v/>
      </c>
    </row>
    <row r="406" spans="20:20" ht="14.25" customHeight="1" x14ac:dyDescent="0.25">
      <c r="T406" t="str">
        <f>IF($Q406="Aprueba",COUNTIF($Q$2:$Q406,"Aprueba"),"")</f>
        <v/>
      </c>
    </row>
    <row r="407" spans="20:20" ht="14.25" customHeight="1" x14ac:dyDescent="0.25">
      <c r="T407" t="str">
        <f>IF($Q407="Aprueba",COUNTIF($Q$2:$Q407,"Aprueba"),"")</f>
        <v/>
      </c>
    </row>
    <row r="408" spans="20:20" ht="14.25" customHeight="1" x14ac:dyDescent="0.25">
      <c r="T408" t="str">
        <f>IF($Q408="Aprueba",COUNTIF($Q$2:$Q408,"Aprueba"),"")</f>
        <v/>
      </c>
    </row>
    <row r="409" spans="20:20" ht="14.25" customHeight="1" x14ac:dyDescent="0.25">
      <c r="T409" t="str">
        <f>IF($Q409="Aprueba",COUNTIF($Q$2:$Q409,"Aprueba"),"")</f>
        <v/>
      </c>
    </row>
    <row r="410" spans="20:20" ht="14.25" customHeight="1" x14ac:dyDescent="0.25">
      <c r="T410" t="str">
        <f>IF($Q410="Aprueba",COUNTIF($Q$2:$Q410,"Aprueba"),"")</f>
        <v/>
      </c>
    </row>
    <row r="411" spans="20:20" ht="14.25" customHeight="1" x14ac:dyDescent="0.25">
      <c r="T411" t="str">
        <f>IF($Q411="Aprueba",COUNTIF($Q$2:$Q411,"Aprueba"),"")</f>
        <v/>
      </c>
    </row>
    <row r="412" spans="20:20" ht="14.25" customHeight="1" x14ac:dyDescent="0.25">
      <c r="T412" t="str">
        <f>IF($Q412="Aprueba",COUNTIF($Q$2:$Q412,"Aprueba"),"")</f>
        <v/>
      </c>
    </row>
    <row r="413" spans="20:20" ht="14.25" customHeight="1" x14ac:dyDescent="0.25">
      <c r="T413" t="str">
        <f>IF($Q413="Aprueba",COUNTIF($Q$2:$Q413,"Aprueba"),"")</f>
        <v/>
      </c>
    </row>
    <row r="414" spans="20:20" ht="14.25" customHeight="1" x14ac:dyDescent="0.25">
      <c r="T414" t="str">
        <f>IF($Q414="Aprueba",COUNTIF($Q$2:$Q414,"Aprueba"),"")</f>
        <v/>
      </c>
    </row>
    <row r="415" spans="20:20" ht="14.25" customHeight="1" x14ac:dyDescent="0.25">
      <c r="T415" t="str">
        <f>IF($Q415="Aprueba",COUNTIF($Q$2:$Q415,"Aprueba"),"")</f>
        <v/>
      </c>
    </row>
    <row r="416" spans="20:20" ht="14.25" customHeight="1" x14ac:dyDescent="0.25">
      <c r="T416" t="str">
        <f>IF($Q416="Aprueba",COUNTIF($Q$2:$Q416,"Aprueba"),"")</f>
        <v/>
      </c>
    </row>
    <row r="417" spans="20:20" ht="14.25" customHeight="1" x14ac:dyDescent="0.25">
      <c r="T417" t="str">
        <f>IF($Q417="Aprueba",COUNTIF($Q$2:$Q417,"Aprueba"),"")</f>
        <v/>
      </c>
    </row>
    <row r="418" spans="20:20" ht="14.25" customHeight="1" x14ac:dyDescent="0.25">
      <c r="T418" t="str">
        <f>IF($Q418="Aprueba",COUNTIF($Q$2:$Q418,"Aprueba"),"")</f>
        <v/>
      </c>
    </row>
    <row r="419" spans="20:20" ht="14.25" customHeight="1" x14ac:dyDescent="0.25">
      <c r="T419" t="str">
        <f>IF($Q419="Aprueba",COUNTIF($Q$2:$Q419,"Aprueba"),"")</f>
        <v/>
      </c>
    </row>
    <row r="420" spans="20:20" ht="14.25" customHeight="1" x14ac:dyDescent="0.25">
      <c r="T420" t="str">
        <f>IF($Q420="Aprueba",COUNTIF($Q$2:$Q420,"Aprueba"),"")</f>
        <v/>
      </c>
    </row>
    <row r="421" spans="20:20" ht="14.25" customHeight="1" x14ac:dyDescent="0.25">
      <c r="T421" t="str">
        <f>IF($Q421="Aprueba",COUNTIF($Q$2:$Q421,"Aprueba"),"")</f>
        <v/>
      </c>
    </row>
    <row r="422" spans="20:20" ht="14.25" customHeight="1" x14ac:dyDescent="0.25">
      <c r="T422" t="str">
        <f>IF($Q422="Aprueba",COUNTIF($Q$2:$Q422,"Aprueba"),"")</f>
        <v/>
      </c>
    </row>
    <row r="423" spans="20:20" ht="14.25" customHeight="1" x14ac:dyDescent="0.25">
      <c r="T423" t="str">
        <f>IF($Q423="Aprueba",COUNTIF($Q$2:$Q423,"Aprueba"),"")</f>
        <v/>
      </c>
    </row>
    <row r="424" spans="20:20" ht="14.25" customHeight="1" x14ac:dyDescent="0.25">
      <c r="T424" t="str">
        <f>IF($Q424="Aprueba",COUNTIF($Q$2:$Q424,"Aprueba"),"")</f>
        <v/>
      </c>
    </row>
    <row r="425" spans="20:20" ht="14.25" customHeight="1" x14ac:dyDescent="0.25">
      <c r="T425" t="str">
        <f>IF($Q425="Aprueba",COUNTIF($Q$2:$Q425,"Aprueba"),"")</f>
        <v/>
      </c>
    </row>
    <row r="426" spans="20:20" ht="14.25" customHeight="1" x14ac:dyDescent="0.25">
      <c r="T426" t="str">
        <f>IF($Q426="Aprueba",COUNTIF($Q$2:$Q426,"Aprueba"),"")</f>
        <v/>
      </c>
    </row>
    <row r="427" spans="20:20" ht="14.25" customHeight="1" x14ac:dyDescent="0.25">
      <c r="T427" t="str">
        <f>IF($Q427="Aprueba",COUNTIF($Q$2:$Q427,"Aprueba"),"")</f>
        <v/>
      </c>
    </row>
    <row r="428" spans="20:20" ht="14.25" customHeight="1" x14ac:dyDescent="0.25">
      <c r="T428" t="str">
        <f>IF($Q428="Aprueba",COUNTIF($Q$2:$Q428,"Aprueba"),"")</f>
        <v/>
      </c>
    </row>
    <row r="429" spans="20:20" ht="14.25" customHeight="1" x14ac:dyDescent="0.25">
      <c r="T429" t="str">
        <f>IF($Q429="Aprueba",COUNTIF($Q$2:$Q429,"Aprueba"),"")</f>
        <v/>
      </c>
    </row>
    <row r="430" spans="20:20" ht="14.25" customHeight="1" x14ac:dyDescent="0.25">
      <c r="T430" t="str">
        <f>IF($Q430="Aprueba",COUNTIF($Q$2:$Q430,"Aprueba"),"")</f>
        <v/>
      </c>
    </row>
    <row r="431" spans="20:20" ht="14.25" customHeight="1" x14ac:dyDescent="0.25">
      <c r="T431" t="str">
        <f>IF($Q431="Aprueba",COUNTIF($Q$2:$Q431,"Aprueba"),"")</f>
        <v/>
      </c>
    </row>
    <row r="432" spans="20:20" ht="14.25" customHeight="1" x14ac:dyDescent="0.25">
      <c r="T432" t="str">
        <f>IF($Q432="Aprueba",COUNTIF($Q$2:$Q432,"Aprueba"),"")</f>
        <v/>
      </c>
    </row>
    <row r="433" spans="20:20" ht="14.25" customHeight="1" x14ac:dyDescent="0.25">
      <c r="T433" t="str">
        <f>IF($Q433="Aprueba",COUNTIF($Q$2:$Q433,"Aprueba"),"")</f>
        <v/>
      </c>
    </row>
    <row r="434" spans="20:20" ht="14.25" customHeight="1" x14ac:dyDescent="0.25">
      <c r="T434" t="str">
        <f>IF($Q434="Aprueba",COUNTIF($Q$2:$Q434,"Aprueba"),"")</f>
        <v/>
      </c>
    </row>
    <row r="435" spans="20:20" ht="14.25" customHeight="1" x14ac:dyDescent="0.25">
      <c r="T435" t="str">
        <f>IF($Q435="Aprueba",COUNTIF($Q$2:$Q435,"Aprueba"),"")</f>
        <v/>
      </c>
    </row>
    <row r="436" spans="20:20" ht="14.25" customHeight="1" x14ac:dyDescent="0.25">
      <c r="T436" t="str">
        <f>IF($Q436="Aprueba",COUNTIF($Q$2:$Q436,"Aprueba"),"")</f>
        <v/>
      </c>
    </row>
    <row r="437" spans="20:20" ht="14.25" customHeight="1" x14ac:dyDescent="0.25">
      <c r="T437" t="str">
        <f>IF($Q437="Aprueba",COUNTIF($Q$2:$Q437,"Aprueba"),"")</f>
        <v/>
      </c>
    </row>
    <row r="438" spans="20:20" ht="14.25" customHeight="1" x14ac:dyDescent="0.25">
      <c r="T438" t="str">
        <f>IF($Q438="Aprueba",COUNTIF($Q$2:$Q438,"Aprueba"),"")</f>
        <v/>
      </c>
    </row>
    <row r="439" spans="20:20" ht="14.25" customHeight="1" x14ac:dyDescent="0.25">
      <c r="T439" t="str">
        <f>IF($Q439="Aprueba",COUNTIF($Q$2:$Q439,"Aprueba"),"")</f>
        <v/>
      </c>
    </row>
    <row r="440" spans="20:20" ht="14.25" customHeight="1" x14ac:dyDescent="0.25">
      <c r="T440" t="str">
        <f>IF($Q440="Aprueba",COUNTIF($Q$2:$Q440,"Aprueba"),"")</f>
        <v/>
      </c>
    </row>
    <row r="441" spans="20:20" ht="14.25" customHeight="1" x14ac:dyDescent="0.25">
      <c r="T441" t="str">
        <f>IF($Q441="Aprueba",COUNTIF($Q$2:$Q441,"Aprueba"),"")</f>
        <v/>
      </c>
    </row>
    <row r="442" spans="20:20" ht="14.25" customHeight="1" x14ac:dyDescent="0.25">
      <c r="T442" t="str">
        <f>IF($Q442="Aprueba",COUNTIF($Q$2:$Q442,"Aprueba"),"")</f>
        <v/>
      </c>
    </row>
    <row r="443" spans="20:20" ht="14.25" customHeight="1" x14ac:dyDescent="0.25">
      <c r="T443" t="str">
        <f>IF($Q443="Aprueba",COUNTIF($Q$2:$Q443,"Aprueba"),"")</f>
        <v/>
      </c>
    </row>
    <row r="444" spans="20:20" ht="14.25" customHeight="1" x14ac:dyDescent="0.25">
      <c r="T444" t="str">
        <f>IF($Q444="Aprueba",COUNTIF($Q$2:$Q444,"Aprueba"),"")</f>
        <v/>
      </c>
    </row>
    <row r="445" spans="20:20" ht="14.25" customHeight="1" x14ac:dyDescent="0.25">
      <c r="T445" t="str">
        <f>IF($Q445="Aprueba",COUNTIF($Q$2:$Q445,"Aprueba"),"")</f>
        <v/>
      </c>
    </row>
    <row r="446" spans="20:20" ht="14.25" customHeight="1" x14ac:dyDescent="0.25">
      <c r="T446" t="str">
        <f>IF($Q446="Aprueba",COUNTIF($Q$2:$Q446,"Aprueba"),"")</f>
        <v/>
      </c>
    </row>
    <row r="447" spans="20:20" ht="14.25" customHeight="1" x14ac:dyDescent="0.25">
      <c r="T447" t="str">
        <f>IF($Q447="Aprueba",COUNTIF($Q$2:$Q447,"Aprueba"),"")</f>
        <v/>
      </c>
    </row>
    <row r="448" spans="20:20" ht="14.25" customHeight="1" x14ac:dyDescent="0.25">
      <c r="T448" t="str">
        <f>IF($Q448="Aprueba",COUNTIF($Q$2:$Q448,"Aprueba"),"")</f>
        <v/>
      </c>
    </row>
    <row r="449" spans="20:20" ht="14.25" customHeight="1" x14ac:dyDescent="0.25">
      <c r="T449" t="str">
        <f>IF($Q449="Aprueba",COUNTIF($Q$2:$Q449,"Aprueba"),"")</f>
        <v/>
      </c>
    </row>
    <row r="450" spans="20:20" ht="14.25" customHeight="1" x14ac:dyDescent="0.25">
      <c r="T450" t="str">
        <f>IF($Q450="Aprueba",COUNTIF($Q$2:$Q450,"Aprueba"),"")</f>
        <v/>
      </c>
    </row>
    <row r="451" spans="20:20" ht="14.25" customHeight="1" x14ac:dyDescent="0.25">
      <c r="T451" t="str">
        <f>IF($Q451="Aprueba",COUNTIF($Q$2:$Q451,"Aprueba"),"")</f>
        <v/>
      </c>
    </row>
    <row r="452" spans="20:20" ht="14.25" customHeight="1" x14ac:dyDescent="0.25">
      <c r="T452" t="str">
        <f>IF($Q452="Aprueba",COUNTIF($Q$2:$Q452,"Aprueba"),"")</f>
        <v/>
      </c>
    </row>
    <row r="453" spans="20:20" ht="14.25" customHeight="1" x14ac:dyDescent="0.25">
      <c r="T453" t="str">
        <f>IF($Q453="Aprueba",COUNTIF($Q$2:$Q453,"Aprueba"),"")</f>
        <v/>
      </c>
    </row>
    <row r="454" spans="20:20" ht="14.25" customHeight="1" x14ac:dyDescent="0.25">
      <c r="T454" t="str">
        <f>IF($Q454="Aprueba",COUNTIF($Q$2:$Q454,"Aprueba"),"")</f>
        <v/>
      </c>
    </row>
    <row r="455" spans="20:20" ht="14.25" customHeight="1" x14ac:dyDescent="0.25">
      <c r="T455" t="str">
        <f>IF($Q455="Aprueba",COUNTIF($Q$2:$Q455,"Aprueba"),"")</f>
        <v/>
      </c>
    </row>
    <row r="456" spans="20:20" ht="14.25" customHeight="1" x14ac:dyDescent="0.25">
      <c r="T456" t="str">
        <f>IF($Q456="Aprueba",COUNTIF($Q$2:$Q456,"Aprueba"),"")</f>
        <v/>
      </c>
    </row>
    <row r="457" spans="20:20" ht="14.25" customHeight="1" x14ac:dyDescent="0.25">
      <c r="T457" t="str">
        <f>IF($Q457="Aprueba",COUNTIF($Q$2:$Q457,"Aprueba"),"")</f>
        <v/>
      </c>
    </row>
    <row r="458" spans="20:20" ht="14.25" customHeight="1" x14ac:dyDescent="0.25">
      <c r="T458" t="str">
        <f>IF($Q458="Aprueba",COUNTIF($Q$2:$Q458,"Aprueba"),"")</f>
        <v/>
      </c>
    </row>
    <row r="459" spans="20:20" ht="14.25" customHeight="1" x14ac:dyDescent="0.25">
      <c r="T459" t="str">
        <f>IF($Q459="Aprueba",COUNTIF($Q$2:$Q459,"Aprueba"),"")</f>
        <v/>
      </c>
    </row>
    <row r="460" spans="20:20" ht="14.25" customHeight="1" x14ac:dyDescent="0.25">
      <c r="T460" t="str">
        <f>IF($Q460="Aprueba",COUNTIF($Q$2:$Q460,"Aprueba"),"")</f>
        <v/>
      </c>
    </row>
    <row r="461" spans="20:20" ht="14.25" customHeight="1" x14ac:dyDescent="0.25">
      <c r="T461" t="str">
        <f>IF($Q461="Aprueba",COUNTIF($Q$2:$Q461,"Aprueba"),"")</f>
        <v/>
      </c>
    </row>
    <row r="462" spans="20:20" ht="14.25" customHeight="1" x14ac:dyDescent="0.25">
      <c r="T462" t="str">
        <f>IF($Q462="Aprueba",COUNTIF($Q$2:$Q462,"Aprueba"),"")</f>
        <v/>
      </c>
    </row>
    <row r="463" spans="20:20" ht="14.25" customHeight="1" x14ac:dyDescent="0.25">
      <c r="T463" t="str">
        <f>IF($Q463="Aprueba",COUNTIF($Q$2:$Q463,"Aprueba"),"")</f>
        <v/>
      </c>
    </row>
    <row r="464" spans="20:20" ht="14.25" customHeight="1" x14ac:dyDescent="0.25">
      <c r="T464" t="str">
        <f>IF($Q464="Aprueba",COUNTIF($Q$2:$Q464,"Aprueba"),"")</f>
        <v/>
      </c>
    </row>
    <row r="465" spans="20:20" ht="14.25" customHeight="1" x14ac:dyDescent="0.25">
      <c r="T465" t="str">
        <f>IF($Q465="Aprueba",COUNTIF($Q$2:$Q465,"Aprueba"),"")</f>
        <v/>
      </c>
    </row>
    <row r="466" spans="20:20" ht="14.25" customHeight="1" x14ac:dyDescent="0.25">
      <c r="T466" t="str">
        <f>IF($Q466="Aprueba",COUNTIF($Q$2:$Q466,"Aprueba"),"")</f>
        <v/>
      </c>
    </row>
    <row r="467" spans="20:20" ht="14.25" customHeight="1" x14ac:dyDescent="0.25">
      <c r="T467" t="str">
        <f>IF($Q467="Aprueba",COUNTIF($Q$2:$Q467,"Aprueba"),"")</f>
        <v/>
      </c>
    </row>
    <row r="468" spans="20:20" ht="14.25" customHeight="1" x14ac:dyDescent="0.25">
      <c r="T468" t="str">
        <f>IF($Q468="Aprueba",COUNTIF($Q$2:$Q468,"Aprueba"),"")</f>
        <v/>
      </c>
    </row>
    <row r="469" spans="20:20" ht="14.25" customHeight="1" x14ac:dyDescent="0.25">
      <c r="T469" t="str">
        <f>IF($Q469="Aprueba",COUNTIF($Q$2:$Q469,"Aprueba"),"")</f>
        <v/>
      </c>
    </row>
    <row r="470" spans="20:20" ht="14.25" customHeight="1" x14ac:dyDescent="0.25">
      <c r="T470" t="str">
        <f>IF($Q470="Aprueba",COUNTIF($Q$2:$Q470,"Aprueba"),"")</f>
        <v/>
      </c>
    </row>
    <row r="471" spans="20:20" ht="14.25" customHeight="1" x14ac:dyDescent="0.25">
      <c r="T471" t="str">
        <f>IF($Q471="Aprueba",COUNTIF($Q$2:$Q471,"Aprueba"),"")</f>
        <v/>
      </c>
    </row>
    <row r="472" spans="20:20" ht="14.25" customHeight="1" x14ac:dyDescent="0.25">
      <c r="T472" t="str">
        <f>IF($Q472="Aprueba",COUNTIF($Q$2:$Q472,"Aprueba"),"")</f>
        <v/>
      </c>
    </row>
    <row r="473" spans="20:20" ht="14.25" customHeight="1" x14ac:dyDescent="0.25">
      <c r="T473" t="str">
        <f>IF($Q473="Aprueba",COUNTIF($Q$2:$Q473,"Aprueba"),"")</f>
        <v/>
      </c>
    </row>
    <row r="474" spans="20:20" ht="14.25" customHeight="1" x14ac:dyDescent="0.25">
      <c r="T474" t="str">
        <f>IF($Q474="Aprueba",COUNTIF($Q$2:$Q474,"Aprueba"),"")</f>
        <v/>
      </c>
    </row>
    <row r="475" spans="20:20" ht="14.25" customHeight="1" x14ac:dyDescent="0.25">
      <c r="T475" t="str">
        <f>IF($Q475="Aprueba",COUNTIF($Q$2:$Q475,"Aprueba"),"")</f>
        <v/>
      </c>
    </row>
    <row r="476" spans="20:20" ht="14.25" customHeight="1" x14ac:dyDescent="0.25">
      <c r="T476" t="str">
        <f>IF($Q476="Aprueba",COUNTIF($Q$2:$Q476,"Aprueba"),"")</f>
        <v/>
      </c>
    </row>
    <row r="477" spans="20:20" ht="14.25" customHeight="1" x14ac:dyDescent="0.25">
      <c r="T477" t="str">
        <f>IF($Q477="Aprueba",COUNTIF($Q$2:$Q477,"Aprueba"),"")</f>
        <v/>
      </c>
    </row>
    <row r="478" spans="20:20" ht="14.25" customHeight="1" x14ac:dyDescent="0.25">
      <c r="T478" t="str">
        <f>IF($Q478="Aprueba",COUNTIF($Q$2:$Q478,"Aprueba"),"")</f>
        <v/>
      </c>
    </row>
    <row r="479" spans="20:20" ht="14.25" customHeight="1" x14ac:dyDescent="0.25">
      <c r="T479" t="str">
        <f>IF($Q479="Aprueba",COUNTIF($Q$2:$Q479,"Aprueba"),"")</f>
        <v/>
      </c>
    </row>
    <row r="480" spans="20:20" ht="14.25" customHeight="1" x14ac:dyDescent="0.25">
      <c r="T480" t="str">
        <f>IF($Q480="Aprueba",COUNTIF($Q$2:$Q480,"Aprueba"),"")</f>
        <v/>
      </c>
    </row>
    <row r="481" spans="20:20" ht="14.25" customHeight="1" x14ac:dyDescent="0.25">
      <c r="T481" t="str">
        <f>IF($Q481="Aprueba",COUNTIF($Q$2:$Q481,"Aprueba"),"")</f>
        <v/>
      </c>
    </row>
    <row r="482" spans="20:20" ht="14.25" customHeight="1" x14ac:dyDescent="0.25">
      <c r="T482" t="str">
        <f>IF($Q482="Aprueba",COUNTIF($Q$2:$Q482,"Aprueba"),"")</f>
        <v/>
      </c>
    </row>
    <row r="483" spans="20:20" ht="14.25" customHeight="1" x14ac:dyDescent="0.25">
      <c r="T483" t="str">
        <f>IF($Q483="Aprueba",COUNTIF($Q$2:$Q483,"Aprueba"),"")</f>
        <v/>
      </c>
    </row>
    <row r="484" spans="20:20" ht="14.25" customHeight="1" x14ac:dyDescent="0.25">
      <c r="T484" t="str">
        <f>IF($Q484="Aprueba",COUNTIF($Q$2:$Q484,"Aprueba"),"")</f>
        <v/>
      </c>
    </row>
    <row r="485" spans="20:20" ht="14.25" customHeight="1" x14ac:dyDescent="0.25">
      <c r="T485" t="str">
        <f>IF($Q485="Aprueba",COUNTIF($Q$2:$Q485,"Aprueba"),"")</f>
        <v/>
      </c>
    </row>
    <row r="486" spans="20:20" ht="14.25" customHeight="1" x14ac:dyDescent="0.25">
      <c r="T486" t="str">
        <f>IF($Q486="Aprueba",COUNTIF($Q$2:$Q486,"Aprueba"),"")</f>
        <v/>
      </c>
    </row>
    <row r="487" spans="20:20" ht="14.25" customHeight="1" x14ac:dyDescent="0.25">
      <c r="T487" t="str">
        <f>IF($Q487="Aprueba",COUNTIF($Q$2:$Q487,"Aprueba"),"")</f>
        <v/>
      </c>
    </row>
    <row r="488" spans="20:20" ht="14.25" customHeight="1" x14ac:dyDescent="0.25">
      <c r="T488" t="str">
        <f>IF($Q488="Aprueba",COUNTIF($Q$2:$Q488,"Aprueba"),"")</f>
        <v/>
      </c>
    </row>
    <row r="489" spans="20:20" ht="14.25" customHeight="1" x14ac:dyDescent="0.25">
      <c r="T489" t="str">
        <f>IF($Q489="Aprueba",COUNTIF($Q$2:$Q489,"Aprueba"),"")</f>
        <v/>
      </c>
    </row>
    <row r="490" spans="20:20" ht="14.25" customHeight="1" x14ac:dyDescent="0.25">
      <c r="T490" t="str">
        <f>IF($Q490="Aprueba",COUNTIF($Q$2:$Q490,"Aprueba"),"")</f>
        <v/>
      </c>
    </row>
    <row r="491" spans="20:20" ht="14.25" customHeight="1" x14ac:dyDescent="0.25">
      <c r="T491" t="str">
        <f>IF($Q491="Aprueba",COUNTIF($Q$2:$Q491,"Aprueba"),"")</f>
        <v/>
      </c>
    </row>
    <row r="492" spans="20:20" ht="14.25" customHeight="1" x14ac:dyDescent="0.25">
      <c r="T492" t="str">
        <f>IF($Q492="Aprueba",COUNTIF($Q$2:$Q492,"Aprueba"),"")</f>
        <v/>
      </c>
    </row>
    <row r="493" spans="20:20" ht="14.25" customHeight="1" x14ac:dyDescent="0.25">
      <c r="T493" t="str">
        <f>IF($Q493="Aprueba",COUNTIF($Q$2:$Q493,"Aprueba"),"")</f>
        <v/>
      </c>
    </row>
    <row r="494" spans="20:20" ht="14.25" customHeight="1" x14ac:dyDescent="0.25">
      <c r="T494" t="str">
        <f>IF($Q494="Aprueba",COUNTIF($Q$2:$Q494,"Aprueba"),"")</f>
        <v/>
      </c>
    </row>
    <row r="495" spans="20:20" ht="14.25" customHeight="1" x14ac:dyDescent="0.25">
      <c r="T495" t="str">
        <f>IF($Q495="Aprueba",COUNTIF($Q$2:$Q495,"Aprueba"),"")</f>
        <v/>
      </c>
    </row>
    <row r="496" spans="20:20" ht="14.25" customHeight="1" x14ac:dyDescent="0.25">
      <c r="T496" t="str">
        <f>IF($Q496="Aprueba",COUNTIF($Q$2:$Q496,"Aprueba"),"")</f>
        <v/>
      </c>
    </row>
    <row r="497" spans="20:20" ht="14.25" customHeight="1" x14ac:dyDescent="0.25">
      <c r="T497" t="str">
        <f>IF($Q497="Aprueba",COUNTIF($Q$2:$Q497,"Aprueba"),"")</f>
        <v/>
      </c>
    </row>
    <row r="498" spans="20:20" ht="14.25" customHeight="1" x14ac:dyDescent="0.25">
      <c r="T498" t="str">
        <f>IF($Q498="Aprueba",COUNTIF($Q$2:$Q498,"Aprueba"),"")</f>
        <v/>
      </c>
    </row>
    <row r="499" spans="20:20" ht="14.25" customHeight="1" x14ac:dyDescent="0.25">
      <c r="T499" t="str">
        <f>IF($Q499="Aprueba",COUNTIF($Q$2:$Q499,"Aprueba"),"")</f>
        <v/>
      </c>
    </row>
    <row r="500" spans="20:20" ht="14.25" customHeight="1" x14ac:dyDescent="0.25">
      <c r="T500" t="str">
        <f>IF($Q500="Aprueba",COUNTIF($Q$2:$Q500,"Aprueba"),"")</f>
        <v/>
      </c>
    </row>
    <row r="501" spans="20:20" ht="14.25" customHeight="1" x14ac:dyDescent="0.25"/>
    <row r="502" spans="20:20" ht="14.25" customHeight="1" x14ac:dyDescent="0.25"/>
    <row r="503" spans="20:20" ht="14.25" customHeight="1" x14ac:dyDescent="0.25"/>
    <row r="504" spans="20:20" ht="14.25" customHeight="1" x14ac:dyDescent="0.25"/>
    <row r="505" spans="20:20" ht="14.25" customHeight="1" x14ac:dyDescent="0.25"/>
    <row r="506" spans="20:20" ht="14.25" customHeight="1" x14ac:dyDescent="0.25"/>
    <row r="507" spans="20:20" ht="14.25" customHeight="1" x14ac:dyDescent="0.25"/>
    <row r="508" spans="20:20" ht="14.25" customHeight="1" x14ac:dyDescent="0.25"/>
    <row r="509" spans="20:20" ht="14.25" customHeight="1" x14ac:dyDescent="0.25"/>
    <row r="510" spans="20:20" ht="14.25" customHeight="1" x14ac:dyDescent="0.25"/>
    <row r="511" spans="20:20" ht="14.25" customHeight="1" x14ac:dyDescent="0.25"/>
    <row r="512" spans="20:2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conditionalFormatting sqref="Q2:Q96">
    <cfRule type="cellIs" dxfId="1" priority="2" operator="equal">
      <formula>"Aprueba"</formula>
    </cfRule>
    <cfRule type="cellIs" dxfId="0" priority="3" operator="equal">
      <formula>"No aprueba"</formula>
    </cfRule>
  </conditionalFormatting>
  <dataValidations count="6">
    <dataValidation type="custom" allowBlank="1" showInputMessage="1" showErrorMessage="1" prompt="Documento invalido - El numero de documento debe tener entre 5 y 15 digitos." sqref="E2:E96" xr:uid="{00000000-0002-0000-0000-000000000000}">
      <formula1>AND(gte(LEN(E2),MIN((5),(15))),lte(LEN(E2),MAX((5),(15))))</formula1>
      <formula2>0</formula2>
    </dataValidation>
    <dataValidation type="list" allowBlank="1" sqref="I2:I96" xr:uid="{00000000-0002-0000-0000-000001000000}">
      <formula1>Lista_Formador</formula1>
      <formula2>0</formula2>
    </dataValidation>
    <dataValidation type="list" allowBlank="1" sqref="B2:B96" xr:uid="{00000000-0002-0000-0000-000002000000}">
      <formula1>Lista_Campana</formula1>
      <formula2>0</formula2>
    </dataValidation>
    <dataValidation type="decimal" allowBlank="1" showInputMessage="1" showErrorMessage="1" prompt="Valor fuera de rango - Ingresa un puntaje entero entre 1 y 5." sqref="J2:O31 J32:M33 O32:O33 J34:O96" xr:uid="{00000000-0002-0000-0000-000003000000}">
      <formula1>1</formula1>
      <formula2>5</formula2>
    </dataValidation>
    <dataValidation type="date" operator="greaterThanOrEqual" allowBlank="1" showInputMessage="1" showErrorMessage="1" prompt="Fecha invalida - Ingresa una fecha valida (DD/MM/AAAA)." sqref="C2:C96" xr:uid="{00000000-0002-0000-0000-000004000000}">
      <formula1>DATE(2020,1,1)</formula1>
      <formula2>0</formula2>
    </dataValidation>
    <dataValidation type="list" allowBlank="1" sqref="D2:D96" xr:uid="{00000000-0002-0000-0000-000005000000}">
      <formula1>Lista_Cargo</formula1>
      <formula2>0</formula2>
    </dataValidation>
  </dataValidations>
  <hyperlinks>
    <hyperlink ref="G12" r:id="rId2" xr:uid="{00000000-0004-0000-0000-000000000000}"/>
  </hyperlinks>
  <pageMargins left="0.75" right="0.75" top="1" bottom="1" header="0.511811023622047" footer="0.511811023622047"/>
  <pageSetup paperSize="9" orientation="portrait" horizontalDpi="300" verticalDpi="300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D1000"/>
  <sheetViews>
    <sheetView topLeftCell="A4" zoomScaleNormal="100" workbookViewId="0">
      <selection activeCell="D13" sqref="D13"/>
    </sheetView>
  </sheetViews>
  <sheetFormatPr baseColWidth="10" defaultColWidth="14.42578125" defaultRowHeight="15" x14ac:dyDescent="0.25"/>
  <cols>
    <col min="1" max="1" width="28" customWidth="1"/>
    <col min="2" max="4" width="16" customWidth="1"/>
    <col min="5" max="26" width="8.5703125" customWidth="1"/>
  </cols>
  <sheetData>
    <row r="1" spans="1:4" ht="15.75" customHeight="1" x14ac:dyDescent="0.3">
      <c r="A1" s="55" t="s">
        <v>98</v>
      </c>
      <c r="B1" s="55"/>
      <c r="C1" s="55"/>
      <c r="D1" s="55"/>
    </row>
    <row r="2" spans="1:4" ht="14.25" customHeight="1" x14ac:dyDescent="0.25"/>
    <row r="3" spans="1:4" ht="15" customHeight="1" x14ac:dyDescent="0.25">
      <c r="A3" s="32" t="s">
        <v>99</v>
      </c>
      <c r="B3" s="33">
        <f>COUNT(Registro!A2:A96)</f>
        <v>34</v>
      </c>
    </row>
    <row r="4" spans="1:4" ht="15" customHeight="1" x14ac:dyDescent="0.25">
      <c r="A4" s="32" t="s">
        <v>100</v>
      </c>
      <c r="B4" s="33">
        <f>COUNTIF(Registro!Q2:Q96,"Aprueba")</f>
        <v>13</v>
      </c>
    </row>
    <row r="5" spans="1:4" ht="15" customHeight="1" x14ac:dyDescent="0.25">
      <c r="A5" s="32" t="s">
        <v>101</v>
      </c>
      <c r="B5" s="33">
        <f>COUNTIF(Registro!Q2:Q96,"No aprueba")</f>
        <v>20</v>
      </c>
    </row>
    <row r="6" spans="1:4" ht="15" customHeight="1" x14ac:dyDescent="0.25">
      <c r="A6" s="32" t="s">
        <v>102</v>
      </c>
      <c r="B6" s="34">
        <f>IFERROR(B4/B3,"")</f>
        <v>0.38235294117647056</v>
      </c>
    </row>
    <row r="7" spans="1:4" ht="15" customHeight="1" x14ac:dyDescent="0.25">
      <c r="A7" s="32" t="s">
        <v>103</v>
      </c>
      <c r="B7" s="35" t="str">
        <f>IFERROR(AVERAGE(Registro!P2:P96),"")</f>
        <v/>
      </c>
    </row>
    <row r="8" spans="1:4" ht="15" customHeight="1" x14ac:dyDescent="0.25">
      <c r="A8" s="32" t="s">
        <v>104</v>
      </c>
      <c r="B8" s="33" t="e">
        <f>COUNTIF(Registro!#REF!,"Retirado")</f>
        <v>#REF!</v>
      </c>
    </row>
    <row r="9" spans="1:4" ht="15" customHeight="1" x14ac:dyDescent="0.25">
      <c r="A9" s="32" t="s">
        <v>105</v>
      </c>
      <c r="B9" s="33" t="e">
        <f>COUNTIF(Registro!#REF!,"En formación")</f>
        <v>#REF!</v>
      </c>
    </row>
    <row r="10" spans="1:4" ht="14.25" customHeight="1" x14ac:dyDescent="0.25"/>
    <row r="11" spans="1:4" ht="14.25" customHeight="1" x14ac:dyDescent="0.25"/>
    <row r="12" spans="1:4" ht="15" customHeight="1" x14ac:dyDescent="0.25">
      <c r="A12" s="36" t="s">
        <v>106</v>
      </c>
    </row>
    <row r="13" spans="1:4" ht="15" customHeight="1" x14ac:dyDescent="0.25">
      <c r="A13" s="37" t="s">
        <v>107</v>
      </c>
      <c r="B13" s="37" t="s">
        <v>108</v>
      </c>
      <c r="C13" s="37" t="s">
        <v>109</v>
      </c>
      <c r="D13" s="37" t="s">
        <v>110</v>
      </c>
    </row>
    <row r="14" spans="1:4" ht="15" customHeight="1" x14ac:dyDescent="0.25">
      <c r="A14" s="38" t="s">
        <v>75</v>
      </c>
      <c r="B14" s="38">
        <f>COUNTIF(Registro!$B$2:$B$96,A14)</f>
        <v>10</v>
      </c>
      <c r="C14" s="38">
        <f>COUNTIFS(Registro!$B$2:$B$96,A14,Registro!$Q$2:$Q$96,"Aprueba")</f>
        <v>0</v>
      </c>
      <c r="D14" s="39">
        <f>IFERROR(C14/B14,"")</f>
        <v>0</v>
      </c>
    </row>
    <row r="15" spans="1:4" ht="15" customHeight="1" x14ac:dyDescent="0.25">
      <c r="A15" s="38" t="s">
        <v>111</v>
      </c>
      <c r="B15" s="38">
        <f>COUNTIF(Registro!$B$2:$B$96,A15)</f>
        <v>0</v>
      </c>
      <c r="C15" s="38">
        <f>COUNTIFS(Registro!$B$2:$B$96,A15,Registro!$Q$2:$Q$96,"Aprueba")</f>
        <v>0</v>
      </c>
      <c r="D15" s="39" t="str">
        <f>IFERROR(C15/B15,"")</f>
        <v/>
      </c>
    </row>
    <row r="16" spans="1:4" ht="15" customHeight="1" x14ac:dyDescent="0.25">
      <c r="A16" s="38" t="s">
        <v>19</v>
      </c>
      <c r="B16" s="38">
        <f>COUNTIF(Registro!$B$2:$B$96,A16)</f>
        <v>24</v>
      </c>
      <c r="C16" s="38">
        <f>COUNTIFS(Registro!$B$2:$B$96,A16,Registro!$Q$2:$Q$96,"Aprueba")</f>
        <v>13</v>
      </c>
      <c r="D16" s="39">
        <f>IFERROR(C16/B16,"")</f>
        <v>0.54166666666666663</v>
      </c>
    </row>
    <row r="17" spans="1:4" ht="15" customHeight="1" x14ac:dyDescent="0.25">
      <c r="A17" s="38"/>
      <c r="B17" s="38">
        <f>COUNTIF(Registro!$B$2:$B$96,A17)</f>
        <v>0</v>
      </c>
      <c r="C17" s="38">
        <f>COUNTIFS(Registro!$B$2:$B$96,A17,Registro!$Q$2:$Q$96,"Aprueba")</f>
        <v>0</v>
      </c>
      <c r="D17" s="39" t="str">
        <f>IFERROR(C17/B17,"")</f>
        <v/>
      </c>
    </row>
    <row r="18" spans="1:4" ht="15" customHeight="1" x14ac:dyDescent="0.25">
      <c r="A18" s="38"/>
      <c r="B18" s="38">
        <f>COUNTIF(Registro!$B$2:$B$96,A18)</f>
        <v>0</v>
      </c>
      <c r="C18" s="38">
        <f>COUNTIFS(Registro!$B$2:$B$96,A18,Registro!$Q$2:$Q$96,"Aprueba")</f>
        <v>0</v>
      </c>
      <c r="D18" s="39" t="str">
        <f>IFERROR(C18/B18,"")</f>
        <v/>
      </c>
    </row>
    <row r="19" spans="1:4" ht="14.25" customHeight="1" x14ac:dyDescent="0.25"/>
    <row r="20" spans="1:4" ht="14.25" customHeight="1" x14ac:dyDescent="0.25"/>
    <row r="21" spans="1:4" ht="15" customHeight="1" x14ac:dyDescent="0.25">
      <c r="A21" s="36" t="s">
        <v>112</v>
      </c>
    </row>
    <row r="22" spans="1:4" ht="15" customHeight="1" x14ac:dyDescent="0.25">
      <c r="A22" s="37" t="s">
        <v>113</v>
      </c>
      <c r="B22" s="37" t="s">
        <v>108</v>
      </c>
      <c r="C22" s="37" t="s">
        <v>109</v>
      </c>
      <c r="D22" s="37" t="s">
        <v>114</v>
      </c>
    </row>
    <row r="23" spans="1:4" ht="15" customHeight="1" x14ac:dyDescent="0.25">
      <c r="A23" s="38" t="s">
        <v>78</v>
      </c>
      <c r="B23" s="38">
        <f>COUNTIF(Registro!$I$2:$I$96,A23)</f>
        <v>10</v>
      </c>
      <c r="C23" s="38">
        <f>COUNTIFS(Registro!$I$2:$I$96,A23,Registro!$Q$2:$Q$96,"Aprueba")</f>
        <v>0</v>
      </c>
      <c r="D23" s="40" t="str">
        <f>IFERROR(AVERAGEIF(Registro!$I$2:$I$96,A23,Registro!$P$2:$P$96),"")</f>
        <v/>
      </c>
    </row>
    <row r="24" spans="1:4" ht="15" customHeight="1" x14ac:dyDescent="0.25">
      <c r="A24" s="38" t="s">
        <v>115</v>
      </c>
      <c r="B24" s="38">
        <f>COUNTIF(Registro!$I$2:$I$96,A24)</f>
        <v>0</v>
      </c>
      <c r="C24" s="38">
        <f>COUNTIFS(Registro!$I$2:$I$96,A24,Registro!$Q$2:$Q$96,"Aprueba")</f>
        <v>0</v>
      </c>
      <c r="D24" s="40" t="str">
        <f>IFERROR(AVERAGEIF(Registro!$I$2:$I$96,A24,Registro!$P$2:$P$96),"")</f>
        <v/>
      </c>
    </row>
    <row r="25" spans="1:4" ht="15" customHeight="1" x14ac:dyDescent="0.25">
      <c r="A25" s="38" t="s">
        <v>116</v>
      </c>
      <c r="B25" s="38">
        <f>COUNTIF(Registro!$I$2:$I$96,A25)</f>
        <v>0</v>
      </c>
      <c r="C25" s="38">
        <f>COUNTIFS(Registro!$I$2:$I$96,A25,Registro!$Q$2:$Q$96,"Aprueba")</f>
        <v>0</v>
      </c>
      <c r="D25" s="40" t="str">
        <f>IFERROR(AVERAGEIF(Registro!$I$2:$I$96,A25,Registro!$P$2:$P$96),"")</f>
        <v/>
      </c>
    </row>
    <row r="26" spans="1:4" ht="14.25" customHeight="1" x14ac:dyDescent="0.25">
      <c r="A26" t="s">
        <v>117</v>
      </c>
      <c r="B26" s="38">
        <f>COUNTIF(Registro!$I$2:$I$96,A26)</f>
        <v>0</v>
      </c>
      <c r="C26" s="38">
        <f>COUNTIFS(Registro!$I$2:$I$96,A26,Registro!$Q$2:$Q$96,"Aprueba")</f>
        <v>0</v>
      </c>
    </row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K1000"/>
  <sheetViews>
    <sheetView zoomScaleNormal="100" workbookViewId="0">
      <selection activeCell="C7" sqref="C7"/>
    </sheetView>
  </sheetViews>
  <sheetFormatPr baseColWidth="10" defaultColWidth="14.42578125" defaultRowHeight="15" x14ac:dyDescent="0.25"/>
  <cols>
    <col min="1" max="1" width="26" customWidth="1"/>
    <col min="2" max="2" width="25.5703125" customWidth="1"/>
    <col min="3" max="3" width="39" customWidth="1"/>
    <col min="4" max="4" width="16.42578125" customWidth="1"/>
    <col min="5" max="5" width="25.85546875" customWidth="1"/>
    <col min="6" max="6" width="19.140625" customWidth="1"/>
    <col min="7" max="7" width="16.85546875" customWidth="1"/>
    <col min="8" max="8" width="10.28515625" customWidth="1"/>
    <col min="9" max="9" width="8.5703125" customWidth="1"/>
    <col min="10" max="10" width="32" customWidth="1"/>
    <col min="11" max="11" width="6.42578125" customWidth="1"/>
    <col min="12" max="26" width="8.5703125" customWidth="1"/>
  </cols>
  <sheetData>
    <row r="1" spans="1:11" ht="15" customHeight="1" x14ac:dyDescent="0.25">
      <c r="A1" s="32" t="s">
        <v>118</v>
      </c>
      <c r="B1" s="41">
        <v>70</v>
      </c>
      <c r="C1" s="42" t="s">
        <v>119</v>
      </c>
    </row>
    <row r="2" spans="1:11" ht="14.25" customHeight="1" x14ac:dyDescent="0.25">
      <c r="A2" t="s">
        <v>120</v>
      </c>
      <c r="B2">
        <v>5</v>
      </c>
      <c r="C2" t="s">
        <v>121</v>
      </c>
    </row>
    <row r="3" spans="1:11" ht="15" customHeight="1" x14ac:dyDescent="0.25">
      <c r="D3" s="43" t="s">
        <v>1</v>
      </c>
      <c r="E3" s="43" t="s">
        <v>3</v>
      </c>
      <c r="F3" s="43" t="s">
        <v>8</v>
      </c>
      <c r="G3" s="43" t="s">
        <v>122</v>
      </c>
      <c r="H3" s="43" t="s">
        <v>16</v>
      </c>
      <c r="J3" s="43" t="s">
        <v>123</v>
      </c>
      <c r="K3" s="43" t="s">
        <v>124</v>
      </c>
    </row>
    <row r="4" spans="1:11" ht="15" customHeight="1" x14ac:dyDescent="0.25">
      <c r="D4" s="38" t="s">
        <v>75</v>
      </c>
      <c r="E4" s="38" t="s">
        <v>125</v>
      </c>
      <c r="F4" s="38" t="s">
        <v>78</v>
      </c>
      <c r="G4" s="38" t="s">
        <v>126</v>
      </c>
      <c r="H4" s="38" t="s">
        <v>127</v>
      </c>
      <c r="J4" t="s">
        <v>62</v>
      </c>
      <c r="K4">
        <v>5</v>
      </c>
    </row>
    <row r="5" spans="1:11" ht="15" customHeight="1" x14ac:dyDescent="0.25">
      <c r="D5" s="38" t="s">
        <v>111</v>
      </c>
      <c r="E5" s="38" t="s">
        <v>128</v>
      </c>
      <c r="F5" s="38" t="s">
        <v>115</v>
      </c>
      <c r="G5" s="38" t="s">
        <v>129</v>
      </c>
      <c r="H5" s="38" t="s">
        <v>130</v>
      </c>
      <c r="J5" t="s">
        <v>131</v>
      </c>
      <c r="K5">
        <v>10</v>
      </c>
    </row>
    <row r="6" spans="1:11" ht="15" customHeight="1" x14ac:dyDescent="0.25">
      <c r="D6" s="38" t="s">
        <v>19</v>
      </c>
      <c r="E6" s="38" t="s">
        <v>20</v>
      </c>
      <c r="F6" s="38" t="s">
        <v>116</v>
      </c>
      <c r="G6" s="38" t="s">
        <v>132</v>
      </c>
      <c r="J6" t="s">
        <v>133</v>
      </c>
      <c r="K6">
        <v>10</v>
      </c>
    </row>
    <row r="7" spans="1:11" ht="15" customHeight="1" x14ac:dyDescent="0.25">
      <c r="D7" s="38" t="s">
        <v>134</v>
      </c>
      <c r="E7" s="38"/>
      <c r="F7" t="s">
        <v>23</v>
      </c>
      <c r="G7" s="38"/>
      <c r="J7" t="s">
        <v>135</v>
      </c>
      <c r="K7">
        <v>20</v>
      </c>
    </row>
    <row r="8" spans="1:11" ht="15" customHeight="1" x14ac:dyDescent="0.25">
      <c r="D8" s="38"/>
      <c r="E8" s="38"/>
      <c r="J8" t="s">
        <v>136</v>
      </c>
      <c r="K8">
        <v>50</v>
      </c>
    </row>
    <row r="9" spans="1:11" ht="14.25" customHeight="1" x14ac:dyDescent="0.25">
      <c r="J9" t="s">
        <v>137</v>
      </c>
      <c r="K9">
        <v>5</v>
      </c>
    </row>
    <row r="10" spans="1:11" ht="14.25" customHeight="1" x14ac:dyDescent="0.25"/>
    <row r="11" spans="1:11" ht="14.25" customHeight="1" x14ac:dyDescent="0.25">
      <c r="G11" s="44"/>
    </row>
    <row r="12" spans="1:11" ht="27.75" customHeight="1" x14ac:dyDescent="0.25">
      <c r="D12" s="44" t="s">
        <v>138</v>
      </c>
      <c r="E12" s="44"/>
      <c r="F12" s="44"/>
      <c r="G12" s="45"/>
    </row>
    <row r="13" spans="1:11" ht="14.25" customHeight="1" x14ac:dyDescent="0.25">
      <c r="D13" s="46"/>
      <c r="E13" s="46"/>
      <c r="F13" s="47"/>
      <c r="G13" s="45"/>
    </row>
    <row r="14" spans="1:11" ht="14.25" customHeight="1" x14ac:dyDescent="0.25">
      <c r="D14" s="46" t="s">
        <v>139</v>
      </c>
      <c r="E14" s="46"/>
      <c r="F14" s="47"/>
      <c r="G14" s="45"/>
    </row>
    <row r="15" spans="1:11" ht="14.25" customHeight="1" x14ac:dyDescent="0.25">
      <c r="D15" s="46" t="s">
        <v>140</v>
      </c>
      <c r="E15" s="46"/>
      <c r="F15" s="47"/>
      <c r="G15" s="45"/>
    </row>
    <row r="16" spans="1:11" ht="14.25" customHeight="1" x14ac:dyDescent="0.25">
      <c r="D16" s="46" t="s">
        <v>141</v>
      </c>
      <c r="E16" s="46"/>
      <c r="F16" s="47"/>
      <c r="G16" s="45"/>
    </row>
    <row r="17" spans="4:7" ht="14.25" customHeight="1" x14ac:dyDescent="0.25">
      <c r="D17" s="46" t="s">
        <v>142</v>
      </c>
      <c r="E17" s="46"/>
      <c r="F17" s="47"/>
      <c r="G17" s="45"/>
    </row>
    <row r="18" spans="4:7" ht="28.5" customHeight="1" x14ac:dyDescent="0.25">
      <c r="D18" s="46" t="s">
        <v>143</v>
      </c>
      <c r="E18" s="46"/>
      <c r="F18" s="47"/>
      <c r="G18" s="45"/>
    </row>
    <row r="19" spans="4:7" ht="14.25" customHeight="1" x14ac:dyDescent="0.25">
      <c r="D19" s="45"/>
      <c r="E19" s="46"/>
      <c r="F19" s="48"/>
    </row>
    <row r="20" spans="4:7" ht="14.25" customHeight="1" x14ac:dyDescent="0.25"/>
    <row r="21" spans="4:7" ht="14.25" customHeight="1" x14ac:dyDescent="0.25"/>
    <row r="22" spans="4:7" ht="14.25" customHeight="1" x14ac:dyDescent="0.25"/>
    <row r="23" spans="4:7" ht="14.25" customHeight="1" x14ac:dyDescent="0.25"/>
    <row r="24" spans="4:7" ht="14.25" customHeight="1" x14ac:dyDescent="0.25"/>
    <row r="25" spans="4:7" ht="14.25" customHeight="1" x14ac:dyDescent="0.25"/>
    <row r="26" spans="4:7" ht="14.25" customHeight="1" x14ac:dyDescent="0.25"/>
    <row r="27" spans="4:7" ht="14.25" customHeight="1" x14ac:dyDescent="0.25"/>
    <row r="28" spans="4:7" ht="14.25" customHeight="1" x14ac:dyDescent="0.25"/>
    <row r="29" spans="4:7" ht="14.25" customHeight="1" x14ac:dyDescent="0.25"/>
    <row r="30" spans="4:7" ht="14.25" customHeight="1" x14ac:dyDescent="0.25"/>
    <row r="31" spans="4:7" ht="14.25" customHeight="1" x14ac:dyDescent="0.25"/>
    <row r="32" spans="4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tabSelected="1" zoomScaleNormal="100" workbookViewId="0">
      <selection activeCell="A15" sqref="A15"/>
    </sheetView>
  </sheetViews>
  <sheetFormatPr baseColWidth="10" defaultColWidth="10.7109375" defaultRowHeight="15" x14ac:dyDescent="0.25"/>
  <cols>
    <col min="1" max="1" width="16.42578125" bestFit="1" customWidth="1"/>
    <col min="2" max="2" width="30.140625" bestFit="1" customWidth="1"/>
    <col min="3" max="3" width="28.140625" bestFit="1" customWidth="1"/>
    <col min="4" max="4" width="16.5703125" customWidth="1"/>
    <col min="5" max="5" width="31.5703125" customWidth="1"/>
    <col min="6" max="6" width="10.28515625" customWidth="1"/>
    <col min="7" max="7" width="11.7109375" customWidth="1"/>
    <col min="8" max="8" width="9.28515625" customWidth="1"/>
  </cols>
  <sheetData>
    <row r="1" spans="1:8" x14ac:dyDescent="0.25">
      <c r="A1" s="51" t="s">
        <v>4</v>
      </c>
      <c r="B1" s="51" t="s">
        <v>5</v>
      </c>
      <c r="C1" s="51" t="s">
        <v>6</v>
      </c>
      <c r="D1" s="51" t="s">
        <v>7</v>
      </c>
      <c r="E1" s="51" t="s">
        <v>2</v>
      </c>
      <c r="F1" s="51" t="s">
        <v>1</v>
      </c>
      <c r="G1" s="51" t="s">
        <v>15</v>
      </c>
      <c r="H1" s="51" t="s">
        <v>16</v>
      </c>
    </row>
    <row r="2" spans="1:8" x14ac:dyDescent="0.25">
      <c r="A2" s="52">
        <f>IFERROR(INDEX(Registro!$E$2:$E$500,MATCH(1,Registro!$T$2:$T$500,0)),"")</f>
        <v>1193156026</v>
      </c>
      <c r="B2" s="52" t="str">
        <f>IFERROR(INDEX(Registro!$F$2:$F$500,MATCH(1,Registro!$T$2:$T$500,0)),"")</f>
        <v>Sara Isabel Molina Sánchez</v>
      </c>
      <c r="C2" s="52" t="str">
        <f>IFERROR(INDEX(Registro!$G$2:$G$500,MATCH(1,Registro!$T$2:$T$500,0)),"")</f>
        <v>Molinasara453@gmail.com</v>
      </c>
      <c r="D2" s="52">
        <f>IFERROR(INDEX(Registro!$H$2:$H$500,MATCH(1,Registro!$T$2:$T$500,0)),"")</f>
        <v>3245742876</v>
      </c>
      <c r="E2" s="53">
        <f>IFERROR(INDEX(Registro!$C$2:$C$500,MATCH(1,Registro!$T$2:$T$500,0)),"")</f>
        <v>46204</v>
      </c>
      <c r="F2" s="52" t="str">
        <f>IFERROR(INDEX(Registro!$B$2:$B$500,MATCH(1,Registro!$T$2:$T$500,0)),"")</f>
        <v>Posgrados</v>
      </c>
      <c r="G2" s="54">
        <f>IFERROR(INDEX(Registro!$P$2:$P$500,MATCH(1,Registro!$T$2:$T$500,0)),"")</f>
        <v>72</v>
      </c>
      <c r="H2" s="52" t="str">
        <f>IFERROR(INDEX(Registro!$Q$2:$Q$500,MATCH(1,Registro!$T$2:$T$500,0)),"")</f>
        <v>Aprueba</v>
      </c>
    </row>
    <row r="3" spans="1:8" x14ac:dyDescent="0.25">
      <c r="A3" s="52">
        <f>IFERROR(INDEX(Registro!$E$2:$E$500,MATCH(2,Registro!$T$2:$T$500,0)),"")</f>
        <v>1016001652</v>
      </c>
      <c r="B3" s="52" t="str">
        <f>IFERROR(INDEX(Registro!$F$2:$F$500,MATCH(2,Registro!$T$2:$T$500,0)),"")</f>
        <v>Helen Sofia Calderon Camelo</v>
      </c>
      <c r="C3" s="52" t="str">
        <f>IFERROR(INDEX(Registro!$G$2:$G$500,MATCH(2,Registro!$T$2:$T$500,0)),"")</f>
        <v>helencalderon910@gmail.com</v>
      </c>
      <c r="D3" s="52" t="str">
        <f>IFERROR(INDEX(Registro!$H$2:$H$500,MATCH(2,Registro!$T$2:$T$500,0)),"")</f>
        <v>‪3239227093‬</v>
      </c>
      <c r="E3" s="53">
        <f>IFERROR(INDEX(Registro!$C$2:$C$500,MATCH(2,Registro!$T$2:$T$500,0)),"")</f>
        <v>46204</v>
      </c>
      <c r="F3" s="52" t="str">
        <f>IFERROR(INDEX(Registro!$B$2:$B$500,MATCH(2,Registro!$T$2:$T$500,0)),"")</f>
        <v>Posgrados</v>
      </c>
      <c r="G3" s="54">
        <f>IFERROR(INDEX(Registro!$P$2:$P$500,MATCH(2,Registro!$T$2:$T$500,0)),"")</f>
        <v>70</v>
      </c>
      <c r="H3" s="52" t="str">
        <f>IFERROR(INDEX(Registro!$Q$2:$Q$500,MATCH(2,Registro!$T$2:$T$500,0)),"")</f>
        <v>Aprueba</v>
      </c>
    </row>
    <row r="4" spans="1:8" x14ac:dyDescent="0.25">
      <c r="A4" s="52">
        <f>IFERROR(INDEX(Registro!$E$2:$E$500,MATCH(3,Registro!$T$2:$T$500,0)),"")</f>
        <v>1001314657</v>
      </c>
      <c r="B4" s="52" t="str">
        <f>IFERROR(INDEX(Registro!$F$2:$F$500,MATCH(3,Registro!$T$2:$T$500,0)),"")</f>
        <v>Thomas Bernardo Fernandez Laverde</v>
      </c>
      <c r="C4" s="52" t="str">
        <f>IFERROR(INDEX(Registro!$G$2:$G$500,MATCH(3,Registro!$T$2:$T$500,0)),"")</f>
        <v>tfernandezlaverde@gmail.com</v>
      </c>
      <c r="D4" s="52">
        <f>IFERROR(INDEX(Registro!$H$2:$H$500,MATCH(3,Registro!$T$2:$T$500,0)),"")</f>
        <v>3103798566</v>
      </c>
      <c r="E4" s="53">
        <f>IFERROR(INDEX(Registro!$C$2:$C$500,MATCH(3,Registro!$T$2:$T$500,0)),"")</f>
        <v>46204</v>
      </c>
      <c r="F4" s="52" t="str">
        <f>IFERROR(INDEX(Registro!$B$2:$B$500,MATCH(3,Registro!$T$2:$T$500,0)),"")</f>
        <v>Posgrados</v>
      </c>
      <c r="G4" s="54">
        <f>IFERROR(INDEX(Registro!$P$2:$P$500,MATCH(3,Registro!$T$2:$T$500,0)),"")</f>
        <v>72</v>
      </c>
      <c r="H4" s="52" t="str">
        <f>IFERROR(INDEX(Registro!$Q$2:$Q$500,MATCH(3,Registro!$T$2:$T$500,0)),"")</f>
        <v>Aprueba</v>
      </c>
    </row>
    <row r="5" spans="1:8" x14ac:dyDescent="0.25">
      <c r="A5" s="52">
        <f>IFERROR(INDEX(Registro!$E$2:$E$500,MATCH(4,Registro!$T$2:$T$500,0)),"")</f>
        <v>1033096735</v>
      </c>
      <c r="B5" s="52" t="str">
        <f>IFERROR(INDEX(Registro!$F$2:$F$500,MATCH(4,Registro!$T$2:$T$500,0)),"")</f>
        <v>Pablo Steven Ochoa Rodriguez</v>
      </c>
      <c r="C5" s="52" t="str">
        <f>IFERROR(INDEX(Registro!$G$2:$G$500,MATCH(4,Registro!$T$2:$T$500,0)),"")</f>
        <v>Pablorodriguez8q@gmail.com</v>
      </c>
      <c r="D5" s="52">
        <f>IFERROR(INDEX(Registro!$H$2:$H$500,MATCH(4,Registro!$T$2:$T$500,0)),"")</f>
        <v>3196588439</v>
      </c>
      <c r="E5" s="53">
        <f>IFERROR(INDEX(Registro!$C$2:$C$500,MATCH(4,Registro!$T$2:$T$500,0)),"")</f>
        <v>46204</v>
      </c>
      <c r="F5" s="52" t="str">
        <f>IFERROR(INDEX(Registro!$B$2:$B$500,MATCH(4,Registro!$T$2:$T$500,0)),"")</f>
        <v>Posgrados</v>
      </c>
      <c r="G5" s="54">
        <f>IFERROR(INDEX(Registro!$P$2:$P$500,MATCH(4,Registro!$T$2:$T$500,0)),"")</f>
        <v>81</v>
      </c>
      <c r="H5" s="52" t="str">
        <f>IFERROR(INDEX(Registro!$Q$2:$Q$500,MATCH(4,Registro!$T$2:$T$500,0)),"")</f>
        <v>Aprueba</v>
      </c>
    </row>
    <row r="6" spans="1:8" x14ac:dyDescent="0.25">
      <c r="A6" s="52">
        <f>IFERROR(INDEX(Registro!$E$2:$E$500,MATCH(5,Registro!$T$2:$T$500,0)),"")</f>
        <v>1004961429</v>
      </c>
      <c r="B6" s="52" t="str">
        <f>IFERROR(INDEX(Registro!$F$2:$F$500,MATCH(5,Registro!$T$2:$T$500,0)),"")</f>
        <v>Jhon Stiven Marin Valencia</v>
      </c>
      <c r="C6" s="52" t="str">
        <f>IFERROR(INDEX(Registro!$G$2:$G$500,MATCH(5,Registro!$T$2:$T$500,0)),"")</f>
        <v>jhonstivenmarin02@gmail.com</v>
      </c>
      <c r="D6" s="52">
        <f>IFERROR(INDEX(Registro!$H$2:$H$500,MATCH(5,Registro!$T$2:$T$500,0)),"")</f>
        <v>3219466413</v>
      </c>
      <c r="E6" s="53">
        <f>IFERROR(INDEX(Registro!$C$2:$C$500,MATCH(5,Registro!$T$2:$T$500,0)),"")</f>
        <v>46204</v>
      </c>
      <c r="F6" s="52" t="str">
        <f>IFERROR(INDEX(Registro!$B$2:$B$500,MATCH(5,Registro!$T$2:$T$500,0)),"")</f>
        <v>Posgrados</v>
      </c>
      <c r="G6" s="54">
        <f>IFERROR(INDEX(Registro!$P$2:$P$500,MATCH(5,Registro!$T$2:$T$500,0)),"")</f>
        <v>73</v>
      </c>
      <c r="H6" s="52" t="str">
        <f>IFERROR(INDEX(Registro!$Q$2:$Q$500,MATCH(5,Registro!$T$2:$T$500,0)),"")</f>
        <v>Aprueba</v>
      </c>
    </row>
    <row r="7" spans="1:8" x14ac:dyDescent="0.25">
      <c r="A7" s="52">
        <f>IFERROR(INDEX(Registro!$E$2:$E$500,MATCH(6,Registro!$T$2:$T$500,0)),"")</f>
        <v>53121281</v>
      </c>
      <c r="B7" s="52" t="str">
        <f>IFERROR(INDEX(Registro!$F$2:$F$500,MATCH(6,Registro!$T$2:$T$500,0)),"")</f>
        <v>Yulieth Paola Rodriguez Cañon</v>
      </c>
      <c r="C7" s="52" t="str">
        <f>IFERROR(INDEX(Registro!$G$2:$G$500,MATCH(6,Registro!$T$2:$T$500,0)),"")</f>
        <v>ypaolarodriguez14@gmail.com</v>
      </c>
      <c r="D7" s="52">
        <f>IFERROR(INDEX(Registro!$H$2:$H$500,MATCH(6,Registro!$T$2:$T$500,0)),"")</f>
        <v>3112142736</v>
      </c>
      <c r="E7" s="53">
        <f>IFERROR(INDEX(Registro!$C$2:$C$500,MATCH(6,Registro!$T$2:$T$500,0)),"")</f>
        <v>46204</v>
      </c>
      <c r="F7" s="52" t="str">
        <f>IFERROR(INDEX(Registro!$B$2:$B$500,MATCH(6,Registro!$T$2:$T$500,0)),"")</f>
        <v>Posgrados</v>
      </c>
      <c r="G7" s="54">
        <f>IFERROR(INDEX(Registro!$P$2:$P$500,MATCH(6,Registro!$T$2:$T$500,0)),"")</f>
        <v>78</v>
      </c>
      <c r="H7" s="52" t="str">
        <f>IFERROR(INDEX(Registro!$Q$2:$Q$500,MATCH(6,Registro!$T$2:$T$500,0)),"")</f>
        <v>Aprueba</v>
      </c>
    </row>
    <row r="8" spans="1:8" x14ac:dyDescent="0.25">
      <c r="A8" s="52">
        <f>IFERROR(INDEX(Registro!$E$2:$E$500,MATCH(7,Registro!$T$2:$T$500,0)),"")</f>
        <v>1024585365</v>
      </c>
      <c r="B8" s="52" t="str">
        <f>IFERROR(INDEX(Registro!$F$2:$F$500,MATCH(7,Registro!$T$2:$T$500,0)),"")</f>
        <v>Cristian David Celis Garcia</v>
      </c>
      <c r="C8" s="52" t="str">
        <f>IFERROR(INDEX(Registro!$G$2:$G$500,MATCH(7,Registro!$T$2:$T$500,0)),"")</f>
        <v>cristianceliss9719@gmail.com</v>
      </c>
      <c r="D8" s="52">
        <f>IFERROR(INDEX(Registro!$H$2:$H$500,MATCH(7,Registro!$T$2:$T$500,0)),"")</f>
        <v>3216686201</v>
      </c>
      <c r="E8" s="53">
        <f>IFERROR(INDEX(Registro!$C$2:$C$500,MATCH(7,Registro!$T$2:$T$500,0)),"")</f>
        <v>46211</v>
      </c>
      <c r="F8" s="52" t="str">
        <f>IFERROR(INDEX(Registro!$B$2:$B$500,MATCH(7,Registro!$T$2:$T$500,0)),"")</f>
        <v>Posgrados</v>
      </c>
      <c r="G8" s="54">
        <f>IFERROR(INDEX(Registro!$P$2:$P$500,MATCH(7,Registro!$T$2:$T$500,0)),"")</f>
        <v>73</v>
      </c>
      <c r="H8" s="52" t="str">
        <f>IFERROR(INDEX(Registro!$Q$2:$Q$500,MATCH(7,Registro!$T$2:$T$500,0)),"")</f>
        <v>Aprueba</v>
      </c>
    </row>
    <row r="9" spans="1:8" x14ac:dyDescent="0.25">
      <c r="A9" s="52">
        <f>IFERROR(INDEX(Registro!$E$2:$E$500,MATCH(8,Registro!$T$2:$T$500,0)),"")</f>
        <v>1000547797</v>
      </c>
      <c r="B9" s="52" t="str">
        <f>IFERROR(INDEX(Registro!$F$2:$F$500,MATCH(8,Registro!$T$2:$T$500,0)),"")</f>
        <v>Kamy Lizeth Rios Gomez</v>
      </c>
      <c r="C9" s="52" t="str">
        <f>IFERROR(INDEX(Registro!$G$2:$G$500,MATCH(8,Registro!$T$2:$T$500,0)),"")</f>
        <v>riosgomezkamy@gmail.com</v>
      </c>
      <c r="D9" s="52">
        <f>IFERROR(INDEX(Registro!$H$2:$H$500,MATCH(8,Registro!$T$2:$T$500,0)),"")</f>
        <v>3112534635</v>
      </c>
      <c r="E9" s="53">
        <f>IFERROR(INDEX(Registro!$C$2:$C$500,MATCH(8,Registro!$T$2:$T$500,0)),"")</f>
        <v>46211</v>
      </c>
      <c r="F9" s="52" t="str">
        <f>IFERROR(INDEX(Registro!$B$2:$B$500,MATCH(8,Registro!$T$2:$T$500,0)),"")</f>
        <v>Posgrados</v>
      </c>
      <c r="G9" s="54">
        <f>IFERROR(INDEX(Registro!$P$2:$P$500,MATCH(8,Registro!$T$2:$T$500,0)),"")</f>
        <v>90</v>
      </c>
      <c r="H9" s="52" t="str">
        <f>IFERROR(INDEX(Registro!$Q$2:$Q$500,MATCH(8,Registro!$T$2:$T$500,0)),"")</f>
        <v>Aprueba</v>
      </c>
    </row>
    <row r="10" spans="1:8" x14ac:dyDescent="0.25">
      <c r="A10" s="52">
        <f>IFERROR(INDEX(Registro!$E$2:$E$500,MATCH(9,Registro!$T$2:$T$500,0)),"")</f>
        <v>1023867138</v>
      </c>
      <c r="B10" s="52" t="str">
        <f>IFERROR(INDEX(Registro!$F$2:$F$500,MATCH(9,Registro!$T$2:$T$500,0)),"")</f>
        <v>Yisell Dayana Castro González</v>
      </c>
      <c r="C10" s="52" t="str">
        <f>IFERROR(INDEX(Registro!$G$2:$G$500,MATCH(9,Registro!$T$2:$T$500,0)),"")</f>
        <v>Gonzalezdayanna730@gmail.com</v>
      </c>
      <c r="D10" s="52">
        <f>IFERROR(INDEX(Registro!$H$2:$H$500,MATCH(9,Registro!$T$2:$T$500,0)),"")</f>
        <v>3143600585</v>
      </c>
      <c r="E10" s="53">
        <f>IFERROR(INDEX(Registro!$C$2:$C$500,MATCH(9,Registro!$T$2:$T$500,0)),"")</f>
        <v>46211</v>
      </c>
      <c r="F10" s="52" t="str">
        <f>IFERROR(INDEX(Registro!$B$2:$B$500,MATCH(9,Registro!$T$2:$T$500,0)),"")</f>
        <v>Posgrados</v>
      </c>
      <c r="G10" s="54">
        <f>IFERROR(INDEX(Registro!$P$2:$P$500,MATCH(9,Registro!$T$2:$T$500,0)),"")</f>
        <v>72</v>
      </c>
      <c r="H10" s="52" t="str">
        <f>IFERROR(INDEX(Registro!$Q$2:$Q$500,MATCH(9,Registro!$T$2:$T$500,0)),"")</f>
        <v>Aprueba</v>
      </c>
    </row>
    <row r="11" spans="1:8" x14ac:dyDescent="0.25">
      <c r="A11" s="52">
        <f>IFERROR(INDEX(Registro!$E$2:$E$500,MATCH(10,Registro!$T$2:$T$500,0)),"")</f>
        <v>1000810776</v>
      </c>
      <c r="B11" s="52" t="str">
        <f>IFERROR(INDEX(Registro!$F$2:$F$500,MATCH(10,Registro!$T$2:$T$500,0)),"")</f>
        <v>Nataly Andrea Maecha Lizarazo</v>
      </c>
      <c r="C11" s="52" t="str">
        <f>IFERROR(INDEX(Registro!$G$2:$G$500,MATCH(10,Registro!$T$2:$T$500,0)),"")</f>
        <v>natamahecha23@gmail.com</v>
      </c>
      <c r="D11" s="52">
        <f>IFERROR(INDEX(Registro!$H$2:$H$500,MATCH(10,Registro!$T$2:$T$500,0)),"")</f>
        <v>3204984051</v>
      </c>
      <c r="E11" s="53">
        <f>IFERROR(INDEX(Registro!$C$2:$C$500,MATCH(10,Registro!$T$2:$T$500,0)),"")</f>
        <v>46211</v>
      </c>
      <c r="F11" s="52" t="str">
        <f>IFERROR(INDEX(Registro!$B$2:$B$500,MATCH(10,Registro!$T$2:$T$500,0)),"")</f>
        <v>Posgrados</v>
      </c>
      <c r="G11" s="54">
        <f>IFERROR(INDEX(Registro!$P$2:$P$500,MATCH(10,Registro!$T$2:$T$500,0)),"")</f>
        <v>74</v>
      </c>
      <c r="H11" s="52" t="str">
        <f>IFERROR(INDEX(Registro!$Q$2:$Q$500,MATCH(10,Registro!$T$2:$T$500,0)),"")</f>
        <v>Aprueba</v>
      </c>
    </row>
    <row r="12" spans="1:8" x14ac:dyDescent="0.25">
      <c r="A12" s="52">
        <f>IFERROR(INDEX(Registro!$E$2:$E$500,MATCH(11,Registro!$T$2:$T$500,0)),"")</f>
        <v>1001271946</v>
      </c>
      <c r="B12" s="52" t="str">
        <f>IFERROR(INDEX(Registro!$F$2:$F$500,MATCH(11,Registro!$T$2:$T$500,0)),"")</f>
        <v>Luisa Fernanda Rodríguez Sarmiento</v>
      </c>
      <c r="C12" s="52" t="str">
        <f>IFERROR(INDEX(Registro!$G$2:$G$500,MATCH(11,Registro!$T$2:$T$500,0)),"")</f>
        <v>feryantonella13@gmail.com</v>
      </c>
      <c r="D12" s="52">
        <f>IFERROR(INDEX(Registro!$H$2:$H$500,MATCH(11,Registro!$T$2:$T$500,0)),"")</f>
        <v>3054399778</v>
      </c>
      <c r="E12" s="53">
        <f>IFERROR(INDEX(Registro!$C$2:$C$500,MATCH(11,Registro!$T$2:$T$500,0)),"")</f>
        <v>46211</v>
      </c>
      <c r="F12" s="52" t="str">
        <f>IFERROR(INDEX(Registro!$B$2:$B$500,MATCH(11,Registro!$T$2:$T$500,0)),"")</f>
        <v>Posgrados</v>
      </c>
      <c r="G12" s="54">
        <f>IFERROR(INDEX(Registro!$P$2:$P$500,MATCH(11,Registro!$T$2:$T$500,0)),"")</f>
        <v>74</v>
      </c>
      <c r="H12" s="52" t="str">
        <f>IFERROR(INDEX(Registro!$Q$2:$Q$500,MATCH(11,Registro!$T$2:$T$500,0)),"")</f>
        <v>Aprueba</v>
      </c>
    </row>
    <row r="13" spans="1:8" x14ac:dyDescent="0.25">
      <c r="A13" s="52">
        <f>IFERROR(INDEX(Registro!$E$2:$E$500,MATCH(12,Registro!$T$2:$T$500,0)),"")</f>
        <v>1117813165</v>
      </c>
      <c r="B13" s="52" t="str">
        <f>IFERROR(INDEX(Registro!$F$2:$F$500,MATCH(12,Registro!$T$2:$T$500,0)),"")</f>
        <v>Yedinson Stiven Ramirez Perdómo</v>
      </c>
      <c r="C13" s="52" t="str">
        <f>IFERROR(INDEX(Registro!$G$2:$G$500,MATCH(12,Registro!$T$2:$T$500,0)),"")</f>
        <v>kramirezperdomo@gmail.com</v>
      </c>
      <c r="D13" s="52">
        <f>IFERROR(INDEX(Registro!$H$2:$H$500,MATCH(12,Registro!$T$2:$T$500,0)),"")</f>
        <v>3506517824</v>
      </c>
      <c r="E13" s="53">
        <f>IFERROR(INDEX(Registro!$C$2:$C$500,MATCH(12,Registro!$T$2:$T$500,0)),"")</f>
        <v>46211</v>
      </c>
      <c r="F13" s="52" t="str">
        <f>IFERROR(INDEX(Registro!$B$2:$B$500,MATCH(12,Registro!$T$2:$T$500,0)),"")</f>
        <v>Posgrados</v>
      </c>
      <c r="G13" s="54">
        <f>IFERROR(INDEX(Registro!$P$2:$P$500,MATCH(12,Registro!$T$2:$T$500,0)),"")</f>
        <v>94</v>
      </c>
      <c r="H13" s="52" t="str">
        <f>IFERROR(INDEX(Registro!$Q$2:$Q$500,MATCH(12,Registro!$T$2:$T$500,0)),"")</f>
        <v>Aprueba</v>
      </c>
    </row>
    <row r="14" spans="1:8" x14ac:dyDescent="0.25">
      <c r="A14" s="52">
        <f>IFERROR(INDEX(Registro!$E$2:$E$500,MATCH(13,Registro!$T$2:$T$500,0)),"")</f>
        <v>1070595836</v>
      </c>
      <c r="B14" s="52" t="str">
        <f>IFERROR(INDEX(Registro!$F$2:$F$500,MATCH(13,Registro!$T$2:$T$500,0)),"")</f>
        <v>Hebert Julián Casilimas Ricardo</v>
      </c>
      <c r="C14" s="52" t="str">
        <f>IFERROR(INDEX(Registro!$G$2:$G$500,MATCH(13,Registro!$T$2:$T$500,0)),"")</f>
        <v>julian180703@icloud.com</v>
      </c>
      <c r="D14" s="52">
        <f>IFERROR(INDEX(Registro!$H$2:$H$500,MATCH(13,Registro!$T$2:$T$500,0)),"")</f>
        <v>3229087879</v>
      </c>
      <c r="E14" s="53">
        <f>IFERROR(INDEX(Registro!$C$2:$C$500,MATCH(13,Registro!$T$2:$T$500,0)),"")</f>
        <v>46211</v>
      </c>
      <c r="F14" s="52" t="str">
        <f>IFERROR(INDEX(Registro!$B$2:$B$500,MATCH(13,Registro!$T$2:$T$500,0)),"")</f>
        <v>Posgrados</v>
      </c>
      <c r="G14" s="54">
        <f>IFERROR(INDEX(Registro!$P$2:$P$500,MATCH(13,Registro!$T$2:$T$500,0)),"")</f>
        <v>91</v>
      </c>
      <c r="H14" s="52" t="str">
        <f>IFERROR(INDEX(Registro!$Q$2:$Q$500,MATCH(13,Registro!$T$2:$T$500,0)),"")</f>
        <v>Aprueba</v>
      </c>
    </row>
    <row r="15" spans="1:8" x14ac:dyDescent="0.25">
      <c r="A15" s="52"/>
      <c r="B15" s="49" t="str">
        <f>IFERROR(INDEX(Registro!$F$2:$F$500,MATCH(14,Registro!$T$2:$T$500,0)),"")</f>
        <v/>
      </c>
      <c r="C15" s="49" t="str">
        <f>IFERROR(INDEX(Registro!$G$2:$G$500,MATCH(14,Registro!$T$2:$T$500,0)),"")</f>
        <v/>
      </c>
      <c r="D15" s="49" t="str">
        <f>IFERROR(INDEX(Registro!$H$2:$H$500,MATCH(14,Registro!$T$2:$T$500,0)),"")</f>
        <v/>
      </c>
      <c r="E15" s="50" t="str">
        <f>IFERROR(INDEX(Registro!$C$2:$C$500,MATCH(14,Registro!$T$2:$T$500,0)),"")</f>
        <v/>
      </c>
      <c r="F15" s="49" t="str">
        <f>IFERROR(INDEX(Registro!$B$2:$B$500,MATCH(14,Registro!$T$2:$T$500,0)),"")</f>
        <v/>
      </c>
      <c r="G15" s="49" t="str">
        <f>IFERROR(INDEX(Registro!$P$2:$P$500,MATCH(14,Registro!$T$2:$T$500,0)),"")</f>
        <v/>
      </c>
      <c r="H15" s="49" t="str">
        <f>IFERROR(INDEX(Registro!$Q$2:$Q$500,MATCH(14,Registro!$T$2:$T$500,0)),"")</f>
        <v/>
      </c>
    </row>
    <row r="16" spans="1:8" x14ac:dyDescent="0.25">
      <c r="A16" s="49" t="str">
        <f>IFERROR(INDEX(Registro!$E$2:$E$500,MATCH(15,Registro!$T$2:$T$500,0)),"")</f>
        <v/>
      </c>
      <c r="B16" s="49" t="str">
        <f>IFERROR(INDEX(Registro!$F$2:$F$500,MATCH(15,Registro!$T$2:$T$500,0)),"")</f>
        <v/>
      </c>
      <c r="C16" s="49" t="str">
        <f>IFERROR(INDEX(Registro!$G$2:$G$500,MATCH(15,Registro!$T$2:$T$500,0)),"")</f>
        <v/>
      </c>
      <c r="D16" s="49" t="str">
        <f>IFERROR(INDEX(Registro!$H$2:$H$500,MATCH(15,Registro!$T$2:$T$500,0)),"")</f>
        <v/>
      </c>
      <c r="E16" s="50" t="str">
        <f>IFERROR(INDEX(Registro!$C$2:$C$500,MATCH(15,Registro!$T$2:$T$500,0)),"")</f>
        <v/>
      </c>
      <c r="F16" s="49" t="str">
        <f>IFERROR(INDEX(Registro!$B$2:$B$500,MATCH(15,Registro!$T$2:$T$500,0)),"")</f>
        <v/>
      </c>
      <c r="G16" s="49" t="str">
        <f>IFERROR(INDEX(Registro!$P$2:$P$500,MATCH(15,Registro!$T$2:$T$500,0)),"")</f>
        <v/>
      </c>
      <c r="H16" s="49" t="str">
        <f>IFERROR(INDEX(Registro!$Q$2:$Q$500,MATCH(15,Registro!$T$2:$T$500,0)),"")</f>
        <v/>
      </c>
    </row>
    <row r="17" spans="1:8" x14ac:dyDescent="0.25">
      <c r="A17" s="49" t="str">
        <f>IFERROR(INDEX(Registro!$E$2:$E$500,MATCH(16,Registro!$T$2:$T$500,0)),"")</f>
        <v/>
      </c>
      <c r="B17" s="49" t="str">
        <f>IFERROR(INDEX(Registro!$F$2:$F$500,MATCH(16,Registro!$T$2:$T$500,0)),"")</f>
        <v/>
      </c>
      <c r="C17" s="49" t="str">
        <f>IFERROR(INDEX(Registro!$G$2:$G$500,MATCH(16,Registro!$T$2:$T$500,0)),"")</f>
        <v/>
      </c>
      <c r="D17" s="49" t="str">
        <f>IFERROR(INDEX(Registro!$H$2:$H$500,MATCH(16,Registro!$T$2:$T$500,0)),"")</f>
        <v/>
      </c>
      <c r="E17" s="50" t="str">
        <f>IFERROR(INDEX(Registro!$C$2:$C$500,MATCH(16,Registro!$T$2:$T$500,0)),"")</f>
        <v/>
      </c>
      <c r="F17" s="49" t="str">
        <f>IFERROR(INDEX(Registro!$B$2:$B$500,MATCH(16,Registro!$T$2:$T$500,0)),"")</f>
        <v/>
      </c>
      <c r="G17" s="49" t="str">
        <f>IFERROR(INDEX(Registro!$P$2:$P$500,MATCH(16,Registro!$T$2:$T$500,0)),"")</f>
        <v/>
      </c>
      <c r="H17" s="49" t="str">
        <f>IFERROR(INDEX(Registro!$Q$2:$Q$500,MATCH(16,Registro!$T$2:$T$500,0)),"")</f>
        <v/>
      </c>
    </row>
    <row r="18" spans="1:8" x14ac:dyDescent="0.25">
      <c r="A18" s="49" t="str">
        <f>IFERROR(INDEX(Registro!$E$2:$E$500,MATCH(17,Registro!$T$2:$T$500,0)),"")</f>
        <v/>
      </c>
      <c r="B18" s="49" t="str">
        <f>IFERROR(INDEX(Registro!$F$2:$F$500,MATCH(17,Registro!$T$2:$T$500,0)),"")</f>
        <v/>
      </c>
      <c r="C18" s="49" t="str">
        <f>IFERROR(INDEX(Registro!$G$2:$G$500,MATCH(17,Registro!$T$2:$T$500,0)),"")</f>
        <v/>
      </c>
      <c r="D18" s="49" t="str">
        <f>IFERROR(INDEX(Registro!$H$2:$H$500,MATCH(17,Registro!$T$2:$T$500,0)),"")</f>
        <v/>
      </c>
      <c r="E18" s="50" t="str">
        <f>IFERROR(INDEX(Registro!$C$2:$C$500,MATCH(17,Registro!$T$2:$T$500,0)),"")</f>
        <v/>
      </c>
      <c r="F18" s="49" t="str">
        <f>IFERROR(INDEX(Registro!$B$2:$B$500,MATCH(17,Registro!$T$2:$T$500,0)),"")</f>
        <v/>
      </c>
      <c r="G18" s="49" t="str">
        <f>IFERROR(INDEX(Registro!$P$2:$P$500,MATCH(17,Registro!$T$2:$T$500,0)),"")</f>
        <v/>
      </c>
      <c r="H18" s="49" t="str">
        <f>IFERROR(INDEX(Registro!$Q$2:$Q$500,MATCH(17,Registro!$T$2:$T$500,0)),"")</f>
        <v/>
      </c>
    </row>
    <row r="19" spans="1:8" x14ac:dyDescent="0.25">
      <c r="A19" s="49" t="str">
        <f>IFERROR(INDEX(Registro!$E$2:$E$500,MATCH(18,Registro!$T$2:$T$500,0)),"")</f>
        <v/>
      </c>
      <c r="B19" s="49" t="str">
        <f>IFERROR(INDEX(Registro!$F$2:$F$500,MATCH(18,Registro!$T$2:$T$500,0)),"")</f>
        <v/>
      </c>
      <c r="C19" s="49" t="str">
        <f>IFERROR(INDEX(Registro!$G$2:$G$500,MATCH(18,Registro!$T$2:$T$500,0)),"")</f>
        <v/>
      </c>
      <c r="D19" s="49" t="str">
        <f>IFERROR(INDEX(Registro!$H$2:$H$500,MATCH(18,Registro!$T$2:$T$500,0)),"")</f>
        <v/>
      </c>
      <c r="E19" s="50" t="str">
        <f>IFERROR(INDEX(Registro!$C$2:$C$500,MATCH(18,Registro!$T$2:$T$500,0)),"")</f>
        <v/>
      </c>
      <c r="F19" s="49" t="str">
        <f>IFERROR(INDEX(Registro!$B$2:$B$500,MATCH(18,Registro!$T$2:$T$500,0)),"")</f>
        <v/>
      </c>
      <c r="G19" s="49" t="str">
        <f>IFERROR(INDEX(Registro!$P$2:$P$500,MATCH(18,Registro!$T$2:$T$500,0)),"")</f>
        <v/>
      </c>
      <c r="H19" s="49" t="str">
        <f>IFERROR(INDEX(Registro!$Q$2:$Q$500,MATCH(18,Registro!$T$2:$T$500,0)),"")</f>
        <v/>
      </c>
    </row>
    <row r="20" spans="1:8" x14ac:dyDescent="0.25">
      <c r="A20" s="49" t="str">
        <f>IFERROR(INDEX(Registro!$E$2:$E$500,MATCH(19,Registro!$T$2:$T$500,0)),"")</f>
        <v/>
      </c>
      <c r="B20" s="49" t="str">
        <f>IFERROR(INDEX(Registro!$F$2:$F$500,MATCH(19,Registro!$T$2:$T$500,0)),"")</f>
        <v/>
      </c>
      <c r="C20" s="49" t="str">
        <f>IFERROR(INDEX(Registro!$G$2:$G$500,MATCH(19,Registro!$T$2:$T$500,0)),"")</f>
        <v/>
      </c>
      <c r="D20" s="49" t="str">
        <f>IFERROR(INDEX(Registro!$H$2:$H$500,MATCH(19,Registro!$T$2:$T$500,0)),"")</f>
        <v/>
      </c>
      <c r="E20" s="50" t="str">
        <f>IFERROR(INDEX(Registro!$C$2:$C$500,MATCH(19,Registro!$T$2:$T$500,0)),"")</f>
        <v/>
      </c>
      <c r="F20" s="49" t="str">
        <f>IFERROR(INDEX(Registro!$B$2:$B$500,MATCH(19,Registro!$T$2:$T$500,0)),"")</f>
        <v/>
      </c>
      <c r="G20" s="49" t="str">
        <f>IFERROR(INDEX(Registro!$P$2:$P$500,MATCH(19,Registro!$T$2:$T$500,0)),"")</f>
        <v/>
      </c>
      <c r="H20" s="49" t="str">
        <f>IFERROR(INDEX(Registro!$Q$2:$Q$500,MATCH(19,Registro!$T$2:$T$500,0)),"")</f>
        <v/>
      </c>
    </row>
    <row r="21" spans="1:8" x14ac:dyDescent="0.25">
      <c r="A21" s="49" t="str">
        <f>IFERROR(INDEX(Registro!$E$2:$E$500,MATCH(20,Registro!$T$2:$T$500,0)),"")</f>
        <v/>
      </c>
      <c r="B21" s="49" t="str">
        <f>IFERROR(INDEX(Registro!$F$2:$F$500,MATCH(20,Registro!$T$2:$T$500,0)),"")</f>
        <v/>
      </c>
      <c r="C21" s="49" t="str">
        <f>IFERROR(INDEX(Registro!$G$2:$G$500,MATCH(20,Registro!$T$2:$T$500,0)),"")</f>
        <v/>
      </c>
      <c r="D21" s="49" t="str">
        <f>IFERROR(INDEX(Registro!$H$2:$H$500,MATCH(20,Registro!$T$2:$T$500,0)),"")</f>
        <v/>
      </c>
      <c r="E21" s="50" t="str">
        <f>IFERROR(INDEX(Registro!$C$2:$C$500,MATCH(20,Registro!$T$2:$T$500,0)),"")</f>
        <v/>
      </c>
      <c r="F21" s="49" t="str">
        <f>IFERROR(INDEX(Registro!$B$2:$B$500,MATCH(20,Registro!$T$2:$T$500,0)),"")</f>
        <v/>
      </c>
      <c r="G21" s="49" t="str">
        <f>IFERROR(INDEX(Registro!$P$2:$P$500,MATCH(20,Registro!$T$2:$T$500,0)),"")</f>
        <v/>
      </c>
      <c r="H21" s="49" t="str">
        <f>IFERROR(INDEX(Registro!$Q$2:$Q$500,MATCH(20,Registro!$T$2:$T$500,0)),"")</f>
        <v/>
      </c>
    </row>
    <row r="22" spans="1:8" x14ac:dyDescent="0.25">
      <c r="A22" s="49" t="str">
        <f>IFERROR(INDEX(Registro!$E$2:$E$500,MATCH(21,Registro!$T$2:$T$500,0)),"")</f>
        <v/>
      </c>
      <c r="B22" s="49" t="str">
        <f>IFERROR(INDEX(Registro!$F$2:$F$500,MATCH(21,Registro!$T$2:$T$500,0)),"")</f>
        <v/>
      </c>
      <c r="C22" s="49" t="str">
        <f>IFERROR(INDEX(Registro!$G$2:$G$500,MATCH(21,Registro!$T$2:$T$500,0)),"")</f>
        <v/>
      </c>
      <c r="D22" s="49" t="str">
        <f>IFERROR(INDEX(Registro!$H$2:$H$500,MATCH(21,Registro!$T$2:$T$500,0)),"")</f>
        <v/>
      </c>
      <c r="E22" s="50" t="str">
        <f>IFERROR(INDEX(Registro!$C$2:$C$500,MATCH(21,Registro!$T$2:$T$500,0)),"")</f>
        <v/>
      </c>
      <c r="F22" s="49" t="str">
        <f>IFERROR(INDEX(Registro!$B$2:$B$500,MATCH(21,Registro!$T$2:$T$500,0)),"")</f>
        <v/>
      </c>
      <c r="G22" s="49" t="str">
        <f>IFERROR(INDEX(Registro!$P$2:$P$500,MATCH(21,Registro!$T$2:$T$500,0)),"")</f>
        <v/>
      </c>
      <c r="H22" s="49" t="str">
        <f>IFERROR(INDEX(Registro!$Q$2:$Q$500,MATCH(21,Registro!$T$2:$T$500,0)),"")</f>
        <v/>
      </c>
    </row>
    <row r="23" spans="1:8" x14ac:dyDescent="0.25">
      <c r="A23" s="49" t="str">
        <f>IFERROR(INDEX(Registro!$E$2:$E$500,MATCH(22,Registro!$T$2:$T$500,0)),"")</f>
        <v/>
      </c>
      <c r="B23" s="49" t="str">
        <f>IFERROR(INDEX(Registro!$F$2:$F$500,MATCH(22,Registro!$T$2:$T$500,0)),"")</f>
        <v/>
      </c>
      <c r="C23" s="49" t="str">
        <f>IFERROR(INDEX(Registro!$G$2:$G$500,MATCH(22,Registro!$T$2:$T$500,0)),"")</f>
        <v/>
      </c>
      <c r="D23" s="49" t="str">
        <f>IFERROR(INDEX(Registro!$H$2:$H$500,MATCH(22,Registro!$T$2:$T$500,0)),"")</f>
        <v/>
      </c>
      <c r="E23" s="50" t="str">
        <f>IFERROR(INDEX(Registro!$C$2:$C$500,MATCH(22,Registro!$T$2:$T$500,0)),"")</f>
        <v/>
      </c>
      <c r="F23" s="49" t="str">
        <f>IFERROR(INDEX(Registro!$B$2:$B$500,MATCH(22,Registro!$T$2:$T$500,0)),"")</f>
        <v/>
      </c>
      <c r="G23" s="49" t="str">
        <f>IFERROR(INDEX(Registro!$P$2:$P$500,MATCH(22,Registro!$T$2:$T$500,0)),"")</f>
        <v/>
      </c>
      <c r="H23" s="49" t="str">
        <f>IFERROR(INDEX(Registro!$Q$2:$Q$500,MATCH(22,Registro!$T$2:$T$500,0)),"")</f>
        <v/>
      </c>
    </row>
    <row r="24" spans="1:8" x14ac:dyDescent="0.25">
      <c r="A24" s="49" t="str">
        <f>IFERROR(INDEX(Registro!$E$2:$E$500,MATCH(23,Registro!$T$2:$T$500,0)),"")</f>
        <v/>
      </c>
      <c r="B24" s="49" t="str">
        <f>IFERROR(INDEX(Registro!$F$2:$F$500,MATCH(23,Registro!$T$2:$T$500,0)),"")</f>
        <v/>
      </c>
      <c r="C24" s="49" t="str">
        <f>IFERROR(INDEX(Registro!$G$2:$G$500,MATCH(23,Registro!$T$2:$T$500,0)),"")</f>
        <v/>
      </c>
      <c r="D24" s="49" t="str">
        <f>IFERROR(INDEX(Registro!$H$2:$H$500,MATCH(23,Registro!$T$2:$T$500,0)),"")</f>
        <v/>
      </c>
      <c r="E24" s="50" t="str">
        <f>IFERROR(INDEX(Registro!$C$2:$C$500,MATCH(23,Registro!$T$2:$T$500,0)),"")</f>
        <v/>
      </c>
      <c r="F24" s="49" t="str">
        <f>IFERROR(INDEX(Registro!$B$2:$B$500,MATCH(23,Registro!$T$2:$T$500,0)),"")</f>
        <v/>
      </c>
      <c r="G24" s="49" t="str">
        <f>IFERROR(INDEX(Registro!$P$2:$P$500,MATCH(23,Registro!$T$2:$T$500,0)),"")</f>
        <v/>
      </c>
      <c r="H24" s="49" t="str">
        <f>IFERROR(INDEX(Registro!$Q$2:$Q$500,MATCH(23,Registro!$T$2:$T$500,0)),"")</f>
        <v/>
      </c>
    </row>
    <row r="25" spans="1:8" x14ac:dyDescent="0.25">
      <c r="A25" s="49" t="str">
        <f>IFERROR(INDEX(Registro!$E$2:$E$500,MATCH(24,Registro!$T$2:$T$500,0)),"")</f>
        <v/>
      </c>
      <c r="B25" s="49" t="str">
        <f>IFERROR(INDEX(Registro!$F$2:$F$500,MATCH(24,Registro!$T$2:$T$500,0)),"")</f>
        <v/>
      </c>
      <c r="C25" s="49" t="str">
        <f>IFERROR(INDEX(Registro!$G$2:$G$500,MATCH(24,Registro!$T$2:$T$500,0)),"")</f>
        <v/>
      </c>
      <c r="D25" s="49" t="str">
        <f>IFERROR(INDEX(Registro!$H$2:$H$500,MATCH(24,Registro!$T$2:$T$500,0)),"")</f>
        <v/>
      </c>
      <c r="E25" s="50" t="str">
        <f>IFERROR(INDEX(Registro!$C$2:$C$500,MATCH(24,Registro!$T$2:$T$500,0)),"")</f>
        <v/>
      </c>
      <c r="F25" s="49" t="str">
        <f>IFERROR(INDEX(Registro!$B$2:$B$500,MATCH(24,Registro!$T$2:$T$500,0)),"")</f>
        <v/>
      </c>
      <c r="G25" s="49" t="str">
        <f>IFERROR(INDEX(Registro!$P$2:$P$500,MATCH(24,Registro!$T$2:$T$500,0)),"")</f>
        <v/>
      </c>
      <c r="H25" s="49" t="str">
        <f>IFERROR(INDEX(Registro!$Q$2:$Q$500,MATCH(24,Registro!$T$2:$T$500,0)),"")</f>
        <v/>
      </c>
    </row>
    <row r="26" spans="1:8" x14ac:dyDescent="0.25">
      <c r="A26" s="49" t="str">
        <f>IFERROR(INDEX(Registro!$E$2:$E$500,MATCH(25,Registro!$T$2:$T$500,0)),"")</f>
        <v/>
      </c>
      <c r="B26" s="49" t="str">
        <f>IFERROR(INDEX(Registro!$F$2:$F$500,MATCH(25,Registro!$T$2:$T$500,0)),"")</f>
        <v/>
      </c>
      <c r="C26" s="49" t="str">
        <f>IFERROR(INDEX(Registro!$G$2:$G$500,MATCH(25,Registro!$T$2:$T$500,0)),"")</f>
        <v/>
      </c>
      <c r="D26" s="49" t="str">
        <f>IFERROR(INDEX(Registro!$H$2:$H$500,MATCH(25,Registro!$T$2:$T$500,0)),"")</f>
        <v/>
      </c>
      <c r="E26" s="50" t="str">
        <f>IFERROR(INDEX(Registro!$C$2:$C$500,MATCH(25,Registro!$T$2:$T$500,0)),"")</f>
        <v/>
      </c>
      <c r="F26" s="49" t="str">
        <f>IFERROR(INDEX(Registro!$B$2:$B$500,MATCH(25,Registro!$T$2:$T$500,0)),"")</f>
        <v/>
      </c>
      <c r="G26" s="49" t="str">
        <f>IFERROR(INDEX(Registro!$P$2:$P$500,MATCH(25,Registro!$T$2:$T$500,0)),"")</f>
        <v/>
      </c>
      <c r="H26" s="49" t="str">
        <f>IFERROR(INDEX(Registro!$Q$2:$Q$500,MATCH(25,Registro!$T$2:$T$500,0)),"")</f>
        <v/>
      </c>
    </row>
    <row r="27" spans="1:8" x14ac:dyDescent="0.25">
      <c r="A27" s="49" t="str">
        <f>IFERROR(INDEX(Registro!$E$2:$E$500,MATCH(26,Registro!$T$2:$T$500,0)),"")</f>
        <v/>
      </c>
      <c r="B27" s="49" t="str">
        <f>IFERROR(INDEX(Registro!$F$2:$F$500,MATCH(26,Registro!$T$2:$T$500,0)),"")</f>
        <v/>
      </c>
      <c r="C27" s="49" t="str">
        <f>IFERROR(INDEX(Registro!$G$2:$G$500,MATCH(26,Registro!$T$2:$T$500,0)),"")</f>
        <v/>
      </c>
      <c r="D27" s="49" t="str">
        <f>IFERROR(INDEX(Registro!$H$2:$H$500,MATCH(26,Registro!$T$2:$T$500,0)),"")</f>
        <v/>
      </c>
      <c r="E27" s="50" t="str">
        <f>IFERROR(INDEX(Registro!$C$2:$C$500,MATCH(26,Registro!$T$2:$T$500,0)),"")</f>
        <v/>
      </c>
      <c r="F27" s="49" t="str">
        <f>IFERROR(INDEX(Registro!$B$2:$B$500,MATCH(26,Registro!$T$2:$T$500,0)),"")</f>
        <v/>
      </c>
      <c r="G27" s="49" t="str">
        <f>IFERROR(INDEX(Registro!$P$2:$P$500,MATCH(26,Registro!$T$2:$T$500,0)),"")</f>
        <v/>
      </c>
      <c r="H27" s="49" t="str">
        <f>IFERROR(INDEX(Registro!$Q$2:$Q$500,MATCH(26,Registro!$T$2:$T$500,0)),"")</f>
        <v/>
      </c>
    </row>
    <row r="28" spans="1:8" x14ac:dyDescent="0.25">
      <c r="A28" s="49" t="str">
        <f>IFERROR(INDEX(Registro!$E$2:$E$500,MATCH(27,Registro!$T$2:$T$500,0)),"")</f>
        <v/>
      </c>
      <c r="B28" s="49" t="str">
        <f>IFERROR(INDEX(Registro!$F$2:$F$500,MATCH(27,Registro!$T$2:$T$500,0)),"")</f>
        <v/>
      </c>
      <c r="C28" s="49" t="str">
        <f>IFERROR(INDEX(Registro!$G$2:$G$500,MATCH(27,Registro!$T$2:$T$500,0)),"")</f>
        <v/>
      </c>
      <c r="D28" s="49" t="str">
        <f>IFERROR(INDEX(Registro!$H$2:$H$500,MATCH(27,Registro!$T$2:$T$500,0)),"")</f>
        <v/>
      </c>
      <c r="E28" s="50" t="str">
        <f>IFERROR(INDEX(Registro!$C$2:$C$500,MATCH(27,Registro!$T$2:$T$500,0)),"")</f>
        <v/>
      </c>
      <c r="F28" s="49" t="str">
        <f>IFERROR(INDEX(Registro!$B$2:$B$500,MATCH(27,Registro!$T$2:$T$500,0)),"")</f>
        <v/>
      </c>
      <c r="G28" s="49" t="str">
        <f>IFERROR(INDEX(Registro!$P$2:$P$500,MATCH(27,Registro!$T$2:$T$500,0)),"")</f>
        <v/>
      </c>
      <c r="H28" s="49" t="str">
        <f>IFERROR(INDEX(Registro!$Q$2:$Q$500,MATCH(27,Registro!$T$2:$T$500,0)),"")</f>
        <v/>
      </c>
    </row>
    <row r="29" spans="1:8" x14ac:dyDescent="0.25">
      <c r="A29" s="49" t="str">
        <f>IFERROR(INDEX(Registro!$E$2:$E$500,MATCH(28,Registro!$T$2:$T$500,0)),"")</f>
        <v/>
      </c>
      <c r="B29" s="49" t="str">
        <f>IFERROR(INDEX(Registro!$F$2:$F$500,MATCH(28,Registro!$T$2:$T$500,0)),"")</f>
        <v/>
      </c>
      <c r="C29" s="49" t="str">
        <f>IFERROR(INDEX(Registro!$G$2:$G$500,MATCH(28,Registro!$T$2:$T$500,0)),"")</f>
        <v/>
      </c>
      <c r="D29" s="49" t="str">
        <f>IFERROR(INDEX(Registro!$H$2:$H$500,MATCH(28,Registro!$T$2:$T$500,0)),"")</f>
        <v/>
      </c>
      <c r="E29" s="50" t="str">
        <f>IFERROR(INDEX(Registro!$C$2:$C$500,MATCH(28,Registro!$T$2:$T$500,0)),"")</f>
        <v/>
      </c>
      <c r="F29" s="49" t="str">
        <f>IFERROR(INDEX(Registro!$B$2:$B$500,MATCH(28,Registro!$T$2:$T$500,0)),"")</f>
        <v/>
      </c>
      <c r="G29" s="49" t="str">
        <f>IFERROR(INDEX(Registro!$P$2:$P$500,MATCH(28,Registro!$T$2:$T$500,0)),"")</f>
        <v/>
      </c>
      <c r="H29" s="49" t="str">
        <f>IFERROR(INDEX(Registro!$Q$2:$Q$500,MATCH(28,Registro!$T$2:$T$500,0)),"")</f>
        <v/>
      </c>
    </row>
    <row r="30" spans="1:8" x14ac:dyDescent="0.25">
      <c r="A30" s="49" t="str">
        <f>IFERROR(INDEX(Registro!$E$2:$E$500,MATCH(29,Registro!$T$2:$T$500,0)),"")</f>
        <v/>
      </c>
      <c r="B30" s="49" t="str">
        <f>IFERROR(INDEX(Registro!$F$2:$F$500,MATCH(29,Registro!$T$2:$T$500,0)),"")</f>
        <v/>
      </c>
      <c r="C30" s="49" t="str">
        <f>IFERROR(INDEX(Registro!$G$2:$G$500,MATCH(29,Registro!$T$2:$T$500,0)),"")</f>
        <v/>
      </c>
      <c r="D30" s="49" t="str">
        <f>IFERROR(INDEX(Registro!$H$2:$H$500,MATCH(29,Registro!$T$2:$T$500,0)),"")</f>
        <v/>
      </c>
      <c r="E30" s="50" t="str">
        <f>IFERROR(INDEX(Registro!$C$2:$C$500,MATCH(29,Registro!$T$2:$T$500,0)),"")</f>
        <v/>
      </c>
      <c r="F30" s="49" t="str">
        <f>IFERROR(INDEX(Registro!$B$2:$B$500,MATCH(29,Registro!$T$2:$T$500,0)),"")</f>
        <v/>
      </c>
      <c r="G30" s="49" t="str">
        <f>IFERROR(INDEX(Registro!$P$2:$P$500,MATCH(29,Registro!$T$2:$T$500,0)),"")</f>
        <v/>
      </c>
      <c r="H30" s="49" t="str">
        <f>IFERROR(INDEX(Registro!$Q$2:$Q$500,MATCH(29,Registro!$T$2:$T$500,0)),"")</f>
        <v/>
      </c>
    </row>
    <row r="31" spans="1:8" x14ac:dyDescent="0.25">
      <c r="A31" s="49" t="str">
        <f>IFERROR(INDEX(Registro!$E$2:$E$500,MATCH(30,Registro!$T$2:$T$500,0)),"")</f>
        <v/>
      </c>
      <c r="B31" s="49" t="str">
        <f>IFERROR(INDEX(Registro!$F$2:$F$500,MATCH(30,Registro!$T$2:$T$500,0)),"")</f>
        <v/>
      </c>
      <c r="C31" s="49" t="str">
        <f>IFERROR(INDEX(Registro!$G$2:$G$500,MATCH(30,Registro!$T$2:$T$500,0)),"")</f>
        <v/>
      </c>
      <c r="D31" s="49" t="str">
        <f>IFERROR(INDEX(Registro!$H$2:$H$500,MATCH(30,Registro!$T$2:$T$500,0)),"")</f>
        <v/>
      </c>
      <c r="E31" s="50" t="str">
        <f>IFERROR(INDEX(Registro!$C$2:$C$500,MATCH(30,Registro!$T$2:$T$500,0)),"")</f>
        <v/>
      </c>
      <c r="F31" s="49" t="str">
        <f>IFERROR(INDEX(Registro!$B$2:$B$500,MATCH(30,Registro!$T$2:$T$500,0)),"")</f>
        <v/>
      </c>
      <c r="G31" s="49" t="str">
        <f>IFERROR(INDEX(Registro!$P$2:$P$500,MATCH(30,Registro!$T$2:$T$500,0)),"")</f>
        <v/>
      </c>
      <c r="H31" s="49" t="str">
        <f>IFERROR(INDEX(Registro!$Q$2:$Q$500,MATCH(30,Registro!$T$2:$T$500,0)),"")</f>
        <v/>
      </c>
    </row>
    <row r="32" spans="1:8" x14ac:dyDescent="0.25">
      <c r="A32" s="49" t="str">
        <f>IFERROR(INDEX(Registro!$E$2:$E$500,MATCH(31,Registro!$T$2:$T$500,0)),"")</f>
        <v/>
      </c>
      <c r="B32" s="49" t="str">
        <f>IFERROR(INDEX(Registro!$F$2:$F$500,MATCH(31,Registro!$T$2:$T$500,0)),"")</f>
        <v/>
      </c>
      <c r="C32" s="49" t="str">
        <f>IFERROR(INDEX(Registro!$G$2:$G$500,MATCH(31,Registro!$T$2:$T$500,0)),"")</f>
        <v/>
      </c>
      <c r="D32" s="49" t="str">
        <f>IFERROR(INDEX(Registro!$H$2:$H$500,MATCH(31,Registro!$T$2:$T$500,0)),"")</f>
        <v/>
      </c>
      <c r="E32" s="50" t="str">
        <f>IFERROR(INDEX(Registro!$C$2:$C$500,MATCH(31,Registro!$T$2:$T$500,0)),"")</f>
        <v/>
      </c>
      <c r="F32" s="49" t="str">
        <f>IFERROR(INDEX(Registro!$B$2:$B$500,MATCH(31,Registro!$T$2:$T$500,0)),"")</f>
        <v/>
      </c>
      <c r="G32" s="49" t="str">
        <f>IFERROR(INDEX(Registro!$P$2:$P$500,MATCH(31,Registro!$T$2:$T$500,0)),"")</f>
        <v/>
      </c>
      <c r="H32" s="49" t="str">
        <f>IFERROR(INDEX(Registro!$Q$2:$Q$500,MATCH(31,Registro!$T$2:$T$500,0)),"")</f>
        <v/>
      </c>
    </row>
    <row r="33" spans="1:8" x14ac:dyDescent="0.25">
      <c r="A33" s="49" t="str">
        <f>IFERROR(INDEX(Registro!$E$2:$E$500,MATCH(32,Registro!$T$2:$T$500,0)),"")</f>
        <v/>
      </c>
      <c r="B33" s="49" t="str">
        <f>IFERROR(INDEX(Registro!$F$2:$F$500,MATCH(32,Registro!$T$2:$T$500,0)),"")</f>
        <v/>
      </c>
      <c r="C33" s="49" t="str">
        <f>IFERROR(INDEX(Registro!$G$2:$G$500,MATCH(32,Registro!$T$2:$T$500,0)),"")</f>
        <v/>
      </c>
      <c r="D33" s="49" t="str">
        <f>IFERROR(INDEX(Registro!$H$2:$H$500,MATCH(32,Registro!$T$2:$T$500,0)),"")</f>
        <v/>
      </c>
      <c r="E33" s="50" t="str">
        <f>IFERROR(INDEX(Registro!$C$2:$C$500,MATCH(32,Registro!$T$2:$T$500,0)),"")</f>
        <v/>
      </c>
      <c r="F33" s="49" t="str">
        <f>IFERROR(INDEX(Registro!$B$2:$B$500,MATCH(32,Registro!$T$2:$T$500,0)),"")</f>
        <v/>
      </c>
      <c r="G33" s="49" t="str">
        <f>IFERROR(INDEX(Registro!$P$2:$P$500,MATCH(32,Registro!$T$2:$T$500,0)),"")</f>
        <v/>
      </c>
      <c r="H33" s="49" t="str">
        <f>IFERROR(INDEX(Registro!$Q$2:$Q$500,MATCH(32,Registro!$T$2:$T$500,0)),"")</f>
        <v/>
      </c>
    </row>
    <row r="34" spans="1:8" x14ac:dyDescent="0.25">
      <c r="A34" s="49" t="str">
        <f>IFERROR(INDEX(Registro!$E$2:$E$500,MATCH(33,Registro!$T$2:$T$500,0)),"")</f>
        <v/>
      </c>
      <c r="B34" s="49" t="str">
        <f>IFERROR(INDEX(Registro!$F$2:$F$500,MATCH(33,Registro!$T$2:$T$500,0)),"")</f>
        <v/>
      </c>
      <c r="C34" s="49" t="str">
        <f>IFERROR(INDEX(Registro!$G$2:$G$500,MATCH(33,Registro!$T$2:$T$500,0)),"")</f>
        <v/>
      </c>
      <c r="D34" s="49" t="str">
        <f>IFERROR(INDEX(Registro!$H$2:$H$500,MATCH(33,Registro!$T$2:$T$500,0)),"")</f>
        <v/>
      </c>
      <c r="E34" s="50" t="str">
        <f>IFERROR(INDEX(Registro!$C$2:$C$500,MATCH(33,Registro!$T$2:$T$500,0)),"")</f>
        <v/>
      </c>
      <c r="F34" s="49" t="str">
        <f>IFERROR(INDEX(Registro!$B$2:$B$500,MATCH(33,Registro!$T$2:$T$500,0)),"")</f>
        <v/>
      </c>
      <c r="G34" s="49" t="str">
        <f>IFERROR(INDEX(Registro!$P$2:$P$500,MATCH(33,Registro!$T$2:$T$500,0)),"")</f>
        <v/>
      </c>
      <c r="H34" s="49" t="str">
        <f>IFERROR(INDEX(Registro!$Q$2:$Q$500,MATCH(33,Registro!$T$2:$T$500,0)),"")</f>
        <v/>
      </c>
    </row>
    <row r="35" spans="1:8" x14ac:dyDescent="0.25">
      <c r="A35" s="49" t="str">
        <f>IFERROR(INDEX(Registro!$E$2:$E$500,MATCH(34,Registro!$T$2:$T$500,0)),"")</f>
        <v/>
      </c>
      <c r="B35" s="49" t="str">
        <f>IFERROR(INDEX(Registro!$F$2:$F$500,MATCH(34,Registro!$T$2:$T$500,0)),"")</f>
        <v/>
      </c>
      <c r="C35" s="49" t="str">
        <f>IFERROR(INDEX(Registro!$G$2:$G$500,MATCH(34,Registro!$T$2:$T$500,0)),"")</f>
        <v/>
      </c>
      <c r="D35" s="49" t="str">
        <f>IFERROR(INDEX(Registro!$H$2:$H$500,MATCH(34,Registro!$T$2:$T$500,0)),"")</f>
        <v/>
      </c>
      <c r="E35" s="50" t="str">
        <f>IFERROR(INDEX(Registro!$C$2:$C$500,MATCH(34,Registro!$T$2:$T$500,0)),"")</f>
        <v/>
      </c>
      <c r="F35" s="49" t="str">
        <f>IFERROR(INDEX(Registro!$B$2:$B$500,MATCH(34,Registro!$T$2:$T$500,0)),"")</f>
        <v/>
      </c>
      <c r="G35" s="49" t="str">
        <f>IFERROR(INDEX(Registro!$P$2:$P$500,MATCH(34,Registro!$T$2:$T$500,0)),"")</f>
        <v/>
      </c>
      <c r="H35" s="49" t="str">
        <f>IFERROR(INDEX(Registro!$Q$2:$Q$500,MATCH(34,Registro!$T$2:$T$500,0)),"")</f>
        <v/>
      </c>
    </row>
    <row r="36" spans="1:8" x14ac:dyDescent="0.25">
      <c r="A36" s="49" t="str">
        <f>IFERROR(INDEX(Registro!$E$2:$E$500,MATCH(35,Registro!$T$2:$T$500,0)),"")</f>
        <v/>
      </c>
      <c r="B36" s="49" t="str">
        <f>IFERROR(INDEX(Registro!$F$2:$F$500,MATCH(35,Registro!$T$2:$T$500,0)),"")</f>
        <v/>
      </c>
      <c r="C36" s="49" t="str">
        <f>IFERROR(INDEX(Registro!$G$2:$G$500,MATCH(35,Registro!$T$2:$T$500,0)),"")</f>
        <v/>
      </c>
      <c r="D36" s="49" t="str">
        <f>IFERROR(INDEX(Registro!$H$2:$H$500,MATCH(35,Registro!$T$2:$T$500,0)),"")</f>
        <v/>
      </c>
      <c r="E36" s="50" t="str">
        <f>IFERROR(INDEX(Registro!$C$2:$C$500,MATCH(35,Registro!$T$2:$T$500,0)),"")</f>
        <v/>
      </c>
      <c r="F36" s="49" t="str">
        <f>IFERROR(INDEX(Registro!$B$2:$B$500,MATCH(35,Registro!$T$2:$T$500,0)),"")</f>
        <v/>
      </c>
      <c r="G36" s="49" t="str">
        <f>IFERROR(INDEX(Registro!$P$2:$P$500,MATCH(35,Registro!$T$2:$T$500,0)),"")</f>
        <v/>
      </c>
      <c r="H36" s="49" t="str">
        <f>IFERROR(INDEX(Registro!$Q$2:$Q$500,MATCH(35,Registro!$T$2:$T$500,0)),"")</f>
        <v/>
      </c>
    </row>
    <row r="37" spans="1:8" x14ac:dyDescent="0.25">
      <c r="A37" s="49" t="str">
        <f>IFERROR(INDEX(Registro!$E$2:$E$500,MATCH(36,Registro!$T$2:$T$500,0)),"")</f>
        <v/>
      </c>
      <c r="B37" s="49" t="str">
        <f>IFERROR(INDEX(Registro!$F$2:$F$500,MATCH(36,Registro!$T$2:$T$500,0)),"")</f>
        <v/>
      </c>
      <c r="C37" s="49" t="str">
        <f>IFERROR(INDEX(Registro!$G$2:$G$500,MATCH(36,Registro!$T$2:$T$500,0)),"")</f>
        <v/>
      </c>
      <c r="D37" s="49" t="str">
        <f>IFERROR(INDEX(Registro!$H$2:$H$500,MATCH(36,Registro!$T$2:$T$500,0)),"")</f>
        <v/>
      </c>
      <c r="E37" s="50" t="str">
        <f>IFERROR(INDEX(Registro!$C$2:$C$500,MATCH(36,Registro!$T$2:$T$500,0)),"")</f>
        <v/>
      </c>
      <c r="F37" s="49" t="str">
        <f>IFERROR(INDEX(Registro!$B$2:$B$500,MATCH(36,Registro!$T$2:$T$500,0)),"")</f>
        <v/>
      </c>
      <c r="G37" s="49" t="str">
        <f>IFERROR(INDEX(Registro!$P$2:$P$500,MATCH(36,Registro!$T$2:$T$500,0)),"")</f>
        <v/>
      </c>
      <c r="H37" s="49" t="str">
        <f>IFERROR(INDEX(Registro!$Q$2:$Q$500,MATCH(36,Registro!$T$2:$T$500,0)),"")</f>
        <v/>
      </c>
    </row>
    <row r="38" spans="1:8" x14ac:dyDescent="0.25">
      <c r="A38" s="49" t="str">
        <f>IFERROR(INDEX(Registro!$E$2:$E$500,MATCH(37,Registro!$T$2:$T$500,0)),"")</f>
        <v/>
      </c>
      <c r="B38" s="49" t="str">
        <f>IFERROR(INDEX(Registro!$F$2:$F$500,MATCH(37,Registro!$T$2:$T$500,0)),"")</f>
        <v/>
      </c>
      <c r="C38" s="49" t="str">
        <f>IFERROR(INDEX(Registro!$G$2:$G$500,MATCH(37,Registro!$T$2:$T$500,0)),"")</f>
        <v/>
      </c>
      <c r="D38" s="49" t="str">
        <f>IFERROR(INDEX(Registro!$H$2:$H$500,MATCH(37,Registro!$T$2:$T$500,0)),"")</f>
        <v/>
      </c>
      <c r="E38" s="50" t="str">
        <f>IFERROR(INDEX(Registro!$C$2:$C$500,MATCH(37,Registro!$T$2:$T$500,0)),"")</f>
        <v/>
      </c>
      <c r="F38" s="49" t="str">
        <f>IFERROR(INDEX(Registro!$B$2:$B$500,MATCH(37,Registro!$T$2:$T$500,0)),"")</f>
        <v/>
      </c>
      <c r="G38" s="49" t="str">
        <f>IFERROR(INDEX(Registro!$P$2:$P$500,MATCH(37,Registro!$T$2:$T$500,0)),"")</f>
        <v/>
      </c>
      <c r="H38" s="49" t="str">
        <f>IFERROR(INDEX(Registro!$Q$2:$Q$500,MATCH(37,Registro!$T$2:$T$500,0)),"")</f>
        <v/>
      </c>
    </row>
    <row r="39" spans="1:8" x14ac:dyDescent="0.25">
      <c r="A39" s="49" t="str">
        <f>IFERROR(INDEX(Registro!$E$2:$E$500,MATCH(38,Registro!$T$2:$T$500,0)),"")</f>
        <v/>
      </c>
      <c r="B39" s="49" t="str">
        <f>IFERROR(INDEX(Registro!$F$2:$F$500,MATCH(38,Registro!$T$2:$T$500,0)),"")</f>
        <v/>
      </c>
      <c r="C39" s="49" t="str">
        <f>IFERROR(INDEX(Registro!$G$2:$G$500,MATCH(38,Registro!$T$2:$T$500,0)),"")</f>
        <v/>
      </c>
      <c r="D39" s="49" t="str">
        <f>IFERROR(INDEX(Registro!$H$2:$H$500,MATCH(38,Registro!$T$2:$T$500,0)),"")</f>
        <v/>
      </c>
      <c r="E39" s="50" t="str">
        <f>IFERROR(INDEX(Registro!$C$2:$C$500,MATCH(38,Registro!$T$2:$T$500,0)),"")</f>
        <v/>
      </c>
      <c r="F39" s="49" t="str">
        <f>IFERROR(INDEX(Registro!$B$2:$B$500,MATCH(38,Registro!$T$2:$T$500,0)),"")</f>
        <v/>
      </c>
      <c r="G39" s="49" t="str">
        <f>IFERROR(INDEX(Registro!$P$2:$P$500,MATCH(38,Registro!$T$2:$T$500,0)),"")</f>
        <v/>
      </c>
      <c r="H39" s="49" t="str">
        <f>IFERROR(INDEX(Registro!$Q$2:$Q$500,MATCH(38,Registro!$T$2:$T$500,0)),"")</f>
        <v/>
      </c>
    </row>
    <row r="40" spans="1:8" x14ac:dyDescent="0.25">
      <c r="A40" s="49" t="str">
        <f>IFERROR(INDEX(Registro!$E$2:$E$500,MATCH(39,Registro!$T$2:$T$500,0)),"")</f>
        <v/>
      </c>
      <c r="B40" s="49" t="str">
        <f>IFERROR(INDEX(Registro!$F$2:$F$500,MATCH(39,Registro!$T$2:$T$500,0)),"")</f>
        <v/>
      </c>
      <c r="C40" s="49" t="str">
        <f>IFERROR(INDEX(Registro!$G$2:$G$500,MATCH(39,Registro!$T$2:$T$500,0)),"")</f>
        <v/>
      </c>
      <c r="D40" s="49" t="str">
        <f>IFERROR(INDEX(Registro!$H$2:$H$500,MATCH(39,Registro!$T$2:$T$500,0)),"")</f>
        <v/>
      </c>
      <c r="E40" s="50" t="str">
        <f>IFERROR(INDEX(Registro!$C$2:$C$500,MATCH(39,Registro!$T$2:$T$500,0)),"")</f>
        <v/>
      </c>
      <c r="F40" s="49" t="str">
        <f>IFERROR(INDEX(Registro!$B$2:$B$500,MATCH(39,Registro!$T$2:$T$500,0)),"")</f>
        <v/>
      </c>
      <c r="G40" s="49" t="str">
        <f>IFERROR(INDEX(Registro!$P$2:$P$500,MATCH(39,Registro!$T$2:$T$500,0)),"")</f>
        <v/>
      </c>
      <c r="H40" s="49" t="str">
        <f>IFERROR(INDEX(Registro!$Q$2:$Q$500,MATCH(39,Registro!$T$2:$T$500,0)),"")</f>
        <v/>
      </c>
    </row>
    <row r="41" spans="1:8" x14ac:dyDescent="0.25">
      <c r="A41" s="49" t="str">
        <f>IFERROR(INDEX(Registro!$E$2:$E$500,MATCH(40,Registro!$T$2:$T$500,0)),"")</f>
        <v/>
      </c>
      <c r="B41" s="49" t="str">
        <f>IFERROR(INDEX(Registro!$F$2:$F$500,MATCH(40,Registro!$T$2:$T$500,0)),"")</f>
        <v/>
      </c>
      <c r="C41" s="49" t="str">
        <f>IFERROR(INDEX(Registro!$G$2:$G$500,MATCH(40,Registro!$T$2:$T$500,0)),"")</f>
        <v/>
      </c>
      <c r="D41" s="49" t="str">
        <f>IFERROR(INDEX(Registro!$H$2:$H$500,MATCH(40,Registro!$T$2:$T$500,0)),"")</f>
        <v/>
      </c>
      <c r="E41" s="50" t="str">
        <f>IFERROR(INDEX(Registro!$C$2:$C$500,MATCH(40,Registro!$T$2:$T$500,0)),"")</f>
        <v/>
      </c>
      <c r="F41" s="49" t="str">
        <f>IFERROR(INDEX(Registro!$B$2:$B$500,MATCH(40,Registro!$T$2:$T$500,0)),"")</f>
        <v/>
      </c>
      <c r="G41" s="49" t="str">
        <f>IFERROR(INDEX(Registro!$P$2:$P$500,MATCH(40,Registro!$T$2:$T$500,0)),"")</f>
        <v/>
      </c>
      <c r="H41" s="49" t="str">
        <f>IFERROR(INDEX(Registro!$Q$2:$Q$500,MATCH(40,Registro!$T$2:$T$500,0)),"")</f>
        <v/>
      </c>
    </row>
    <row r="42" spans="1:8" x14ac:dyDescent="0.25">
      <c r="A42" s="49" t="str">
        <f>IFERROR(INDEX(Registro!$E$2:$E$500,MATCH(41,Registro!$T$2:$T$500,0)),"")</f>
        <v/>
      </c>
      <c r="B42" s="49" t="str">
        <f>IFERROR(INDEX(Registro!$F$2:$F$500,MATCH(41,Registro!$T$2:$T$500,0)),"")</f>
        <v/>
      </c>
      <c r="C42" s="49" t="str">
        <f>IFERROR(INDEX(Registro!$G$2:$G$500,MATCH(41,Registro!$T$2:$T$500,0)),"")</f>
        <v/>
      </c>
      <c r="D42" s="49" t="str">
        <f>IFERROR(INDEX(Registro!$H$2:$H$500,MATCH(41,Registro!$T$2:$T$500,0)),"")</f>
        <v/>
      </c>
      <c r="E42" s="50" t="str">
        <f>IFERROR(INDEX(Registro!$C$2:$C$500,MATCH(41,Registro!$T$2:$T$500,0)),"")</f>
        <v/>
      </c>
      <c r="F42" s="49" t="str">
        <f>IFERROR(INDEX(Registro!$B$2:$B$500,MATCH(41,Registro!$T$2:$T$500,0)),"")</f>
        <v/>
      </c>
      <c r="G42" s="49" t="str">
        <f>IFERROR(INDEX(Registro!$P$2:$P$500,MATCH(41,Registro!$T$2:$T$500,0)),"")</f>
        <v/>
      </c>
      <c r="H42" s="49" t="str">
        <f>IFERROR(INDEX(Registro!$Q$2:$Q$500,MATCH(41,Registro!$T$2:$T$500,0)),"")</f>
        <v/>
      </c>
    </row>
    <row r="43" spans="1:8" x14ac:dyDescent="0.25">
      <c r="A43" s="49" t="str">
        <f>IFERROR(INDEX(Registro!$E$2:$E$500,MATCH(42,Registro!$T$2:$T$500,0)),"")</f>
        <v/>
      </c>
      <c r="B43" s="49" t="str">
        <f>IFERROR(INDEX(Registro!$F$2:$F$500,MATCH(42,Registro!$T$2:$T$500,0)),"")</f>
        <v/>
      </c>
      <c r="C43" s="49" t="str">
        <f>IFERROR(INDEX(Registro!$G$2:$G$500,MATCH(42,Registro!$T$2:$T$500,0)),"")</f>
        <v/>
      </c>
      <c r="D43" s="49" t="str">
        <f>IFERROR(INDEX(Registro!$H$2:$H$500,MATCH(42,Registro!$T$2:$T$500,0)),"")</f>
        <v/>
      </c>
      <c r="E43" s="50" t="str">
        <f>IFERROR(INDEX(Registro!$C$2:$C$500,MATCH(42,Registro!$T$2:$T$500,0)),"")</f>
        <v/>
      </c>
      <c r="F43" s="49" t="str">
        <f>IFERROR(INDEX(Registro!$B$2:$B$500,MATCH(42,Registro!$T$2:$T$500,0)),"")</f>
        <v/>
      </c>
      <c r="G43" s="49" t="str">
        <f>IFERROR(INDEX(Registro!$P$2:$P$500,MATCH(42,Registro!$T$2:$T$500,0)),"")</f>
        <v/>
      </c>
      <c r="H43" s="49" t="str">
        <f>IFERROR(INDEX(Registro!$Q$2:$Q$500,MATCH(42,Registro!$T$2:$T$500,0)),"")</f>
        <v/>
      </c>
    </row>
    <row r="44" spans="1:8" x14ac:dyDescent="0.25">
      <c r="A44" s="49" t="str">
        <f>IFERROR(INDEX(Registro!$E$2:$E$500,MATCH(43,Registro!$T$2:$T$500,0)),"")</f>
        <v/>
      </c>
      <c r="B44" s="49" t="str">
        <f>IFERROR(INDEX(Registro!$F$2:$F$500,MATCH(43,Registro!$T$2:$T$500,0)),"")</f>
        <v/>
      </c>
      <c r="C44" s="49" t="str">
        <f>IFERROR(INDEX(Registro!$G$2:$G$500,MATCH(43,Registro!$T$2:$T$500,0)),"")</f>
        <v/>
      </c>
      <c r="D44" s="49" t="str">
        <f>IFERROR(INDEX(Registro!$H$2:$H$500,MATCH(43,Registro!$T$2:$T$500,0)),"")</f>
        <v/>
      </c>
      <c r="E44" s="50" t="str">
        <f>IFERROR(INDEX(Registro!$C$2:$C$500,MATCH(43,Registro!$T$2:$T$500,0)),"")</f>
        <v/>
      </c>
      <c r="F44" s="49" t="str">
        <f>IFERROR(INDEX(Registro!$B$2:$B$500,MATCH(43,Registro!$T$2:$T$500,0)),"")</f>
        <v/>
      </c>
      <c r="G44" s="49" t="str">
        <f>IFERROR(INDEX(Registro!$P$2:$P$500,MATCH(43,Registro!$T$2:$T$500,0)),"")</f>
        <v/>
      </c>
      <c r="H44" s="49" t="str">
        <f>IFERROR(INDEX(Registro!$Q$2:$Q$500,MATCH(43,Registro!$T$2:$T$500,0)),"")</f>
        <v/>
      </c>
    </row>
    <row r="45" spans="1:8" x14ac:dyDescent="0.25">
      <c r="A45" s="49" t="str">
        <f>IFERROR(INDEX(Registro!$E$2:$E$500,MATCH(44,Registro!$T$2:$T$500,0)),"")</f>
        <v/>
      </c>
      <c r="B45" s="49" t="str">
        <f>IFERROR(INDEX(Registro!$F$2:$F$500,MATCH(44,Registro!$T$2:$T$500,0)),"")</f>
        <v/>
      </c>
      <c r="C45" s="49" t="str">
        <f>IFERROR(INDEX(Registro!$G$2:$G$500,MATCH(44,Registro!$T$2:$T$500,0)),"")</f>
        <v/>
      </c>
      <c r="D45" s="49" t="str">
        <f>IFERROR(INDEX(Registro!$H$2:$H$500,MATCH(44,Registro!$T$2:$T$500,0)),"")</f>
        <v/>
      </c>
      <c r="E45" s="50" t="str">
        <f>IFERROR(INDEX(Registro!$C$2:$C$500,MATCH(44,Registro!$T$2:$T$500,0)),"")</f>
        <v/>
      </c>
      <c r="F45" s="49" t="str">
        <f>IFERROR(INDEX(Registro!$B$2:$B$500,MATCH(44,Registro!$T$2:$T$500,0)),"")</f>
        <v/>
      </c>
      <c r="G45" s="49" t="str">
        <f>IFERROR(INDEX(Registro!$P$2:$P$500,MATCH(44,Registro!$T$2:$T$500,0)),"")</f>
        <v/>
      </c>
      <c r="H45" s="49" t="str">
        <f>IFERROR(INDEX(Registro!$Q$2:$Q$500,MATCH(44,Registro!$T$2:$T$500,0)),"")</f>
        <v/>
      </c>
    </row>
    <row r="46" spans="1:8" x14ac:dyDescent="0.25">
      <c r="A46" s="49" t="str">
        <f>IFERROR(INDEX(Registro!$E$2:$E$500,MATCH(45,Registro!$T$2:$T$500,0)),"")</f>
        <v/>
      </c>
      <c r="B46" s="49" t="str">
        <f>IFERROR(INDEX(Registro!$F$2:$F$500,MATCH(45,Registro!$T$2:$T$500,0)),"")</f>
        <v/>
      </c>
      <c r="C46" s="49" t="str">
        <f>IFERROR(INDEX(Registro!$G$2:$G$500,MATCH(45,Registro!$T$2:$T$500,0)),"")</f>
        <v/>
      </c>
      <c r="D46" s="49" t="str">
        <f>IFERROR(INDEX(Registro!$H$2:$H$500,MATCH(45,Registro!$T$2:$T$500,0)),"")</f>
        <v/>
      </c>
      <c r="E46" s="50" t="str">
        <f>IFERROR(INDEX(Registro!$C$2:$C$500,MATCH(45,Registro!$T$2:$T$500,0)),"")</f>
        <v/>
      </c>
      <c r="F46" s="49" t="str">
        <f>IFERROR(INDEX(Registro!$B$2:$B$500,MATCH(45,Registro!$T$2:$T$500,0)),"")</f>
        <v/>
      </c>
      <c r="G46" s="49" t="str">
        <f>IFERROR(INDEX(Registro!$P$2:$P$500,MATCH(45,Registro!$T$2:$T$500,0)),"")</f>
        <v/>
      </c>
      <c r="H46" s="49" t="str">
        <f>IFERROR(INDEX(Registro!$Q$2:$Q$500,MATCH(45,Registro!$T$2:$T$500,0)),"")</f>
        <v/>
      </c>
    </row>
    <row r="47" spans="1:8" x14ac:dyDescent="0.25">
      <c r="A47" s="49" t="str">
        <f>IFERROR(INDEX(Registro!$E$2:$E$500,MATCH(46,Registro!$T$2:$T$500,0)),"")</f>
        <v/>
      </c>
      <c r="B47" s="49" t="str">
        <f>IFERROR(INDEX(Registro!$F$2:$F$500,MATCH(46,Registro!$T$2:$T$500,0)),"")</f>
        <v/>
      </c>
      <c r="C47" s="49" t="str">
        <f>IFERROR(INDEX(Registro!$G$2:$G$500,MATCH(46,Registro!$T$2:$T$500,0)),"")</f>
        <v/>
      </c>
      <c r="D47" s="49" t="str">
        <f>IFERROR(INDEX(Registro!$H$2:$H$500,MATCH(46,Registro!$T$2:$T$500,0)),"")</f>
        <v/>
      </c>
      <c r="E47" s="50" t="str">
        <f>IFERROR(INDEX(Registro!$C$2:$C$500,MATCH(46,Registro!$T$2:$T$500,0)),"")</f>
        <v/>
      </c>
      <c r="F47" s="49" t="str">
        <f>IFERROR(INDEX(Registro!$B$2:$B$500,MATCH(46,Registro!$T$2:$T$500,0)),"")</f>
        <v/>
      </c>
      <c r="G47" s="49" t="str">
        <f>IFERROR(INDEX(Registro!$P$2:$P$500,MATCH(46,Registro!$T$2:$T$500,0)),"")</f>
        <v/>
      </c>
      <c r="H47" s="49" t="str">
        <f>IFERROR(INDEX(Registro!$Q$2:$Q$500,MATCH(46,Registro!$T$2:$T$500,0)),"")</f>
        <v/>
      </c>
    </row>
    <row r="48" spans="1:8" x14ac:dyDescent="0.25">
      <c r="A48" s="49" t="str">
        <f>IFERROR(INDEX(Registro!$E$2:$E$500,MATCH(47,Registro!$T$2:$T$500,0)),"")</f>
        <v/>
      </c>
      <c r="B48" s="49" t="str">
        <f>IFERROR(INDEX(Registro!$F$2:$F$500,MATCH(47,Registro!$T$2:$T$500,0)),"")</f>
        <v/>
      </c>
      <c r="C48" s="49" t="str">
        <f>IFERROR(INDEX(Registro!$G$2:$G$500,MATCH(47,Registro!$T$2:$T$500,0)),"")</f>
        <v/>
      </c>
      <c r="D48" s="49" t="str">
        <f>IFERROR(INDEX(Registro!$H$2:$H$500,MATCH(47,Registro!$T$2:$T$500,0)),"")</f>
        <v/>
      </c>
      <c r="E48" s="50" t="str">
        <f>IFERROR(INDEX(Registro!$C$2:$C$500,MATCH(47,Registro!$T$2:$T$500,0)),"")</f>
        <v/>
      </c>
      <c r="F48" s="49" t="str">
        <f>IFERROR(INDEX(Registro!$B$2:$B$500,MATCH(47,Registro!$T$2:$T$500,0)),"")</f>
        <v/>
      </c>
      <c r="G48" s="49" t="str">
        <f>IFERROR(INDEX(Registro!$P$2:$P$500,MATCH(47,Registro!$T$2:$T$500,0)),"")</f>
        <v/>
      </c>
      <c r="H48" s="49" t="str">
        <f>IFERROR(INDEX(Registro!$Q$2:$Q$500,MATCH(47,Registro!$T$2:$T$500,0)),"")</f>
        <v/>
      </c>
    </row>
    <row r="49" spans="1:8" x14ac:dyDescent="0.25">
      <c r="A49" s="49" t="str">
        <f>IFERROR(INDEX(Registro!$E$2:$E$500,MATCH(48,Registro!$T$2:$T$500,0)),"")</f>
        <v/>
      </c>
      <c r="B49" s="49" t="str">
        <f>IFERROR(INDEX(Registro!$F$2:$F$500,MATCH(48,Registro!$T$2:$T$500,0)),"")</f>
        <v/>
      </c>
      <c r="C49" s="49" t="str">
        <f>IFERROR(INDEX(Registro!$G$2:$G$500,MATCH(48,Registro!$T$2:$T$500,0)),"")</f>
        <v/>
      </c>
      <c r="D49" s="49" t="str">
        <f>IFERROR(INDEX(Registro!$H$2:$H$500,MATCH(48,Registro!$T$2:$T$500,0)),"")</f>
        <v/>
      </c>
      <c r="E49" s="50" t="str">
        <f>IFERROR(INDEX(Registro!$C$2:$C$500,MATCH(48,Registro!$T$2:$T$500,0)),"")</f>
        <v/>
      </c>
      <c r="F49" s="49" t="str">
        <f>IFERROR(INDEX(Registro!$B$2:$B$500,MATCH(48,Registro!$T$2:$T$500,0)),"")</f>
        <v/>
      </c>
      <c r="G49" s="49" t="str">
        <f>IFERROR(INDEX(Registro!$P$2:$P$500,MATCH(48,Registro!$T$2:$T$500,0)),"")</f>
        <v/>
      </c>
      <c r="H49" s="49" t="str">
        <f>IFERROR(INDEX(Registro!$Q$2:$Q$500,MATCH(48,Registro!$T$2:$T$500,0)),"")</f>
        <v/>
      </c>
    </row>
    <row r="50" spans="1:8" x14ac:dyDescent="0.25">
      <c r="A50" s="49" t="str">
        <f>IFERROR(INDEX(Registro!$E$2:$E$500,MATCH(49,Registro!$T$2:$T$500,0)),"")</f>
        <v/>
      </c>
      <c r="B50" s="49" t="str">
        <f>IFERROR(INDEX(Registro!$F$2:$F$500,MATCH(49,Registro!$T$2:$T$500,0)),"")</f>
        <v/>
      </c>
      <c r="C50" s="49" t="str">
        <f>IFERROR(INDEX(Registro!$G$2:$G$500,MATCH(49,Registro!$T$2:$T$500,0)),"")</f>
        <v/>
      </c>
      <c r="D50" s="49" t="str">
        <f>IFERROR(INDEX(Registro!$H$2:$H$500,MATCH(49,Registro!$T$2:$T$500,0)),"")</f>
        <v/>
      </c>
      <c r="E50" s="50" t="str">
        <f>IFERROR(INDEX(Registro!$C$2:$C$500,MATCH(49,Registro!$T$2:$T$500,0)),"")</f>
        <v/>
      </c>
      <c r="F50" s="49" t="str">
        <f>IFERROR(INDEX(Registro!$B$2:$B$500,MATCH(49,Registro!$T$2:$T$500,0)),"")</f>
        <v/>
      </c>
      <c r="G50" s="49" t="str">
        <f>IFERROR(INDEX(Registro!$P$2:$P$500,MATCH(49,Registro!$T$2:$T$500,0)),"")</f>
        <v/>
      </c>
      <c r="H50" s="49" t="str">
        <f>IFERROR(INDEX(Registro!$Q$2:$Q$500,MATCH(49,Registro!$T$2:$T$500,0)),"")</f>
        <v/>
      </c>
    </row>
    <row r="51" spans="1:8" x14ac:dyDescent="0.25">
      <c r="A51" s="49" t="str">
        <f>IFERROR(INDEX(Registro!$E$2:$E$500,MATCH(50,Registro!$T$2:$T$500,0)),"")</f>
        <v/>
      </c>
      <c r="B51" s="49" t="str">
        <f>IFERROR(INDEX(Registro!$F$2:$F$500,MATCH(50,Registro!$T$2:$T$500,0)),"")</f>
        <v/>
      </c>
      <c r="C51" s="49" t="str">
        <f>IFERROR(INDEX(Registro!$G$2:$G$500,MATCH(50,Registro!$T$2:$T$500,0)),"")</f>
        <v/>
      </c>
      <c r="D51" s="49" t="str">
        <f>IFERROR(INDEX(Registro!$H$2:$H$500,MATCH(50,Registro!$T$2:$T$500,0)),"")</f>
        <v/>
      </c>
      <c r="E51" s="50" t="str">
        <f>IFERROR(INDEX(Registro!$C$2:$C$500,MATCH(50,Registro!$T$2:$T$500,0)),"")</f>
        <v/>
      </c>
      <c r="F51" s="49" t="str">
        <f>IFERROR(INDEX(Registro!$B$2:$B$500,MATCH(50,Registro!$T$2:$T$500,0)),"")</f>
        <v/>
      </c>
      <c r="G51" s="49" t="str">
        <f>IFERROR(INDEX(Registro!$P$2:$P$500,MATCH(50,Registro!$T$2:$T$500,0)),"")</f>
        <v/>
      </c>
      <c r="H51" s="49" t="str">
        <f>IFERROR(INDEX(Registro!$Q$2:$Q$500,MATCH(50,Registro!$T$2:$T$500,0)),"")</f>
        <v/>
      </c>
    </row>
    <row r="52" spans="1:8" x14ac:dyDescent="0.25">
      <c r="A52" s="49" t="str">
        <f>IFERROR(INDEX(Registro!$E$2:$E$500,MATCH(51,Registro!$T$2:$T$500,0)),"")</f>
        <v/>
      </c>
      <c r="B52" s="49" t="str">
        <f>IFERROR(INDEX(Registro!$F$2:$F$500,MATCH(51,Registro!$T$2:$T$500,0)),"")</f>
        <v/>
      </c>
      <c r="C52" s="49" t="str">
        <f>IFERROR(INDEX(Registro!$G$2:$G$500,MATCH(51,Registro!$T$2:$T$500,0)),"")</f>
        <v/>
      </c>
      <c r="D52" s="49" t="str">
        <f>IFERROR(INDEX(Registro!$H$2:$H$500,MATCH(51,Registro!$T$2:$T$500,0)),"")</f>
        <v/>
      </c>
      <c r="E52" s="50" t="str">
        <f>IFERROR(INDEX(Registro!$C$2:$C$500,MATCH(51,Registro!$T$2:$T$500,0)),"")</f>
        <v/>
      </c>
      <c r="F52" s="49" t="str">
        <f>IFERROR(INDEX(Registro!$B$2:$B$500,MATCH(51,Registro!$T$2:$T$500,0)),"")</f>
        <v/>
      </c>
      <c r="G52" s="49" t="str">
        <f>IFERROR(INDEX(Registro!$P$2:$P$500,MATCH(51,Registro!$T$2:$T$500,0)),"")</f>
        <v/>
      </c>
      <c r="H52" s="49" t="str">
        <f>IFERROR(INDEX(Registro!$Q$2:$Q$500,MATCH(51,Registro!$T$2:$T$500,0)),"")</f>
        <v/>
      </c>
    </row>
    <row r="53" spans="1:8" x14ac:dyDescent="0.25">
      <c r="A53" s="49" t="str">
        <f>IFERROR(INDEX(Registro!$E$2:$E$500,MATCH(52,Registro!$T$2:$T$500,0)),"")</f>
        <v/>
      </c>
      <c r="B53" s="49" t="str">
        <f>IFERROR(INDEX(Registro!$F$2:$F$500,MATCH(52,Registro!$T$2:$T$500,0)),"")</f>
        <v/>
      </c>
      <c r="C53" s="49" t="str">
        <f>IFERROR(INDEX(Registro!$G$2:$G$500,MATCH(52,Registro!$T$2:$T$500,0)),"")</f>
        <v/>
      </c>
      <c r="D53" s="49" t="str">
        <f>IFERROR(INDEX(Registro!$H$2:$H$500,MATCH(52,Registro!$T$2:$T$500,0)),"")</f>
        <v/>
      </c>
      <c r="E53" s="50" t="str">
        <f>IFERROR(INDEX(Registro!$C$2:$C$500,MATCH(52,Registro!$T$2:$T$500,0)),"")</f>
        <v/>
      </c>
      <c r="F53" s="49" t="str">
        <f>IFERROR(INDEX(Registro!$B$2:$B$500,MATCH(52,Registro!$T$2:$T$500,0)),"")</f>
        <v/>
      </c>
      <c r="G53" s="49" t="str">
        <f>IFERROR(INDEX(Registro!$P$2:$P$500,MATCH(52,Registro!$T$2:$T$500,0)),"")</f>
        <v/>
      </c>
      <c r="H53" s="49" t="str">
        <f>IFERROR(INDEX(Registro!$Q$2:$Q$500,MATCH(52,Registro!$T$2:$T$500,0)),"")</f>
        <v/>
      </c>
    </row>
    <row r="54" spans="1:8" x14ac:dyDescent="0.25">
      <c r="A54" s="49" t="str">
        <f>IFERROR(INDEX(Registro!$E$2:$E$500,MATCH(53,Registro!$T$2:$T$500,0)),"")</f>
        <v/>
      </c>
      <c r="B54" s="49" t="str">
        <f>IFERROR(INDEX(Registro!$F$2:$F$500,MATCH(53,Registro!$T$2:$T$500,0)),"")</f>
        <v/>
      </c>
      <c r="C54" s="49" t="str">
        <f>IFERROR(INDEX(Registro!$G$2:$G$500,MATCH(53,Registro!$T$2:$T$500,0)),"")</f>
        <v/>
      </c>
      <c r="D54" s="49" t="str">
        <f>IFERROR(INDEX(Registro!$H$2:$H$500,MATCH(53,Registro!$T$2:$T$500,0)),"")</f>
        <v/>
      </c>
      <c r="E54" s="50" t="str">
        <f>IFERROR(INDEX(Registro!$C$2:$C$500,MATCH(53,Registro!$T$2:$T$500,0)),"")</f>
        <v/>
      </c>
      <c r="F54" s="49" t="str">
        <f>IFERROR(INDEX(Registro!$B$2:$B$500,MATCH(53,Registro!$T$2:$T$500,0)),"")</f>
        <v/>
      </c>
      <c r="G54" s="49" t="str">
        <f>IFERROR(INDEX(Registro!$P$2:$P$500,MATCH(53,Registro!$T$2:$T$500,0)),"")</f>
        <v/>
      </c>
      <c r="H54" s="49" t="str">
        <f>IFERROR(INDEX(Registro!$Q$2:$Q$500,MATCH(53,Registro!$T$2:$T$500,0)),"")</f>
        <v/>
      </c>
    </row>
    <row r="55" spans="1:8" x14ac:dyDescent="0.25">
      <c r="A55" s="49" t="str">
        <f>IFERROR(INDEX(Registro!$E$2:$E$500,MATCH(54,Registro!$T$2:$T$500,0)),"")</f>
        <v/>
      </c>
      <c r="B55" s="49" t="str">
        <f>IFERROR(INDEX(Registro!$F$2:$F$500,MATCH(54,Registro!$T$2:$T$500,0)),"")</f>
        <v/>
      </c>
      <c r="C55" s="49" t="str">
        <f>IFERROR(INDEX(Registro!$G$2:$G$500,MATCH(54,Registro!$T$2:$T$500,0)),"")</f>
        <v/>
      </c>
      <c r="D55" s="49" t="str">
        <f>IFERROR(INDEX(Registro!$H$2:$H$500,MATCH(54,Registro!$T$2:$T$500,0)),"")</f>
        <v/>
      </c>
      <c r="E55" s="50" t="str">
        <f>IFERROR(INDEX(Registro!$C$2:$C$500,MATCH(54,Registro!$T$2:$T$500,0)),"")</f>
        <v/>
      </c>
      <c r="F55" s="49" t="str">
        <f>IFERROR(INDEX(Registro!$B$2:$B$500,MATCH(54,Registro!$T$2:$T$500,0)),"")</f>
        <v/>
      </c>
      <c r="G55" s="49" t="str">
        <f>IFERROR(INDEX(Registro!$P$2:$P$500,MATCH(54,Registro!$T$2:$T$500,0)),"")</f>
        <v/>
      </c>
      <c r="H55" s="49" t="str">
        <f>IFERROR(INDEX(Registro!$Q$2:$Q$500,MATCH(54,Registro!$T$2:$T$500,0)),"")</f>
        <v/>
      </c>
    </row>
    <row r="56" spans="1:8" x14ac:dyDescent="0.25">
      <c r="A56" s="49" t="str">
        <f>IFERROR(INDEX(Registro!$E$2:$E$500,MATCH(55,Registro!$T$2:$T$500,0)),"")</f>
        <v/>
      </c>
      <c r="B56" s="49" t="str">
        <f>IFERROR(INDEX(Registro!$F$2:$F$500,MATCH(55,Registro!$T$2:$T$500,0)),"")</f>
        <v/>
      </c>
      <c r="C56" s="49" t="str">
        <f>IFERROR(INDEX(Registro!$G$2:$G$500,MATCH(55,Registro!$T$2:$T$500,0)),"")</f>
        <v/>
      </c>
      <c r="D56" s="49" t="str">
        <f>IFERROR(INDEX(Registro!$H$2:$H$500,MATCH(55,Registro!$T$2:$T$500,0)),"")</f>
        <v/>
      </c>
      <c r="E56" s="50" t="str">
        <f>IFERROR(INDEX(Registro!$C$2:$C$500,MATCH(55,Registro!$T$2:$T$500,0)),"")</f>
        <v/>
      </c>
      <c r="F56" s="49" t="str">
        <f>IFERROR(INDEX(Registro!$B$2:$B$500,MATCH(55,Registro!$T$2:$T$500,0)),"")</f>
        <v/>
      </c>
      <c r="G56" s="49" t="str">
        <f>IFERROR(INDEX(Registro!$P$2:$P$500,MATCH(55,Registro!$T$2:$T$500,0)),"")</f>
        <v/>
      </c>
      <c r="H56" s="49" t="str">
        <f>IFERROR(INDEX(Registro!$Q$2:$Q$500,MATCH(55,Registro!$T$2:$T$500,0)),"")</f>
        <v/>
      </c>
    </row>
    <row r="57" spans="1:8" x14ac:dyDescent="0.25">
      <c r="A57" s="49" t="str">
        <f>IFERROR(INDEX(Registro!$E$2:$E$500,MATCH(56,Registro!$T$2:$T$500,0)),"")</f>
        <v/>
      </c>
      <c r="B57" s="49" t="str">
        <f>IFERROR(INDEX(Registro!$F$2:$F$500,MATCH(56,Registro!$T$2:$T$500,0)),"")</f>
        <v/>
      </c>
      <c r="C57" s="49" t="str">
        <f>IFERROR(INDEX(Registro!$G$2:$G$500,MATCH(56,Registro!$T$2:$T$500,0)),"")</f>
        <v/>
      </c>
      <c r="D57" s="49" t="str">
        <f>IFERROR(INDEX(Registro!$H$2:$H$500,MATCH(56,Registro!$T$2:$T$500,0)),"")</f>
        <v/>
      </c>
      <c r="E57" s="50" t="str">
        <f>IFERROR(INDEX(Registro!$C$2:$C$500,MATCH(56,Registro!$T$2:$T$500,0)),"")</f>
        <v/>
      </c>
      <c r="F57" s="49" t="str">
        <f>IFERROR(INDEX(Registro!$B$2:$B$500,MATCH(56,Registro!$T$2:$T$500,0)),"")</f>
        <v/>
      </c>
      <c r="G57" s="49" t="str">
        <f>IFERROR(INDEX(Registro!$P$2:$P$500,MATCH(56,Registro!$T$2:$T$500,0)),"")</f>
        <v/>
      </c>
      <c r="H57" s="49" t="str">
        <f>IFERROR(INDEX(Registro!$Q$2:$Q$500,MATCH(56,Registro!$T$2:$T$500,0)),"")</f>
        <v/>
      </c>
    </row>
    <row r="58" spans="1:8" x14ac:dyDescent="0.25">
      <c r="A58" s="49" t="str">
        <f>IFERROR(INDEX(Registro!$E$2:$E$500,MATCH(57,Registro!$T$2:$T$500,0)),"")</f>
        <v/>
      </c>
      <c r="B58" s="49" t="str">
        <f>IFERROR(INDEX(Registro!$F$2:$F$500,MATCH(57,Registro!$T$2:$T$500,0)),"")</f>
        <v/>
      </c>
      <c r="C58" s="49" t="str">
        <f>IFERROR(INDEX(Registro!$G$2:$G$500,MATCH(57,Registro!$T$2:$T$500,0)),"")</f>
        <v/>
      </c>
      <c r="D58" s="49" t="str">
        <f>IFERROR(INDEX(Registro!$H$2:$H$500,MATCH(57,Registro!$T$2:$T$500,0)),"")</f>
        <v/>
      </c>
      <c r="E58" s="50" t="str">
        <f>IFERROR(INDEX(Registro!$C$2:$C$500,MATCH(57,Registro!$T$2:$T$500,0)),"")</f>
        <v/>
      </c>
      <c r="F58" s="49" t="str">
        <f>IFERROR(INDEX(Registro!$B$2:$B$500,MATCH(57,Registro!$T$2:$T$500,0)),"")</f>
        <v/>
      </c>
      <c r="G58" s="49" t="str">
        <f>IFERROR(INDEX(Registro!$P$2:$P$500,MATCH(57,Registro!$T$2:$T$500,0)),"")</f>
        <v/>
      </c>
      <c r="H58" s="49" t="str">
        <f>IFERROR(INDEX(Registro!$Q$2:$Q$500,MATCH(57,Registro!$T$2:$T$500,0)),"")</f>
        <v/>
      </c>
    </row>
    <row r="59" spans="1:8" x14ac:dyDescent="0.25">
      <c r="A59" s="49" t="str">
        <f>IFERROR(INDEX(Registro!$E$2:$E$500,MATCH(58,Registro!$T$2:$T$500,0)),"")</f>
        <v/>
      </c>
      <c r="B59" s="49" t="str">
        <f>IFERROR(INDEX(Registro!$F$2:$F$500,MATCH(58,Registro!$T$2:$T$500,0)),"")</f>
        <v/>
      </c>
      <c r="C59" s="49" t="str">
        <f>IFERROR(INDEX(Registro!$G$2:$G$500,MATCH(58,Registro!$T$2:$T$500,0)),"")</f>
        <v/>
      </c>
      <c r="D59" s="49" t="str">
        <f>IFERROR(INDEX(Registro!$H$2:$H$500,MATCH(58,Registro!$T$2:$T$500,0)),"")</f>
        <v/>
      </c>
      <c r="E59" s="50" t="str">
        <f>IFERROR(INDEX(Registro!$C$2:$C$500,MATCH(58,Registro!$T$2:$T$500,0)),"")</f>
        <v/>
      </c>
      <c r="F59" s="49" t="str">
        <f>IFERROR(INDEX(Registro!$B$2:$B$500,MATCH(58,Registro!$T$2:$T$500,0)),"")</f>
        <v/>
      </c>
      <c r="G59" s="49" t="str">
        <f>IFERROR(INDEX(Registro!$P$2:$P$500,MATCH(58,Registro!$T$2:$T$500,0)),"")</f>
        <v/>
      </c>
      <c r="H59" s="49" t="str">
        <f>IFERROR(INDEX(Registro!$Q$2:$Q$500,MATCH(58,Registro!$T$2:$T$500,0)),"")</f>
        <v/>
      </c>
    </row>
    <row r="60" spans="1:8" x14ac:dyDescent="0.25">
      <c r="A60" s="49" t="str">
        <f>IFERROR(INDEX(Registro!$E$2:$E$500,MATCH(59,Registro!$T$2:$T$500,0)),"")</f>
        <v/>
      </c>
      <c r="B60" s="49" t="str">
        <f>IFERROR(INDEX(Registro!$F$2:$F$500,MATCH(59,Registro!$T$2:$T$500,0)),"")</f>
        <v/>
      </c>
      <c r="C60" s="49" t="str">
        <f>IFERROR(INDEX(Registro!$G$2:$G$500,MATCH(59,Registro!$T$2:$T$500,0)),"")</f>
        <v/>
      </c>
      <c r="D60" s="49" t="str">
        <f>IFERROR(INDEX(Registro!$H$2:$H$500,MATCH(59,Registro!$T$2:$T$500,0)),"")</f>
        <v/>
      </c>
      <c r="E60" s="50" t="str">
        <f>IFERROR(INDEX(Registro!$C$2:$C$500,MATCH(59,Registro!$T$2:$T$500,0)),"")</f>
        <v/>
      </c>
      <c r="F60" s="49" t="str">
        <f>IFERROR(INDEX(Registro!$B$2:$B$500,MATCH(59,Registro!$T$2:$T$500,0)),"")</f>
        <v/>
      </c>
      <c r="G60" s="49" t="str">
        <f>IFERROR(INDEX(Registro!$P$2:$P$500,MATCH(59,Registro!$T$2:$T$500,0)),"")</f>
        <v/>
      </c>
      <c r="H60" s="49" t="str">
        <f>IFERROR(INDEX(Registro!$Q$2:$Q$500,MATCH(59,Registro!$T$2:$T$500,0)),"")</f>
        <v/>
      </c>
    </row>
    <row r="61" spans="1:8" x14ac:dyDescent="0.25">
      <c r="A61" s="49" t="str">
        <f>IFERROR(INDEX(Registro!$E$2:$E$500,MATCH(60,Registro!$T$2:$T$500,0)),"")</f>
        <v/>
      </c>
      <c r="B61" s="49" t="str">
        <f>IFERROR(INDEX(Registro!$F$2:$F$500,MATCH(60,Registro!$T$2:$T$500,0)),"")</f>
        <v/>
      </c>
      <c r="C61" s="49" t="str">
        <f>IFERROR(INDEX(Registro!$G$2:$G$500,MATCH(60,Registro!$T$2:$T$500,0)),"")</f>
        <v/>
      </c>
      <c r="D61" s="49" t="str">
        <f>IFERROR(INDEX(Registro!$H$2:$H$500,MATCH(60,Registro!$T$2:$T$500,0)),"")</f>
        <v/>
      </c>
      <c r="E61" s="50" t="str">
        <f>IFERROR(INDEX(Registro!$C$2:$C$500,MATCH(60,Registro!$T$2:$T$500,0)),"")</f>
        <v/>
      </c>
      <c r="F61" s="49" t="str">
        <f>IFERROR(INDEX(Registro!$B$2:$B$500,MATCH(60,Registro!$T$2:$T$500,0)),"")</f>
        <v/>
      </c>
      <c r="G61" s="49" t="str">
        <f>IFERROR(INDEX(Registro!$P$2:$P$500,MATCH(60,Registro!$T$2:$T$500,0)),"")</f>
        <v/>
      </c>
      <c r="H61" s="49" t="str">
        <f>IFERROR(INDEX(Registro!$Q$2:$Q$500,MATCH(60,Registro!$T$2:$T$500,0)),"")</f>
        <v/>
      </c>
    </row>
    <row r="62" spans="1:8" x14ac:dyDescent="0.25">
      <c r="A62" s="49" t="str">
        <f>IFERROR(INDEX(Registro!$E$2:$E$500,MATCH(61,Registro!$T$2:$T$500,0)),"")</f>
        <v/>
      </c>
      <c r="B62" s="49" t="str">
        <f>IFERROR(INDEX(Registro!$F$2:$F$500,MATCH(61,Registro!$T$2:$T$500,0)),"")</f>
        <v/>
      </c>
      <c r="C62" s="49" t="str">
        <f>IFERROR(INDEX(Registro!$G$2:$G$500,MATCH(61,Registro!$T$2:$T$500,0)),"")</f>
        <v/>
      </c>
      <c r="D62" s="49" t="str">
        <f>IFERROR(INDEX(Registro!$H$2:$H$500,MATCH(61,Registro!$T$2:$T$500,0)),"")</f>
        <v/>
      </c>
      <c r="E62" s="50" t="str">
        <f>IFERROR(INDEX(Registro!$C$2:$C$500,MATCH(61,Registro!$T$2:$T$500,0)),"")</f>
        <v/>
      </c>
      <c r="F62" s="49" t="str">
        <f>IFERROR(INDEX(Registro!$B$2:$B$500,MATCH(61,Registro!$T$2:$T$500,0)),"")</f>
        <v/>
      </c>
      <c r="G62" s="49" t="str">
        <f>IFERROR(INDEX(Registro!$P$2:$P$500,MATCH(61,Registro!$T$2:$T$500,0)),"")</f>
        <v/>
      </c>
      <c r="H62" s="49" t="str">
        <f>IFERROR(INDEX(Registro!$Q$2:$Q$500,MATCH(61,Registro!$T$2:$T$500,0)),"")</f>
        <v/>
      </c>
    </row>
    <row r="63" spans="1:8" x14ac:dyDescent="0.25">
      <c r="A63" s="49" t="str">
        <f>IFERROR(INDEX(Registro!$E$2:$E$500,MATCH(62,Registro!$T$2:$T$500,0)),"")</f>
        <v/>
      </c>
      <c r="B63" s="49" t="str">
        <f>IFERROR(INDEX(Registro!$F$2:$F$500,MATCH(62,Registro!$T$2:$T$500,0)),"")</f>
        <v/>
      </c>
      <c r="C63" s="49" t="str">
        <f>IFERROR(INDEX(Registro!$G$2:$G$500,MATCH(62,Registro!$T$2:$T$500,0)),"")</f>
        <v/>
      </c>
      <c r="D63" s="49" t="str">
        <f>IFERROR(INDEX(Registro!$H$2:$H$500,MATCH(62,Registro!$T$2:$T$500,0)),"")</f>
        <v/>
      </c>
      <c r="E63" s="50" t="str">
        <f>IFERROR(INDEX(Registro!$C$2:$C$500,MATCH(62,Registro!$T$2:$T$500,0)),"")</f>
        <v/>
      </c>
      <c r="F63" s="49" t="str">
        <f>IFERROR(INDEX(Registro!$B$2:$B$500,MATCH(62,Registro!$T$2:$T$500,0)),"")</f>
        <v/>
      </c>
      <c r="G63" s="49" t="str">
        <f>IFERROR(INDEX(Registro!$P$2:$P$500,MATCH(62,Registro!$T$2:$T$500,0)),"")</f>
        <v/>
      </c>
      <c r="H63" s="49" t="str">
        <f>IFERROR(INDEX(Registro!$Q$2:$Q$500,MATCH(62,Registro!$T$2:$T$500,0)),"")</f>
        <v/>
      </c>
    </row>
    <row r="64" spans="1:8" x14ac:dyDescent="0.25">
      <c r="A64" s="49" t="str">
        <f>IFERROR(INDEX(Registro!$E$2:$E$500,MATCH(63,Registro!$T$2:$T$500,0)),"")</f>
        <v/>
      </c>
      <c r="B64" s="49" t="str">
        <f>IFERROR(INDEX(Registro!$F$2:$F$500,MATCH(63,Registro!$T$2:$T$500,0)),"")</f>
        <v/>
      </c>
      <c r="C64" s="49" t="str">
        <f>IFERROR(INDEX(Registro!$G$2:$G$500,MATCH(63,Registro!$T$2:$T$500,0)),"")</f>
        <v/>
      </c>
      <c r="D64" s="49" t="str">
        <f>IFERROR(INDEX(Registro!$H$2:$H$500,MATCH(63,Registro!$T$2:$T$500,0)),"")</f>
        <v/>
      </c>
      <c r="E64" s="50" t="str">
        <f>IFERROR(INDEX(Registro!$C$2:$C$500,MATCH(63,Registro!$T$2:$T$500,0)),"")</f>
        <v/>
      </c>
      <c r="F64" s="49" t="str">
        <f>IFERROR(INDEX(Registro!$B$2:$B$500,MATCH(63,Registro!$T$2:$T$500,0)),"")</f>
        <v/>
      </c>
      <c r="G64" s="49" t="str">
        <f>IFERROR(INDEX(Registro!$P$2:$P$500,MATCH(63,Registro!$T$2:$T$500,0)),"")</f>
        <v/>
      </c>
      <c r="H64" s="49" t="str">
        <f>IFERROR(INDEX(Registro!$Q$2:$Q$500,MATCH(63,Registro!$T$2:$T$500,0)),"")</f>
        <v/>
      </c>
    </row>
    <row r="65" spans="1:8" x14ac:dyDescent="0.25">
      <c r="A65" s="49" t="str">
        <f>IFERROR(INDEX(Registro!$E$2:$E$500,MATCH(64,Registro!$T$2:$T$500,0)),"")</f>
        <v/>
      </c>
      <c r="B65" s="49" t="str">
        <f>IFERROR(INDEX(Registro!$F$2:$F$500,MATCH(64,Registro!$T$2:$T$500,0)),"")</f>
        <v/>
      </c>
      <c r="C65" s="49" t="str">
        <f>IFERROR(INDEX(Registro!$G$2:$G$500,MATCH(64,Registro!$T$2:$T$500,0)),"")</f>
        <v/>
      </c>
      <c r="D65" s="49" t="str">
        <f>IFERROR(INDEX(Registro!$H$2:$H$500,MATCH(64,Registro!$T$2:$T$500,0)),"")</f>
        <v/>
      </c>
      <c r="E65" s="50" t="str">
        <f>IFERROR(INDEX(Registro!$C$2:$C$500,MATCH(64,Registro!$T$2:$T$500,0)),"")</f>
        <v/>
      </c>
      <c r="F65" s="49" t="str">
        <f>IFERROR(INDEX(Registro!$B$2:$B$500,MATCH(64,Registro!$T$2:$T$500,0)),"")</f>
        <v/>
      </c>
      <c r="G65" s="49" t="str">
        <f>IFERROR(INDEX(Registro!$P$2:$P$500,MATCH(64,Registro!$T$2:$T$500,0)),"")</f>
        <v/>
      </c>
      <c r="H65" s="49" t="str">
        <f>IFERROR(INDEX(Registro!$Q$2:$Q$500,MATCH(64,Registro!$T$2:$T$500,0)),"")</f>
        <v/>
      </c>
    </row>
    <row r="66" spans="1:8" x14ac:dyDescent="0.25">
      <c r="A66" s="49" t="str">
        <f>IFERROR(INDEX(Registro!$E$2:$E$500,MATCH(65,Registro!$T$2:$T$500,0)),"")</f>
        <v/>
      </c>
      <c r="B66" s="49" t="str">
        <f>IFERROR(INDEX(Registro!$F$2:$F$500,MATCH(65,Registro!$T$2:$T$500,0)),"")</f>
        <v/>
      </c>
      <c r="C66" s="49" t="str">
        <f>IFERROR(INDEX(Registro!$G$2:$G$500,MATCH(65,Registro!$T$2:$T$500,0)),"")</f>
        <v/>
      </c>
      <c r="D66" s="49" t="str">
        <f>IFERROR(INDEX(Registro!$H$2:$H$500,MATCH(65,Registro!$T$2:$T$500,0)),"")</f>
        <v/>
      </c>
      <c r="E66" s="50" t="str">
        <f>IFERROR(INDEX(Registro!$C$2:$C$500,MATCH(65,Registro!$T$2:$T$500,0)),"")</f>
        <v/>
      </c>
      <c r="F66" s="49" t="str">
        <f>IFERROR(INDEX(Registro!$B$2:$B$500,MATCH(65,Registro!$T$2:$T$500,0)),"")</f>
        <v/>
      </c>
      <c r="G66" s="49" t="str">
        <f>IFERROR(INDEX(Registro!$P$2:$P$500,MATCH(65,Registro!$T$2:$T$500,0)),"")</f>
        <v/>
      </c>
      <c r="H66" s="49" t="str">
        <f>IFERROR(INDEX(Registro!$Q$2:$Q$500,MATCH(65,Registro!$T$2:$T$500,0)),"")</f>
        <v/>
      </c>
    </row>
    <row r="67" spans="1:8" x14ac:dyDescent="0.25">
      <c r="A67" s="49" t="str">
        <f>IFERROR(INDEX(Registro!$E$2:$E$500,MATCH(66,Registro!$T$2:$T$500,0)),"")</f>
        <v/>
      </c>
      <c r="B67" s="49" t="str">
        <f>IFERROR(INDEX(Registro!$F$2:$F$500,MATCH(66,Registro!$T$2:$T$500,0)),"")</f>
        <v/>
      </c>
      <c r="C67" s="49" t="str">
        <f>IFERROR(INDEX(Registro!$G$2:$G$500,MATCH(66,Registro!$T$2:$T$500,0)),"")</f>
        <v/>
      </c>
      <c r="D67" s="49" t="str">
        <f>IFERROR(INDEX(Registro!$H$2:$H$500,MATCH(66,Registro!$T$2:$T$500,0)),"")</f>
        <v/>
      </c>
      <c r="E67" s="50" t="str">
        <f>IFERROR(INDEX(Registro!$C$2:$C$500,MATCH(66,Registro!$T$2:$T$500,0)),"")</f>
        <v/>
      </c>
      <c r="F67" s="49" t="str">
        <f>IFERROR(INDEX(Registro!$B$2:$B$500,MATCH(66,Registro!$T$2:$T$500,0)),"")</f>
        <v/>
      </c>
      <c r="G67" s="49" t="str">
        <f>IFERROR(INDEX(Registro!$P$2:$P$500,MATCH(66,Registro!$T$2:$T$500,0)),"")</f>
        <v/>
      </c>
      <c r="H67" s="49" t="str">
        <f>IFERROR(INDEX(Registro!$Q$2:$Q$500,MATCH(66,Registro!$T$2:$T$500,0)),"")</f>
        <v/>
      </c>
    </row>
    <row r="68" spans="1:8" x14ac:dyDescent="0.25">
      <c r="A68" s="49" t="str">
        <f>IFERROR(INDEX(Registro!$E$2:$E$500,MATCH(67,Registro!$T$2:$T$500,0)),"")</f>
        <v/>
      </c>
      <c r="B68" s="49" t="str">
        <f>IFERROR(INDEX(Registro!$F$2:$F$500,MATCH(67,Registro!$T$2:$T$500,0)),"")</f>
        <v/>
      </c>
      <c r="C68" s="49" t="str">
        <f>IFERROR(INDEX(Registro!$G$2:$G$500,MATCH(67,Registro!$T$2:$T$500,0)),"")</f>
        <v/>
      </c>
      <c r="D68" s="49" t="str">
        <f>IFERROR(INDEX(Registro!$H$2:$H$500,MATCH(67,Registro!$T$2:$T$500,0)),"")</f>
        <v/>
      </c>
      <c r="E68" s="50" t="str">
        <f>IFERROR(INDEX(Registro!$C$2:$C$500,MATCH(67,Registro!$T$2:$T$500,0)),"")</f>
        <v/>
      </c>
      <c r="F68" s="49" t="str">
        <f>IFERROR(INDEX(Registro!$B$2:$B$500,MATCH(67,Registro!$T$2:$T$500,0)),"")</f>
        <v/>
      </c>
      <c r="G68" s="49" t="str">
        <f>IFERROR(INDEX(Registro!$P$2:$P$500,MATCH(67,Registro!$T$2:$T$500,0)),"")</f>
        <v/>
      </c>
      <c r="H68" s="49" t="str">
        <f>IFERROR(INDEX(Registro!$Q$2:$Q$500,MATCH(67,Registro!$T$2:$T$500,0)),"")</f>
        <v/>
      </c>
    </row>
    <row r="69" spans="1:8" x14ac:dyDescent="0.25">
      <c r="A69" s="49" t="str">
        <f>IFERROR(INDEX(Registro!$E$2:$E$500,MATCH(68,Registro!$T$2:$T$500,0)),"")</f>
        <v/>
      </c>
      <c r="B69" s="49" t="str">
        <f>IFERROR(INDEX(Registro!$F$2:$F$500,MATCH(68,Registro!$T$2:$T$500,0)),"")</f>
        <v/>
      </c>
      <c r="C69" s="49" t="str">
        <f>IFERROR(INDEX(Registro!$G$2:$G$500,MATCH(68,Registro!$T$2:$T$500,0)),"")</f>
        <v/>
      </c>
      <c r="D69" s="49" t="str">
        <f>IFERROR(INDEX(Registro!$H$2:$H$500,MATCH(68,Registro!$T$2:$T$500,0)),"")</f>
        <v/>
      </c>
      <c r="E69" s="50" t="str">
        <f>IFERROR(INDEX(Registro!$C$2:$C$500,MATCH(68,Registro!$T$2:$T$500,0)),"")</f>
        <v/>
      </c>
      <c r="F69" s="49" t="str">
        <f>IFERROR(INDEX(Registro!$B$2:$B$500,MATCH(68,Registro!$T$2:$T$500,0)),"")</f>
        <v/>
      </c>
      <c r="G69" s="49" t="str">
        <f>IFERROR(INDEX(Registro!$P$2:$P$500,MATCH(68,Registro!$T$2:$T$500,0)),"")</f>
        <v/>
      </c>
      <c r="H69" s="49" t="str">
        <f>IFERROR(INDEX(Registro!$Q$2:$Q$500,MATCH(68,Registro!$T$2:$T$500,0)),"")</f>
        <v/>
      </c>
    </row>
    <row r="70" spans="1:8" x14ac:dyDescent="0.25">
      <c r="A70" s="49" t="str">
        <f>IFERROR(INDEX(Registro!$E$2:$E$500,MATCH(69,Registro!$T$2:$T$500,0)),"")</f>
        <v/>
      </c>
      <c r="B70" s="49" t="str">
        <f>IFERROR(INDEX(Registro!$F$2:$F$500,MATCH(69,Registro!$T$2:$T$500,0)),"")</f>
        <v/>
      </c>
      <c r="C70" s="49" t="str">
        <f>IFERROR(INDEX(Registro!$G$2:$G$500,MATCH(69,Registro!$T$2:$T$500,0)),"")</f>
        <v/>
      </c>
      <c r="D70" s="49" t="str">
        <f>IFERROR(INDEX(Registro!$H$2:$H$500,MATCH(69,Registro!$T$2:$T$500,0)),"")</f>
        <v/>
      </c>
      <c r="E70" s="50" t="str">
        <f>IFERROR(INDEX(Registro!$C$2:$C$500,MATCH(69,Registro!$T$2:$T$500,0)),"")</f>
        <v/>
      </c>
      <c r="F70" s="49" t="str">
        <f>IFERROR(INDEX(Registro!$B$2:$B$500,MATCH(69,Registro!$T$2:$T$500,0)),"")</f>
        <v/>
      </c>
      <c r="G70" s="49" t="str">
        <f>IFERROR(INDEX(Registro!$P$2:$P$500,MATCH(69,Registro!$T$2:$T$500,0)),"")</f>
        <v/>
      </c>
      <c r="H70" s="49" t="str">
        <f>IFERROR(INDEX(Registro!$Q$2:$Q$500,MATCH(69,Registro!$T$2:$T$500,0)),"")</f>
        <v/>
      </c>
    </row>
    <row r="71" spans="1:8" x14ac:dyDescent="0.25">
      <c r="A71" s="49" t="str">
        <f>IFERROR(INDEX(Registro!$E$2:$E$500,MATCH(70,Registro!$T$2:$T$500,0)),"")</f>
        <v/>
      </c>
      <c r="B71" s="49" t="str">
        <f>IFERROR(INDEX(Registro!$F$2:$F$500,MATCH(70,Registro!$T$2:$T$500,0)),"")</f>
        <v/>
      </c>
      <c r="C71" s="49" t="str">
        <f>IFERROR(INDEX(Registro!$G$2:$G$500,MATCH(70,Registro!$T$2:$T$500,0)),"")</f>
        <v/>
      </c>
      <c r="D71" s="49" t="str">
        <f>IFERROR(INDEX(Registro!$H$2:$H$500,MATCH(70,Registro!$T$2:$T$500,0)),"")</f>
        <v/>
      </c>
      <c r="E71" s="50" t="str">
        <f>IFERROR(INDEX(Registro!$C$2:$C$500,MATCH(70,Registro!$T$2:$T$500,0)),"")</f>
        <v/>
      </c>
      <c r="F71" s="49" t="str">
        <f>IFERROR(INDEX(Registro!$B$2:$B$500,MATCH(70,Registro!$T$2:$T$500,0)),"")</f>
        <v/>
      </c>
      <c r="G71" s="49" t="str">
        <f>IFERROR(INDEX(Registro!$P$2:$P$500,MATCH(70,Registro!$T$2:$T$500,0)),"")</f>
        <v/>
      </c>
      <c r="H71" s="49" t="str">
        <f>IFERROR(INDEX(Registro!$Q$2:$Q$500,MATCH(70,Registro!$T$2:$T$500,0)),"")</f>
        <v/>
      </c>
    </row>
    <row r="72" spans="1:8" x14ac:dyDescent="0.25">
      <c r="A72" s="49" t="str">
        <f>IFERROR(INDEX(Registro!$E$2:$E$500,MATCH(71,Registro!$T$2:$T$500,0)),"")</f>
        <v/>
      </c>
      <c r="B72" s="49" t="str">
        <f>IFERROR(INDEX(Registro!$F$2:$F$500,MATCH(71,Registro!$T$2:$T$500,0)),"")</f>
        <v/>
      </c>
      <c r="C72" s="49" t="str">
        <f>IFERROR(INDEX(Registro!$G$2:$G$500,MATCH(71,Registro!$T$2:$T$500,0)),"")</f>
        <v/>
      </c>
      <c r="D72" s="49" t="str">
        <f>IFERROR(INDEX(Registro!$H$2:$H$500,MATCH(71,Registro!$T$2:$T$500,0)),"")</f>
        <v/>
      </c>
      <c r="E72" s="50" t="str">
        <f>IFERROR(INDEX(Registro!$C$2:$C$500,MATCH(71,Registro!$T$2:$T$500,0)),"")</f>
        <v/>
      </c>
      <c r="F72" s="49" t="str">
        <f>IFERROR(INDEX(Registro!$B$2:$B$500,MATCH(71,Registro!$T$2:$T$500,0)),"")</f>
        <v/>
      </c>
      <c r="G72" s="49" t="str">
        <f>IFERROR(INDEX(Registro!$P$2:$P$500,MATCH(71,Registro!$T$2:$T$500,0)),"")</f>
        <v/>
      </c>
      <c r="H72" s="49" t="str">
        <f>IFERROR(INDEX(Registro!$Q$2:$Q$500,MATCH(71,Registro!$T$2:$T$500,0)),"")</f>
        <v/>
      </c>
    </row>
    <row r="73" spans="1:8" x14ac:dyDescent="0.25">
      <c r="A73" s="49" t="str">
        <f>IFERROR(INDEX(Registro!$E$2:$E$500,MATCH(72,Registro!$T$2:$T$500,0)),"")</f>
        <v/>
      </c>
      <c r="B73" s="49" t="str">
        <f>IFERROR(INDEX(Registro!$F$2:$F$500,MATCH(72,Registro!$T$2:$T$500,0)),"")</f>
        <v/>
      </c>
      <c r="C73" s="49" t="str">
        <f>IFERROR(INDEX(Registro!$G$2:$G$500,MATCH(72,Registro!$T$2:$T$500,0)),"")</f>
        <v/>
      </c>
      <c r="D73" s="49" t="str">
        <f>IFERROR(INDEX(Registro!$H$2:$H$500,MATCH(72,Registro!$T$2:$T$500,0)),"")</f>
        <v/>
      </c>
      <c r="E73" s="50" t="str">
        <f>IFERROR(INDEX(Registro!$C$2:$C$500,MATCH(72,Registro!$T$2:$T$500,0)),"")</f>
        <v/>
      </c>
      <c r="F73" s="49" t="str">
        <f>IFERROR(INDEX(Registro!$B$2:$B$500,MATCH(72,Registro!$T$2:$T$500,0)),"")</f>
        <v/>
      </c>
      <c r="G73" s="49" t="str">
        <f>IFERROR(INDEX(Registro!$P$2:$P$500,MATCH(72,Registro!$T$2:$T$500,0)),"")</f>
        <v/>
      </c>
      <c r="H73" s="49" t="str">
        <f>IFERROR(INDEX(Registro!$Q$2:$Q$500,MATCH(72,Registro!$T$2:$T$500,0)),"")</f>
        <v/>
      </c>
    </row>
    <row r="74" spans="1:8" x14ac:dyDescent="0.25">
      <c r="A74" s="49" t="str">
        <f>IFERROR(INDEX(Registro!$E$2:$E$500,MATCH(73,Registro!$T$2:$T$500,0)),"")</f>
        <v/>
      </c>
      <c r="B74" s="49" t="str">
        <f>IFERROR(INDEX(Registro!$F$2:$F$500,MATCH(73,Registro!$T$2:$T$500,0)),"")</f>
        <v/>
      </c>
      <c r="C74" s="49" t="str">
        <f>IFERROR(INDEX(Registro!$G$2:$G$500,MATCH(73,Registro!$T$2:$T$500,0)),"")</f>
        <v/>
      </c>
      <c r="D74" s="49" t="str">
        <f>IFERROR(INDEX(Registro!$H$2:$H$500,MATCH(73,Registro!$T$2:$T$500,0)),"")</f>
        <v/>
      </c>
      <c r="E74" s="50" t="str">
        <f>IFERROR(INDEX(Registro!$C$2:$C$500,MATCH(73,Registro!$T$2:$T$500,0)),"")</f>
        <v/>
      </c>
      <c r="F74" s="49" t="str">
        <f>IFERROR(INDEX(Registro!$B$2:$B$500,MATCH(73,Registro!$T$2:$T$500,0)),"")</f>
        <v/>
      </c>
      <c r="G74" s="49" t="str">
        <f>IFERROR(INDEX(Registro!$P$2:$P$500,MATCH(73,Registro!$T$2:$T$500,0)),"")</f>
        <v/>
      </c>
      <c r="H74" s="49" t="str">
        <f>IFERROR(INDEX(Registro!$Q$2:$Q$500,MATCH(73,Registro!$T$2:$T$500,0)),"")</f>
        <v/>
      </c>
    </row>
    <row r="75" spans="1:8" x14ac:dyDescent="0.25">
      <c r="A75" s="49" t="str">
        <f>IFERROR(INDEX(Registro!$E$2:$E$500,MATCH(74,Registro!$T$2:$T$500,0)),"")</f>
        <v/>
      </c>
      <c r="B75" s="49" t="str">
        <f>IFERROR(INDEX(Registro!$F$2:$F$500,MATCH(74,Registro!$T$2:$T$500,0)),"")</f>
        <v/>
      </c>
      <c r="C75" s="49" t="str">
        <f>IFERROR(INDEX(Registro!$G$2:$G$500,MATCH(74,Registro!$T$2:$T$500,0)),"")</f>
        <v/>
      </c>
      <c r="D75" s="49" t="str">
        <f>IFERROR(INDEX(Registro!$H$2:$H$500,MATCH(74,Registro!$T$2:$T$500,0)),"")</f>
        <v/>
      </c>
      <c r="E75" s="50" t="str">
        <f>IFERROR(INDEX(Registro!$C$2:$C$500,MATCH(74,Registro!$T$2:$T$500,0)),"")</f>
        <v/>
      </c>
      <c r="F75" s="49" t="str">
        <f>IFERROR(INDEX(Registro!$B$2:$B$500,MATCH(74,Registro!$T$2:$T$500,0)),"")</f>
        <v/>
      </c>
      <c r="G75" s="49" t="str">
        <f>IFERROR(INDEX(Registro!$P$2:$P$500,MATCH(74,Registro!$T$2:$T$500,0)),"")</f>
        <v/>
      </c>
      <c r="H75" s="49" t="str">
        <f>IFERROR(INDEX(Registro!$Q$2:$Q$500,MATCH(74,Registro!$T$2:$T$500,0)),"")</f>
        <v/>
      </c>
    </row>
    <row r="76" spans="1:8" x14ac:dyDescent="0.25">
      <c r="A76" s="49" t="str">
        <f>IFERROR(INDEX(Registro!$E$2:$E$500,MATCH(75,Registro!$T$2:$T$500,0)),"")</f>
        <v/>
      </c>
      <c r="B76" s="49" t="str">
        <f>IFERROR(INDEX(Registro!$F$2:$F$500,MATCH(75,Registro!$T$2:$T$500,0)),"")</f>
        <v/>
      </c>
      <c r="C76" s="49" t="str">
        <f>IFERROR(INDEX(Registro!$G$2:$G$500,MATCH(75,Registro!$T$2:$T$500,0)),"")</f>
        <v/>
      </c>
      <c r="D76" s="49" t="str">
        <f>IFERROR(INDEX(Registro!$H$2:$H$500,MATCH(75,Registro!$T$2:$T$500,0)),"")</f>
        <v/>
      </c>
      <c r="E76" s="50" t="str">
        <f>IFERROR(INDEX(Registro!$C$2:$C$500,MATCH(75,Registro!$T$2:$T$500,0)),"")</f>
        <v/>
      </c>
      <c r="F76" s="49" t="str">
        <f>IFERROR(INDEX(Registro!$B$2:$B$500,MATCH(75,Registro!$T$2:$T$500,0)),"")</f>
        <v/>
      </c>
      <c r="G76" s="49" t="str">
        <f>IFERROR(INDEX(Registro!$P$2:$P$500,MATCH(75,Registro!$T$2:$T$500,0)),"")</f>
        <v/>
      </c>
      <c r="H76" s="49" t="str">
        <f>IFERROR(INDEX(Registro!$Q$2:$Q$500,MATCH(75,Registro!$T$2:$T$500,0)),"")</f>
        <v/>
      </c>
    </row>
    <row r="77" spans="1:8" x14ac:dyDescent="0.25">
      <c r="A77" s="49" t="str">
        <f>IFERROR(INDEX(Registro!$E$2:$E$500,MATCH(76,Registro!$T$2:$T$500,0)),"")</f>
        <v/>
      </c>
      <c r="B77" s="49" t="str">
        <f>IFERROR(INDEX(Registro!$F$2:$F$500,MATCH(76,Registro!$T$2:$T$500,0)),"")</f>
        <v/>
      </c>
      <c r="C77" s="49" t="str">
        <f>IFERROR(INDEX(Registro!$G$2:$G$500,MATCH(76,Registro!$T$2:$T$500,0)),"")</f>
        <v/>
      </c>
      <c r="D77" s="49" t="str">
        <f>IFERROR(INDEX(Registro!$H$2:$H$500,MATCH(76,Registro!$T$2:$T$500,0)),"")</f>
        <v/>
      </c>
      <c r="E77" s="50" t="str">
        <f>IFERROR(INDEX(Registro!$C$2:$C$500,MATCH(76,Registro!$T$2:$T$500,0)),"")</f>
        <v/>
      </c>
      <c r="F77" s="49" t="str">
        <f>IFERROR(INDEX(Registro!$B$2:$B$500,MATCH(76,Registro!$T$2:$T$500,0)),"")</f>
        <v/>
      </c>
      <c r="G77" s="49" t="str">
        <f>IFERROR(INDEX(Registro!$P$2:$P$500,MATCH(76,Registro!$T$2:$T$500,0)),"")</f>
        <v/>
      </c>
      <c r="H77" s="49" t="str">
        <f>IFERROR(INDEX(Registro!$Q$2:$Q$500,MATCH(76,Registro!$T$2:$T$500,0)),"")</f>
        <v/>
      </c>
    </row>
    <row r="78" spans="1:8" x14ac:dyDescent="0.25">
      <c r="A78" s="49" t="str">
        <f>IFERROR(INDEX(Registro!$E$2:$E$500,MATCH(77,Registro!$T$2:$T$500,0)),"")</f>
        <v/>
      </c>
      <c r="B78" s="49" t="str">
        <f>IFERROR(INDEX(Registro!$F$2:$F$500,MATCH(77,Registro!$T$2:$T$500,0)),"")</f>
        <v/>
      </c>
      <c r="C78" s="49" t="str">
        <f>IFERROR(INDEX(Registro!$G$2:$G$500,MATCH(77,Registro!$T$2:$T$500,0)),"")</f>
        <v/>
      </c>
      <c r="D78" s="49" t="str">
        <f>IFERROR(INDEX(Registro!$H$2:$H$500,MATCH(77,Registro!$T$2:$T$500,0)),"")</f>
        <v/>
      </c>
      <c r="E78" s="50" t="str">
        <f>IFERROR(INDEX(Registro!$C$2:$C$500,MATCH(77,Registro!$T$2:$T$500,0)),"")</f>
        <v/>
      </c>
      <c r="F78" s="49" t="str">
        <f>IFERROR(INDEX(Registro!$B$2:$B$500,MATCH(77,Registro!$T$2:$T$500,0)),"")</f>
        <v/>
      </c>
      <c r="G78" s="49" t="str">
        <f>IFERROR(INDEX(Registro!$P$2:$P$500,MATCH(77,Registro!$T$2:$T$500,0)),"")</f>
        <v/>
      </c>
      <c r="H78" s="49" t="str">
        <f>IFERROR(INDEX(Registro!$Q$2:$Q$500,MATCH(77,Registro!$T$2:$T$500,0)),"")</f>
        <v/>
      </c>
    </row>
    <row r="79" spans="1:8" x14ac:dyDescent="0.25">
      <c r="A79" s="49" t="str">
        <f>IFERROR(INDEX(Registro!$E$2:$E$500,MATCH(78,Registro!$T$2:$T$500,0)),"")</f>
        <v/>
      </c>
      <c r="B79" s="49" t="str">
        <f>IFERROR(INDEX(Registro!$F$2:$F$500,MATCH(78,Registro!$T$2:$T$500,0)),"")</f>
        <v/>
      </c>
      <c r="C79" s="49" t="str">
        <f>IFERROR(INDEX(Registro!$G$2:$G$500,MATCH(78,Registro!$T$2:$T$500,0)),"")</f>
        <v/>
      </c>
      <c r="D79" s="49" t="str">
        <f>IFERROR(INDEX(Registro!$H$2:$H$500,MATCH(78,Registro!$T$2:$T$500,0)),"")</f>
        <v/>
      </c>
      <c r="E79" s="50" t="str">
        <f>IFERROR(INDEX(Registro!$C$2:$C$500,MATCH(78,Registro!$T$2:$T$500,0)),"")</f>
        <v/>
      </c>
      <c r="F79" s="49" t="str">
        <f>IFERROR(INDEX(Registro!$B$2:$B$500,MATCH(78,Registro!$T$2:$T$500,0)),"")</f>
        <v/>
      </c>
      <c r="G79" s="49" t="str">
        <f>IFERROR(INDEX(Registro!$P$2:$P$500,MATCH(78,Registro!$T$2:$T$500,0)),"")</f>
        <v/>
      </c>
      <c r="H79" s="49" t="str">
        <f>IFERROR(INDEX(Registro!$Q$2:$Q$500,MATCH(78,Registro!$T$2:$T$500,0)),"")</f>
        <v/>
      </c>
    </row>
    <row r="80" spans="1:8" x14ac:dyDescent="0.25">
      <c r="A80" s="49" t="str">
        <f>IFERROR(INDEX(Registro!$E$2:$E$500,MATCH(79,Registro!$T$2:$T$500,0)),"")</f>
        <v/>
      </c>
      <c r="B80" s="49" t="str">
        <f>IFERROR(INDEX(Registro!$F$2:$F$500,MATCH(79,Registro!$T$2:$T$500,0)),"")</f>
        <v/>
      </c>
      <c r="C80" s="49" t="str">
        <f>IFERROR(INDEX(Registro!$G$2:$G$500,MATCH(79,Registro!$T$2:$T$500,0)),"")</f>
        <v/>
      </c>
      <c r="D80" s="49" t="str">
        <f>IFERROR(INDEX(Registro!$H$2:$H$500,MATCH(79,Registro!$T$2:$T$500,0)),"")</f>
        <v/>
      </c>
      <c r="E80" s="50" t="str">
        <f>IFERROR(INDEX(Registro!$C$2:$C$500,MATCH(79,Registro!$T$2:$T$500,0)),"")</f>
        <v/>
      </c>
      <c r="F80" s="49" t="str">
        <f>IFERROR(INDEX(Registro!$B$2:$B$500,MATCH(79,Registro!$T$2:$T$500,0)),"")</f>
        <v/>
      </c>
      <c r="G80" s="49" t="str">
        <f>IFERROR(INDEX(Registro!$P$2:$P$500,MATCH(79,Registro!$T$2:$T$500,0)),"")</f>
        <v/>
      </c>
      <c r="H80" s="49" t="str">
        <f>IFERROR(INDEX(Registro!$Q$2:$Q$500,MATCH(79,Registro!$T$2:$T$500,0)),"")</f>
        <v/>
      </c>
    </row>
    <row r="81" spans="1:8" x14ac:dyDescent="0.25">
      <c r="A81" s="49" t="str">
        <f>IFERROR(INDEX(Registro!$E$2:$E$500,MATCH(80,Registro!$T$2:$T$500,0)),"")</f>
        <v/>
      </c>
      <c r="B81" s="49" t="str">
        <f>IFERROR(INDEX(Registro!$F$2:$F$500,MATCH(80,Registro!$T$2:$T$500,0)),"")</f>
        <v/>
      </c>
      <c r="C81" s="49" t="str">
        <f>IFERROR(INDEX(Registro!$G$2:$G$500,MATCH(80,Registro!$T$2:$T$500,0)),"")</f>
        <v/>
      </c>
      <c r="D81" s="49" t="str">
        <f>IFERROR(INDEX(Registro!$H$2:$H$500,MATCH(80,Registro!$T$2:$T$500,0)),"")</f>
        <v/>
      </c>
      <c r="E81" s="50" t="str">
        <f>IFERROR(INDEX(Registro!$C$2:$C$500,MATCH(80,Registro!$T$2:$T$500,0)),"")</f>
        <v/>
      </c>
      <c r="F81" s="49" t="str">
        <f>IFERROR(INDEX(Registro!$B$2:$B$500,MATCH(80,Registro!$T$2:$T$500,0)),"")</f>
        <v/>
      </c>
      <c r="G81" s="49" t="str">
        <f>IFERROR(INDEX(Registro!$P$2:$P$500,MATCH(80,Registro!$T$2:$T$500,0)),"")</f>
        <v/>
      </c>
      <c r="H81" s="49" t="str">
        <f>IFERROR(INDEX(Registro!$Q$2:$Q$500,MATCH(80,Registro!$T$2:$T$500,0)),"")</f>
        <v/>
      </c>
    </row>
    <row r="82" spans="1:8" x14ac:dyDescent="0.25">
      <c r="A82" s="49" t="str">
        <f>IFERROR(INDEX(Registro!$E$2:$E$500,MATCH(81,Registro!$T$2:$T$500,0)),"")</f>
        <v/>
      </c>
      <c r="B82" s="49" t="str">
        <f>IFERROR(INDEX(Registro!$F$2:$F$500,MATCH(81,Registro!$T$2:$T$500,0)),"")</f>
        <v/>
      </c>
      <c r="C82" s="49" t="str">
        <f>IFERROR(INDEX(Registro!$G$2:$G$500,MATCH(81,Registro!$T$2:$T$500,0)),"")</f>
        <v/>
      </c>
      <c r="D82" s="49" t="str">
        <f>IFERROR(INDEX(Registro!$H$2:$H$500,MATCH(81,Registro!$T$2:$T$500,0)),"")</f>
        <v/>
      </c>
      <c r="E82" s="50" t="str">
        <f>IFERROR(INDEX(Registro!$C$2:$C$500,MATCH(81,Registro!$T$2:$T$500,0)),"")</f>
        <v/>
      </c>
      <c r="F82" s="49" t="str">
        <f>IFERROR(INDEX(Registro!$B$2:$B$500,MATCH(81,Registro!$T$2:$T$500,0)),"")</f>
        <v/>
      </c>
      <c r="G82" s="49" t="str">
        <f>IFERROR(INDEX(Registro!$P$2:$P$500,MATCH(81,Registro!$T$2:$T$500,0)),"")</f>
        <v/>
      </c>
      <c r="H82" s="49" t="str">
        <f>IFERROR(INDEX(Registro!$Q$2:$Q$500,MATCH(81,Registro!$T$2:$T$500,0)),"")</f>
        <v/>
      </c>
    </row>
    <row r="83" spans="1:8" x14ac:dyDescent="0.25">
      <c r="A83" s="49" t="str">
        <f>IFERROR(INDEX(Registro!$E$2:$E$500,MATCH(82,Registro!$T$2:$T$500,0)),"")</f>
        <v/>
      </c>
      <c r="B83" s="49" t="str">
        <f>IFERROR(INDEX(Registro!$F$2:$F$500,MATCH(82,Registro!$T$2:$T$500,0)),"")</f>
        <v/>
      </c>
      <c r="C83" s="49" t="str">
        <f>IFERROR(INDEX(Registro!$G$2:$G$500,MATCH(82,Registro!$T$2:$T$500,0)),"")</f>
        <v/>
      </c>
      <c r="D83" s="49" t="str">
        <f>IFERROR(INDEX(Registro!$H$2:$H$500,MATCH(82,Registro!$T$2:$T$500,0)),"")</f>
        <v/>
      </c>
      <c r="E83" s="50" t="str">
        <f>IFERROR(INDEX(Registro!$C$2:$C$500,MATCH(82,Registro!$T$2:$T$500,0)),"")</f>
        <v/>
      </c>
      <c r="F83" s="49" t="str">
        <f>IFERROR(INDEX(Registro!$B$2:$B$500,MATCH(82,Registro!$T$2:$T$500,0)),"")</f>
        <v/>
      </c>
      <c r="G83" s="49" t="str">
        <f>IFERROR(INDEX(Registro!$P$2:$P$500,MATCH(82,Registro!$T$2:$T$500,0)),"")</f>
        <v/>
      </c>
      <c r="H83" s="49" t="str">
        <f>IFERROR(INDEX(Registro!$Q$2:$Q$500,MATCH(82,Registro!$T$2:$T$500,0)),"")</f>
        <v/>
      </c>
    </row>
    <row r="84" spans="1:8" x14ac:dyDescent="0.25">
      <c r="A84" s="49" t="str">
        <f>IFERROR(INDEX(Registro!$E$2:$E$500,MATCH(83,Registro!$T$2:$T$500,0)),"")</f>
        <v/>
      </c>
      <c r="B84" s="49" t="str">
        <f>IFERROR(INDEX(Registro!$F$2:$F$500,MATCH(83,Registro!$T$2:$T$500,0)),"")</f>
        <v/>
      </c>
      <c r="C84" s="49" t="str">
        <f>IFERROR(INDEX(Registro!$G$2:$G$500,MATCH(83,Registro!$T$2:$T$500,0)),"")</f>
        <v/>
      </c>
      <c r="D84" s="49" t="str">
        <f>IFERROR(INDEX(Registro!$H$2:$H$500,MATCH(83,Registro!$T$2:$T$500,0)),"")</f>
        <v/>
      </c>
      <c r="E84" s="50" t="str">
        <f>IFERROR(INDEX(Registro!$C$2:$C$500,MATCH(83,Registro!$T$2:$T$500,0)),"")</f>
        <v/>
      </c>
      <c r="F84" s="49" t="str">
        <f>IFERROR(INDEX(Registro!$B$2:$B$500,MATCH(83,Registro!$T$2:$T$500,0)),"")</f>
        <v/>
      </c>
      <c r="G84" s="49" t="str">
        <f>IFERROR(INDEX(Registro!$P$2:$P$500,MATCH(83,Registro!$T$2:$T$500,0)),"")</f>
        <v/>
      </c>
      <c r="H84" s="49" t="str">
        <f>IFERROR(INDEX(Registro!$Q$2:$Q$500,MATCH(83,Registro!$T$2:$T$500,0)),"")</f>
        <v/>
      </c>
    </row>
    <row r="85" spans="1:8" x14ac:dyDescent="0.25">
      <c r="A85" s="49" t="str">
        <f>IFERROR(INDEX(Registro!$E$2:$E$500,MATCH(84,Registro!$T$2:$T$500,0)),"")</f>
        <v/>
      </c>
      <c r="B85" s="49" t="str">
        <f>IFERROR(INDEX(Registro!$F$2:$F$500,MATCH(84,Registro!$T$2:$T$500,0)),"")</f>
        <v/>
      </c>
      <c r="C85" s="49" t="str">
        <f>IFERROR(INDEX(Registro!$G$2:$G$500,MATCH(84,Registro!$T$2:$T$500,0)),"")</f>
        <v/>
      </c>
      <c r="D85" s="49" t="str">
        <f>IFERROR(INDEX(Registro!$H$2:$H$500,MATCH(84,Registro!$T$2:$T$500,0)),"")</f>
        <v/>
      </c>
      <c r="E85" s="50" t="str">
        <f>IFERROR(INDEX(Registro!$C$2:$C$500,MATCH(84,Registro!$T$2:$T$500,0)),"")</f>
        <v/>
      </c>
      <c r="F85" s="49" t="str">
        <f>IFERROR(INDEX(Registro!$B$2:$B$500,MATCH(84,Registro!$T$2:$T$500,0)),"")</f>
        <v/>
      </c>
      <c r="G85" s="49" t="str">
        <f>IFERROR(INDEX(Registro!$P$2:$P$500,MATCH(84,Registro!$T$2:$T$500,0)),"")</f>
        <v/>
      </c>
      <c r="H85" s="49" t="str">
        <f>IFERROR(INDEX(Registro!$Q$2:$Q$500,MATCH(84,Registro!$T$2:$T$500,0)),"")</f>
        <v/>
      </c>
    </row>
    <row r="86" spans="1:8" x14ac:dyDescent="0.25">
      <c r="A86" s="49" t="str">
        <f>IFERROR(INDEX(Registro!$E$2:$E$500,MATCH(85,Registro!$T$2:$T$500,0)),"")</f>
        <v/>
      </c>
      <c r="B86" s="49" t="str">
        <f>IFERROR(INDEX(Registro!$F$2:$F$500,MATCH(85,Registro!$T$2:$T$500,0)),"")</f>
        <v/>
      </c>
      <c r="C86" s="49" t="str">
        <f>IFERROR(INDEX(Registro!$G$2:$G$500,MATCH(85,Registro!$T$2:$T$500,0)),"")</f>
        <v/>
      </c>
      <c r="D86" s="49" t="str">
        <f>IFERROR(INDEX(Registro!$H$2:$H$500,MATCH(85,Registro!$T$2:$T$500,0)),"")</f>
        <v/>
      </c>
      <c r="E86" s="50" t="str">
        <f>IFERROR(INDEX(Registro!$C$2:$C$500,MATCH(85,Registro!$T$2:$T$500,0)),"")</f>
        <v/>
      </c>
      <c r="F86" s="49" t="str">
        <f>IFERROR(INDEX(Registro!$B$2:$B$500,MATCH(85,Registro!$T$2:$T$500,0)),"")</f>
        <v/>
      </c>
      <c r="G86" s="49" t="str">
        <f>IFERROR(INDEX(Registro!$P$2:$P$500,MATCH(85,Registro!$T$2:$T$500,0)),"")</f>
        <v/>
      </c>
      <c r="H86" s="49" t="str">
        <f>IFERROR(INDEX(Registro!$Q$2:$Q$500,MATCH(85,Registro!$T$2:$T$500,0)),"")</f>
        <v/>
      </c>
    </row>
    <row r="87" spans="1:8" x14ac:dyDescent="0.25">
      <c r="A87" s="49" t="str">
        <f>IFERROR(INDEX(Registro!$E$2:$E$500,MATCH(86,Registro!$T$2:$T$500,0)),"")</f>
        <v/>
      </c>
      <c r="B87" s="49" t="str">
        <f>IFERROR(INDEX(Registro!$F$2:$F$500,MATCH(86,Registro!$T$2:$T$500,0)),"")</f>
        <v/>
      </c>
      <c r="C87" s="49" t="str">
        <f>IFERROR(INDEX(Registro!$G$2:$G$500,MATCH(86,Registro!$T$2:$T$500,0)),"")</f>
        <v/>
      </c>
      <c r="D87" s="49" t="str">
        <f>IFERROR(INDEX(Registro!$H$2:$H$500,MATCH(86,Registro!$T$2:$T$500,0)),"")</f>
        <v/>
      </c>
      <c r="E87" s="50" t="str">
        <f>IFERROR(INDEX(Registro!$C$2:$C$500,MATCH(86,Registro!$T$2:$T$500,0)),"")</f>
        <v/>
      </c>
      <c r="F87" s="49" t="str">
        <f>IFERROR(INDEX(Registro!$B$2:$B$500,MATCH(86,Registro!$T$2:$T$500,0)),"")</f>
        <v/>
      </c>
      <c r="G87" s="49" t="str">
        <f>IFERROR(INDEX(Registro!$P$2:$P$500,MATCH(86,Registro!$T$2:$T$500,0)),"")</f>
        <v/>
      </c>
      <c r="H87" s="49" t="str">
        <f>IFERROR(INDEX(Registro!$Q$2:$Q$500,MATCH(86,Registro!$T$2:$T$500,0)),"")</f>
        <v/>
      </c>
    </row>
    <row r="88" spans="1:8" x14ac:dyDescent="0.25">
      <c r="A88" s="49" t="str">
        <f>IFERROR(INDEX(Registro!$E$2:$E$500,MATCH(87,Registro!$T$2:$T$500,0)),"")</f>
        <v/>
      </c>
      <c r="B88" s="49" t="str">
        <f>IFERROR(INDEX(Registro!$F$2:$F$500,MATCH(87,Registro!$T$2:$T$500,0)),"")</f>
        <v/>
      </c>
      <c r="C88" s="49" t="str">
        <f>IFERROR(INDEX(Registro!$G$2:$G$500,MATCH(87,Registro!$T$2:$T$500,0)),"")</f>
        <v/>
      </c>
      <c r="D88" s="49" t="str">
        <f>IFERROR(INDEX(Registro!$H$2:$H$500,MATCH(87,Registro!$T$2:$T$500,0)),"")</f>
        <v/>
      </c>
      <c r="E88" s="50" t="str">
        <f>IFERROR(INDEX(Registro!$C$2:$C$500,MATCH(87,Registro!$T$2:$T$500,0)),"")</f>
        <v/>
      </c>
      <c r="F88" s="49" t="str">
        <f>IFERROR(INDEX(Registro!$B$2:$B$500,MATCH(87,Registro!$T$2:$T$500,0)),"")</f>
        <v/>
      </c>
      <c r="G88" s="49" t="str">
        <f>IFERROR(INDEX(Registro!$P$2:$P$500,MATCH(87,Registro!$T$2:$T$500,0)),"")</f>
        <v/>
      </c>
      <c r="H88" s="49" t="str">
        <f>IFERROR(INDEX(Registro!$Q$2:$Q$500,MATCH(87,Registro!$T$2:$T$500,0)),"")</f>
        <v/>
      </c>
    </row>
    <row r="89" spans="1:8" x14ac:dyDescent="0.25">
      <c r="A89" s="49" t="str">
        <f>IFERROR(INDEX(Registro!$E$2:$E$500,MATCH(88,Registro!$T$2:$T$500,0)),"")</f>
        <v/>
      </c>
      <c r="B89" s="49" t="str">
        <f>IFERROR(INDEX(Registro!$F$2:$F$500,MATCH(88,Registro!$T$2:$T$500,0)),"")</f>
        <v/>
      </c>
      <c r="C89" s="49" t="str">
        <f>IFERROR(INDEX(Registro!$G$2:$G$500,MATCH(88,Registro!$T$2:$T$500,0)),"")</f>
        <v/>
      </c>
      <c r="D89" s="49" t="str">
        <f>IFERROR(INDEX(Registro!$H$2:$H$500,MATCH(88,Registro!$T$2:$T$500,0)),"")</f>
        <v/>
      </c>
      <c r="E89" s="50" t="str">
        <f>IFERROR(INDEX(Registro!$C$2:$C$500,MATCH(88,Registro!$T$2:$T$500,0)),"")</f>
        <v/>
      </c>
      <c r="F89" s="49" t="str">
        <f>IFERROR(INDEX(Registro!$B$2:$B$500,MATCH(88,Registro!$T$2:$T$500,0)),"")</f>
        <v/>
      </c>
      <c r="G89" s="49" t="str">
        <f>IFERROR(INDEX(Registro!$P$2:$P$500,MATCH(88,Registro!$T$2:$T$500,0)),"")</f>
        <v/>
      </c>
      <c r="H89" s="49" t="str">
        <f>IFERROR(INDEX(Registro!$Q$2:$Q$500,MATCH(88,Registro!$T$2:$T$500,0)),"")</f>
        <v/>
      </c>
    </row>
    <row r="90" spans="1:8" x14ac:dyDescent="0.25">
      <c r="A90" s="49" t="str">
        <f>IFERROR(INDEX(Registro!$E$2:$E$500,MATCH(89,Registro!$T$2:$T$500,0)),"")</f>
        <v/>
      </c>
      <c r="B90" s="49" t="str">
        <f>IFERROR(INDEX(Registro!$F$2:$F$500,MATCH(89,Registro!$T$2:$T$500,0)),"")</f>
        <v/>
      </c>
      <c r="C90" s="49" t="str">
        <f>IFERROR(INDEX(Registro!$G$2:$G$500,MATCH(89,Registro!$T$2:$T$500,0)),"")</f>
        <v/>
      </c>
      <c r="D90" s="49" t="str">
        <f>IFERROR(INDEX(Registro!$H$2:$H$500,MATCH(89,Registro!$T$2:$T$500,0)),"")</f>
        <v/>
      </c>
      <c r="E90" s="50" t="str">
        <f>IFERROR(INDEX(Registro!$C$2:$C$500,MATCH(89,Registro!$T$2:$T$500,0)),"")</f>
        <v/>
      </c>
      <c r="F90" s="49" t="str">
        <f>IFERROR(INDEX(Registro!$B$2:$B$500,MATCH(89,Registro!$T$2:$T$500,0)),"")</f>
        <v/>
      </c>
      <c r="G90" s="49" t="str">
        <f>IFERROR(INDEX(Registro!$P$2:$P$500,MATCH(89,Registro!$T$2:$T$500,0)),"")</f>
        <v/>
      </c>
      <c r="H90" s="49" t="str">
        <f>IFERROR(INDEX(Registro!$Q$2:$Q$500,MATCH(89,Registro!$T$2:$T$500,0)),"")</f>
        <v/>
      </c>
    </row>
    <row r="91" spans="1:8" x14ac:dyDescent="0.25">
      <c r="A91" s="49" t="str">
        <f>IFERROR(INDEX(Registro!$E$2:$E$500,MATCH(90,Registro!$T$2:$T$500,0)),"")</f>
        <v/>
      </c>
      <c r="B91" s="49" t="str">
        <f>IFERROR(INDEX(Registro!$F$2:$F$500,MATCH(90,Registro!$T$2:$T$500,0)),"")</f>
        <v/>
      </c>
      <c r="C91" s="49" t="str">
        <f>IFERROR(INDEX(Registro!$G$2:$G$500,MATCH(90,Registro!$T$2:$T$500,0)),"")</f>
        <v/>
      </c>
      <c r="D91" s="49" t="str">
        <f>IFERROR(INDEX(Registro!$H$2:$H$500,MATCH(90,Registro!$T$2:$T$500,0)),"")</f>
        <v/>
      </c>
      <c r="E91" s="50" t="str">
        <f>IFERROR(INDEX(Registro!$C$2:$C$500,MATCH(90,Registro!$T$2:$T$500,0)),"")</f>
        <v/>
      </c>
      <c r="F91" s="49" t="str">
        <f>IFERROR(INDEX(Registro!$B$2:$B$500,MATCH(90,Registro!$T$2:$T$500,0)),"")</f>
        <v/>
      </c>
      <c r="G91" s="49" t="str">
        <f>IFERROR(INDEX(Registro!$P$2:$P$500,MATCH(90,Registro!$T$2:$T$500,0)),"")</f>
        <v/>
      </c>
      <c r="H91" s="49" t="str">
        <f>IFERROR(INDEX(Registro!$Q$2:$Q$500,MATCH(90,Registro!$T$2:$T$500,0)),"")</f>
        <v/>
      </c>
    </row>
    <row r="92" spans="1:8" x14ac:dyDescent="0.25">
      <c r="A92" s="49" t="str">
        <f>IFERROR(INDEX(Registro!$E$2:$E$500,MATCH(91,Registro!$T$2:$T$500,0)),"")</f>
        <v/>
      </c>
      <c r="B92" s="49" t="str">
        <f>IFERROR(INDEX(Registro!$F$2:$F$500,MATCH(91,Registro!$T$2:$T$500,0)),"")</f>
        <v/>
      </c>
      <c r="C92" s="49" t="str">
        <f>IFERROR(INDEX(Registro!$G$2:$G$500,MATCH(91,Registro!$T$2:$T$500,0)),"")</f>
        <v/>
      </c>
      <c r="D92" s="49" t="str">
        <f>IFERROR(INDEX(Registro!$H$2:$H$500,MATCH(91,Registro!$T$2:$T$500,0)),"")</f>
        <v/>
      </c>
      <c r="E92" s="50" t="str">
        <f>IFERROR(INDEX(Registro!$C$2:$C$500,MATCH(91,Registro!$T$2:$T$500,0)),"")</f>
        <v/>
      </c>
      <c r="F92" s="49" t="str">
        <f>IFERROR(INDEX(Registro!$B$2:$B$500,MATCH(91,Registro!$T$2:$T$500,0)),"")</f>
        <v/>
      </c>
      <c r="G92" s="49" t="str">
        <f>IFERROR(INDEX(Registro!$P$2:$P$500,MATCH(91,Registro!$T$2:$T$500,0)),"")</f>
        <v/>
      </c>
      <c r="H92" s="49" t="str">
        <f>IFERROR(INDEX(Registro!$Q$2:$Q$500,MATCH(91,Registro!$T$2:$T$500,0)),"")</f>
        <v/>
      </c>
    </row>
    <row r="93" spans="1:8" x14ac:dyDescent="0.25">
      <c r="A93" s="49" t="str">
        <f>IFERROR(INDEX(Registro!$E$2:$E$500,MATCH(92,Registro!$T$2:$T$500,0)),"")</f>
        <v/>
      </c>
      <c r="B93" s="49" t="str">
        <f>IFERROR(INDEX(Registro!$F$2:$F$500,MATCH(92,Registro!$T$2:$T$500,0)),"")</f>
        <v/>
      </c>
      <c r="C93" s="49" t="str">
        <f>IFERROR(INDEX(Registro!$G$2:$G$500,MATCH(92,Registro!$T$2:$T$500,0)),"")</f>
        <v/>
      </c>
      <c r="D93" s="49" t="str">
        <f>IFERROR(INDEX(Registro!$H$2:$H$500,MATCH(92,Registro!$T$2:$T$500,0)),"")</f>
        <v/>
      </c>
      <c r="E93" s="50" t="str">
        <f>IFERROR(INDEX(Registro!$C$2:$C$500,MATCH(92,Registro!$T$2:$T$500,0)),"")</f>
        <v/>
      </c>
      <c r="F93" s="49" t="str">
        <f>IFERROR(INDEX(Registro!$B$2:$B$500,MATCH(92,Registro!$T$2:$T$500,0)),"")</f>
        <v/>
      </c>
      <c r="G93" s="49" t="str">
        <f>IFERROR(INDEX(Registro!$P$2:$P$500,MATCH(92,Registro!$T$2:$T$500,0)),"")</f>
        <v/>
      </c>
      <c r="H93" s="49" t="str">
        <f>IFERROR(INDEX(Registro!$Q$2:$Q$500,MATCH(92,Registro!$T$2:$T$500,0)),"")</f>
        <v/>
      </c>
    </row>
    <row r="94" spans="1:8" x14ac:dyDescent="0.25">
      <c r="A94" s="49" t="str">
        <f>IFERROR(INDEX(Registro!$E$2:$E$500,MATCH(93,Registro!$T$2:$T$500,0)),"")</f>
        <v/>
      </c>
      <c r="B94" s="49" t="str">
        <f>IFERROR(INDEX(Registro!$F$2:$F$500,MATCH(93,Registro!$T$2:$T$500,0)),"")</f>
        <v/>
      </c>
      <c r="C94" s="49" t="str">
        <f>IFERROR(INDEX(Registro!$G$2:$G$500,MATCH(93,Registro!$T$2:$T$500,0)),"")</f>
        <v/>
      </c>
      <c r="D94" s="49" t="str">
        <f>IFERROR(INDEX(Registro!$H$2:$H$500,MATCH(93,Registro!$T$2:$T$500,0)),"")</f>
        <v/>
      </c>
      <c r="E94" s="50" t="str">
        <f>IFERROR(INDEX(Registro!$C$2:$C$500,MATCH(93,Registro!$T$2:$T$500,0)),"")</f>
        <v/>
      </c>
      <c r="F94" s="49" t="str">
        <f>IFERROR(INDEX(Registro!$B$2:$B$500,MATCH(93,Registro!$T$2:$T$500,0)),"")</f>
        <v/>
      </c>
      <c r="G94" s="49" t="str">
        <f>IFERROR(INDEX(Registro!$P$2:$P$500,MATCH(93,Registro!$T$2:$T$500,0)),"")</f>
        <v/>
      </c>
      <c r="H94" s="49" t="str">
        <f>IFERROR(INDEX(Registro!$Q$2:$Q$500,MATCH(93,Registro!$T$2:$T$500,0)),"")</f>
        <v/>
      </c>
    </row>
    <row r="95" spans="1:8" x14ac:dyDescent="0.25">
      <c r="A95" s="49" t="str">
        <f>IFERROR(INDEX(Registro!$E$2:$E$500,MATCH(94,Registro!$T$2:$T$500,0)),"")</f>
        <v/>
      </c>
      <c r="B95" s="49" t="str">
        <f>IFERROR(INDEX(Registro!$F$2:$F$500,MATCH(94,Registro!$T$2:$T$500,0)),"")</f>
        <v/>
      </c>
      <c r="C95" s="49" t="str">
        <f>IFERROR(INDEX(Registro!$G$2:$G$500,MATCH(94,Registro!$T$2:$T$500,0)),"")</f>
        <v/>
      </c>
      <c r="D95" s="49" t="str">
        <f>IFERROR(INDEX(Registro!$H$2:$H$500,MATCH(94,Registro!$T$2:$T$500,0)),"")</f>
        <v/>
      </c>
      <c r="E95" s="50" t="str">
        <f>IFERROR(INDEX(Registro!$C$2:$C$500,MATCH(94,Registro!$T$2:$T$500,0)),"")</f>
        <v/>
      </c>
      <c r="F95" s="49" t="str">
        <f>IFERROR(INDEX(Registro!$B$2:$B$500,MATCH(94,Registro!$T$2:$T$500,0)),"")</f>
        <v/>
      </c>
      <c r="G95" s="49" t="str">
        <f>IFERROR(INDEX(Registro!$P$2:$P$500,MATCH(94,Registro!$T$2:$T$500,0)),"")</f>
        <v/>
      </c>
      <c r="H95" s="49" t="str">
        <f>IFERROR(INDEX(Registro!$Q$2:$Q$500,MATCH(94,Registro!$T$2:$T$500,0)),"")</f>
        <v/>
      </c>
    </row>
    <row r="96" spans="1:8" x14ac:dyDescent="0.25">
      <c r="A96" s="49" t="str">
        <f>IFERROR(INDEX(Registro!$E$2:$E$500,MATCH(95,Registro!$T$2:$T$500,0)),"")</f>
        <v/>
      </c>
      <c r="B96" s="49" t="str">
        <f>IFERROR(INDEX(Registro!$F$2:$F$500,MATCH(95,Registro!$T$2:$T$500,0)),"")</f>
        <v/>
      </c>
      <c r="C96" s="49" t="str">
        <f>IFERROR(INDEX(Registro!$G$2:$G$500,MATCH(95,Registro!$T$2:$T$500,0)),"")</f>
        <v/>
      </c>
      <c r="D96" s="49" t="str">
        <f>IFERROR(INDEX(Registro!$H$2:$H$500,MATCH(95,Registro!$T$2:$T$500,0)),"")</f>
        <v/>
      </c>
      <c r="E96" s="50" t="str">
        <f>IFERROR(INDEX(Registro!$C$2:$C$500,MATCH(95,Registro!$T$2:$T$500,0)),"")</f>
        <v/>
      </c>
      <c r="F96" s="49" t="str">
        <f>IFERROR(INDEX(Registro!$B$2:$B$500,MATCH(95,Registro!$T$2:$T$500,0)),"")</f>
        <v/>
      </c>
      <c r="G96" s="49" t="str">
        <f>IFERROR(INDEX(Registro!$P$2:$P$500,MATCH(95,Registro!$T$2:$T$500,0)),"")</f>
        <v/>
      </c>
      <c r="H96" s="49" t="str">
        <f>IFERROR(INDEX(Registro!$Q$2:$Q$500,MATCH(95,Registro!$T$2:$T$500,0)),"")</f>
        <v/>
      </c>
    </row>
    <row r="97" spans="1:8" x14ac:dyDescent="0.25">
      <c r="A97" s="49" t="str">
        <f>IFERROR(INDEX(Registro!$E$2:$E$500,MATCH(96,Registro!$T$2:$T$500,0)),"")</f>
        <v/>
      </c>
      <c r="B97" s="49" t="str">
        <f>IFERROR(INDEX(Registro!$F$2:$F$500,MATCH(96,Registro!$T$2:$T$500,0)),"")</f>
        <v/>
      </c>
      <c r="C97" s="49" t="str">
        <f>IFERROR(INDEX(Registro!$G$2:$G$500,MATCH(96,Registro!$T$2:$T$500,0)),"")</f>
        <v/>
      </c>
      <c r="D97" s="49" t="str">
        <f>IFERROR(INDEX(Registro!$H$2:$H$500,MATCH(96,Registro!$T$2:$T$500,0)),"")</f>
        <v/>
      </c>
      <c r="E97" s="50" t="str">
        <f>IFERROR(INDEX(Registro!$C$2:$C$500,MATCH(96,Registro!$T$2:$T$500,0)),"")</f>
        <v/>
      </c>
      <c r="F97" s="49" t="str">
        <f>IFERROR(INDEX(Registro!$B$2:$B$500,MATCH(96,Registro!$T$2:$T$500,0)),"")</f>
        <v/>
      </c>
      <c r="G97" s="49" t="str">
        <f>IFERROR(INDEX(Registro!$P$2:$P$500,MATCH(96,Registro!$T$2:$T$500,0)),"")</f>
        <v/>
      </c>
      <c r="H97" s="49" t="str">
        <f>IFERROR(INDEX(Registro!$Q$2:$Q$500,MATCH(96,Registro!$T$2:$T$500,0)),"")</f>
        <v/>
      </c>
    </row>
    <row r="98" spans="1:8" x14ac:dyDescent="0.25">
      <c r="A98" s="49" t="str">
        <f>IFERROR(INDEX(Registro!$E$2:$E$500,MATCH(97,Registro!$T$2:$T$500,0)),"")</f>
        <v/>
      </c>
      <c r="B98" s="49" t="str">
        <f>IFERROR(INDEX(Registro!$F$2:$F$500,MATCH(97,Registro!$T$2:$T$500,0)),"")</f>
        <v/>
      </c>
      <c r="C98" s="49" t="str">
        <f>IFERROR(INDEX(Registro!$G$2:$G$500,MATCH(97,Registro!$T$2:$T$500,0)),"")</f>
        <v/>
      </c>
      <c r="D98" s="49" t="str">
        <f>IFERROR(INDEX(Registro!$H$2:$H$500,MATCH(97,Registro!$T$2:$T$500,0)),"")</f>
        <v/>
      </c>
      <c r="E98" s="50" t="str">
        <f>IFERROR(INDEX(Registro!$C$2:$C$500,MATCH(97,Registro!$T$2:$T$500,0)),"")</f>
        <v/>
      </c>
      <c r="F98" s="49" t="str">
        <f>IFERROR(INDEX(Registro!$B$2:$B$500,MATCH(97,Registro!$T$2:$T$500,0)),"")</f>
        <v/>
      </c>
      <c r="G98" s="49" t="str">
        <f>IFERROR(INDEX(Registro!$P$2:$P$500,MATCH(97,Registro!$T$2:$T$500,0)),"")</f>
        <v/>
      </c>
      <c r="H98" s="49" t="str">
        <f>IFERROR(INDEX(Registro!$Q$2:$Q$500,MATCH(97,Registro!$T$2:$T$500,0)),"")</f>
        <v/>
      </c>
    </row>
    <row r="99" spans="1:8" x14ac:dyDescent="0.25">
      <c r="A99" s="49" t="str">
        <f>IFERROR(INDEX(Registro!$E$2:$E$500,MATCH(98,Registro!$T$2:$T$500,0)),"")</f>
        <v/>
      </c>
      <c r="B99" s="49" t="str">
        <f>IFERROR(INDEX(Registro!$F$2:$F$500,MATCH(98,Registro!$T$2:$T$500,0)),"")</f>
        <v/>
      </c>
      <c r="C99" s="49" t="str">
        <f>IFERROR(INDEX(Registro!$G$2:$G$500,MATCH(98,Registro!$T$2:$T$500,0)),"")</f>
        <v/>
      </c>
      <c r="D99" s="49" t="str">
        <f>IFERROR(INDEX(Registro!$H$2:$H$500,MATCH(98,Registro!$T$2:$T$500,0)),"")</f>
        <v/>
      </c>
      <c r="E99" s="50" t="str">
        <f>IFERROR(INDEX(Registro!$C$2:$C$500,MATCH(98,Registro!$T$2:$T$500,0)),"")</f>
        <v/>
      </c>
      <c r="F99" s="49" t="str">
        <f>IFERROR(INDEX(Registro!$B$2:$B$500,MATCH(98,Registro!$T$2:$T$500,0)),"")</f>
        <v/>
      </c>
      <c r="G99" s="49" t="str">
        <f>IFERROR(INDEX(Registro!$P$2:$P$500,MATCH(98,Registro!$T$2:$T$500,0)),"")</f>
        <v/>
      </c>
      <c r="H99" s="49" t="str">
        <f>IFERROR(INDEX(Registro!$Q$2:$Q$500,MATCH(98,Registro!$T$2:$T$500,0)),"")</f>
        <v/>
      </c>
    </row>
    <row r="100" spans="1:8" x14ac:dyDescent="0.25">
      <c r="A100" s="49" t="str">
        <f>IFERROR(INDEX(Registro!$E$2:$E$500,MATCH(99,Registro!$T$2:$T$500,0)),"")</f>
        <v/>
      </c>
      <c r="B100" s="49" t="str">
        <f>IFERROR(INDEX(Registro!$F$2:$F$500,MATCH(99,Registro!$T$2:$T$500,0)),"")</f>
        <v/>
      </c>
      <c r="C100" s="49" t="str">
        <f>IFERROR(INDEX(Registro!$G$2:$G$500,MATCH(99,Registro!$T$2:$T$500,0)),"")</f>
        <v/>
      </c>
      <c r="D100" s="49" t="str">
        <f>IFERROR(INDEX(Registro!$H$2:$H$500,MATCH(99,Registro!$T$2:$T$500,0)),"")</f>
        <v/>
      </c>
      <c r="E100" s="50" t="str">
        <f>IFERROR(INDEX(Registro!$C$2:$C$500,MATCH(99,Registro!$T$2:$T$500,0)),"")</f>
        <v/>
      </c>
      <c r="F100" s="49" t="str">
        <f>IFERROR(INDEX(Registro!$B$2:$B$500,MATCH(99,Registro!$T$2:$T$500,0)),"")</f>
        <v/>
      </c>
      <c r="G100" s="49" t="str">
        <f>IFERROR(INDEX(Registro!$P$2:$P$500,MATCH(99,Registro!$T$2:$T$500,0)),"")</f>
        <v/>
      </c>
      <c r="H100" s="49" t="str">
        <f>IFERROR(INDEX(Registro!$Q$2:$Q$500,MATCH(99,Registro!$T$2:$T$500,0)),"")</f>
        <v/>
      </c>
    </row>
    <row r="101" spans="1:8" x14ac:dyDescent="0.25">
      <c r="A101" s="49" t="str">
        <f>IFERROR(INDEX(Registro!$E$2:$E$500,MATCH(100,Registro!$T$2:$T$500,0)),"")</f>
        <v/>
      </c>
      <c r="B101" s="49" t="str">
        <f>IFERROR(INDEX(Registro!$F$2:$F$500,MATCH(100,Registro!$T$2:$T$500,0)),"")</f>
        <v/>
      </c>
      <c r="C101" s="49" t="str">
        <f>IFERROR(INDEX(Registro!$G$2:$G$500,MATCH(100,Registro!$T$2:$T$500,0)),"")</f>
        <v/>
      </c>
      <c r="D101" s="49" t="str">
        <f>IFERROR(INDEX(Registro!$H$2:$H$500,MATCH(100,Registro!$T$2:$T$500,0)),"")</f>
        <v/>
      </c>
      <c r="E101" s="50" t="str">
        <f>IFERROR(INDEX(Registro!$C$2:$C$500,MATCH(100,Registro!$T$2:$T$500,0)),"")</f>
        <v/>
      </c>
      <c r="F101" s="49" t="str">
        <f>IFERROR(INDEX(Registro!$B$2:$B$500,MATCH(100,Registro!$T$2:$T$500,0)),"")</f>
        <v/>
      </c>
      <c r="G101" s="49" t="str">
        <f>IFERROR(INDEX(Registro!$P$2:$P$500,MATCH(100,Registro!$T$2:$T$500,0)),"")</f>
        <v/>
      </c>
      <c r="H101" s="49" t="str">
        <f>IFERROR(INDEX(Registro!$Q$2:$Q$500,MATCH(100,Registro!$T$2:$T$500,0)),"")</f>
        <v/>
      </c>
    </row>
    <row r="102" spans="1:8" x14ac:dyDescent="0.25">
      <c r="A102" s="49" t="str">
        <f>IFERROR(INDEX(Registro!$E$2:$E$500,MATCH(101,Registro!$T$2:$T$500,0)),"")</f>
        <v/>
      </c>
      <c r="B102" s="49" t="str">
        <f>IFERROR(INDEX(Registro!$F$2:$F$500,MATCH(101,Registro!$T$2:$T$500,0)),"")</f>
        <v/>
      </c>
      <c r="C102" s="49" t="str">
        <f>IFERROR(INDEX(Registro!$G$2:$G$500,MATCH(101,Registro!$T$2:$T$500,0)),"")</f>
        <v/>
      </c>
      <c r="D102" s="49" t="str">
        <f>IFERROR(INDEX(Registro!$H$2:$H$500,MATCH(101,Registro!$T$2:$T$500,0)),"")</f>
        <v/>
      </c>
      <c r="E102" s="50" t="str">
        <f>IFERROR(INDEX(Registro!$C$2:$C$500,MATCH(101,Registro!$T$2:$T$500,0)),"")</f>
        <v/>
      </c>
      <c r="F102" s="49" t="str">
        <f>IFERROR(INDEX(Registro!$B$2:$B$500,MATCH(101,Registro!$T$2:$T$500,0)),"")</f>
        <v/>
      </c>
      <c r="G102" s="49" t="str">
        <f>IFERROR(INDEX(Registro!$P$2:$P$500,MATCH(101,Registro!$T$2:$T$500,0)),"")</f>
        <v/>
      </c>
      <c r="H102" s="49" t="str">
        <f>IFERROR(INDEX(Registro!$Q$2:$Q$500,MATCH(101,Registro!$T$2:$T$500,0)),"")</f>
        <v/>
      </c>
    </row>
    <row r="103" spans="1:8" x14ac:dyDescent="0.25">
      <c r="A103" s="49" t="str">
        <f>IFERROR(INDEX(Registro!$E$2:$E$500,MATCH(102,Registro!$T$2:$T$500,0)),"")</f>
        <v/>
      </c>
      <c r="B103" s="49" t="str">
        <f>IFERROR(INDEX(Registro!$F$2:$F$500,MATCH(102,Registro!$T$2:$T$500,0)),"")</f>
        <v/>
      </c>
      <c r="C103" s="49" t="str">
        <f>IFERROR(INDEX(Registro!$G$2:$G$500,MATCH(102,Registro!$T$2:$T$500,0)),"")</f>
        <v/>
      </c>
      <c r="D103" s="49" t="str">
        <f>IFERROR(INDEX(Registro!$H$2:$H$500,MATCH(102,Registro!$T$2:$T$500,0)),"")</f>
        <v/>
      </c>
      <c r="E103" s="50" t="str">
        <f>IFERROR(INDEX(Registro!$C$2:$C$500,MATCH(102,Registro!$T$2:$T$500,0)),"")</f>
        <v/>
      </c>
      <c r="F103" s="49" t="str">
        <f>IFERROR(INDEX(Registro!$B$2:$B$500,MATCH(102,Registro!$T$2:$T$500,0)),"")</f>
        <v/>
      </c>
      <c r="G103" s="49" t="str">
        <f>IFERROR(INDEX(Registro!$P$2:$P$500,MATCH(102,Registro!$T$2:$T$500,0)),"")</f>
        <v/>
      </c>
      <c r="H103" s="49" t="str">
        <f>IFERROR(INDEX(Registro!$Q$2:$Q$500,MATCH(102,Registro!$T$2:$T$500,0)),"")</f>
        <v/>
      </c>
    </row>
    <row r="104" spans="1:8" x14ac:dyDescent="0.25">
      <c r="A104" s="49" t="str">
        <f>IFERROR(INDEX(Registro!$E$2:$E$500,MATCH(103,Registro!$T$2:$T$500,0)),"")</f>
        <v/>
      </c>
      <c r="B104" s="49" t="str">
        <f>IFERROR(INDEX(Registro!$F$2:$F$500,MATCH(103,Registro!$T$2:$T$500,0)),"")</f>
        <v/>
      </c>
      <c r="C104" s="49" t="str">
        <f>IFERROR(INDEX(Registro!$G$2:$G$500,MATCH(103,Registro!$T$2:$T$500,0)),"")</f>
        <v/>
      </c>
      <c r="D104" s="49" t="str">
        <f>IFERROR(INDEX(Registro!$H$2:$H$500,MATCH(103,Registro!$T$2:$T$500,0)),"")</f>
        <v/>
      </c>
      <c r="E104" s="50" t="str">
        <f>IFERROR(INDEX(Registro!$C$2:$C$500,MATCH(103,Registro!$T$2:$T$500,0)),"")</f>
        <v/>
      </c>
      <c r="F104" s="49" t="str">
        <f>IFERROR(INDEX(Registro!$B$2:$B$500,MATCH(103,Registro!$T$2:$T$500,0)),"")</f>
        <v/>
      </c>
      <c r="G104" s="49" t="str">
        <f>IFERROR(INDEX(Registro!$P$2:$P$500,MATCH(103,Registro!$T$2:$T$500,0)),"")</f>
        <v/>
      </c>
      <c r="H104" s="49" t="str">
        <f>IFERROR(INDEX(Registro!$Q$2:$Q$500,MATCH(103,Registro!$T$2:$T$500,0)),"")</f>
        <v/>
      </c>
    </row>
    <row r="105" spans="1:8" x14ac:dyDescent="0.25">
      <c r="A105" s="49" t="str">
        <f>IFERROR(INDEX(Registro!$E$2:$E$500,MATCH(104,Registro!$T$2:$T$500,0)),"")</f>
        <v/>
      </c>
      <c r="B105" s="49" t="str">
        <f>IFERROR(INDEX(Registro!$F$2:$F$500,MATCH(104,Registro!$T$2:$T$500,0)),"")</f>
        <v/>
      </c>
      <c r="C105" s="49" t="str">
        <f>IFERROR(INDEX(Registro!$G$2:$G$500,MATCH(104,Registro!$T$2:$T$500,0)),"")</f>
        <v/>
      </c>
      <c r="D105" s="49" t="str">
        <f>IFERROR(INDEX(Registro!$H$2:$H$500,MATCH(104,Registro!$T$2:$T$500,0)),"")</f>
        <v/>
      </c>
      <c r="E105" s="50" t="str">
        <f>IFERROR(INDEX(Registro!$C$2:$C$500,MATCH(104,Registro!$T$2:$T$500,0)),"")</f>
        <v/>
      </c>
      <c r="F105" s="49" t="str">
        <f>IFERROR(INDEX(Registro!$B$2:$B$500,MATCH(104,Registro!$T$2:$T$500,0)),"")</f>
        <v/>
      </c>
      <c r="G105" s="49" t="str">
        <f>IFERROR(INDEX(Registro!$P$2:$P$500,MATCH(104,Registro!$T$2:$T$500,0)),"")</f>
        <v/>
      </c>
      <c r="H105" s="49" t="str">
        <f>IFERROR(INDEX(Registro!$Q$2:$Q$500,MATCH(104,Registro!$T$2:$T$500,0)),"")</f>
        <v/>
      </c>
    </row>
    <row r="106" spans="1:8" x14ac:dyDescent="0.25">
      <c r="A106" s="49" t="str">
        <f>IFERROR(INDEX(Registro!$E$2:$E$500,MATCH(105,Registro!$T$2:$T$500,0)),"")</f>
        <v/>
      </c>
      <c r="B106" s="49" t="str">
        <f>IFERROR(INDEX(Registro!$F$2:$F$500,MATCH(105,Registro!$T$2:$T$500,0)),"")</f>
        <v/>
      </c>
      <c r="C106" s="49" t="str">
        <f>IFERROR(INDEX(Registro!$G$2:$G$500,MATCH(105,Registro!$T$2:$T$500,0)),"")</f>
        <v/>
      </c>
      <c r="D106" s="49" t="str">
        <f>IFERROR(INDEX(Registro!$H$2:$H$500,MATCH(105,Registro!$T$2:$T$500,0)),"")</f>
        <v/>
      </c>
      <c r="E106" s="50" t="str">
        <f>IFERROR(INDEX(Registro!$C$2:$C$500,MATCH(105,Registro!$T$2:$T$500,0)),"")</f>
        <v/>
      </c>
      <c r="F106" s="49" t="str">
        <f>IFERROR(INDEX(Registro!$B$2:$B$500,MATCH(105,Registro!$T$2:$T$500,0)),"")</f>
        <v/>
      </c>
      <c r="G106" s="49" t="str">
        <f>IFERROR(INDEX(Registro!$P$2:$P$500,MATCH(105,Registro!$T$2:$T$500,0)),"")</f>
        <v/>
      </c>
      <c r="H106" s="49" t="str">
        <f>IFERROR(INDEX(Registro!$Q$2:$Q$500,MATCH(105,Registro!$T$2:$T$500,0)),"")</f>
        <v/>
      </c>
    </row>
    <row r="107" spans="1:8" x14ac:dyDescent="0.25">
      <c r="A107" s="49" t="str">
        <f>IFERROR(INDEX(Registro!$E$2:$E$500,MATCH(106,Registro!$T$2:$T$500,0)),"")</f>
        <v/>
      </c>
      <c r="B107" s="49" t="str">
        <f>IFERROR(INDEX(Registro!$F$2:$F$500,MATCH(106,Registro!$T$2:$T$500,0)),"")</f>
        <v/>
      </c>
      <c r="C107" s="49" t="str">
        <f>IFERROR(INDEX(Registro!$G$2:$G$500,MATCH(106,Registro!$T$2:$T$500,0)),"")</f>
        <v/>
      </c>
      <c r="D107" s="49" t="str">
        <f>IFERROR(INDEX(Registro!$H$2:$H$500,MATCH(106,Registro!$T$2:$T$500,0)),"")</f>
        <v/>
      </c>
      <c r="E107" s="50" t="str">
        <f>IFERROR(INDEX(Registro!$C$2:$C$500,MATCH(106,Registro!$T$2:$T$500,0)),"")</f>
        <v/>
      </c>
      <c r="F107" s="49" t="str">
        <f>IFERROR(INDEX(Registro!$B$2:$B$500,MATCH(106,Registro!$T$2:$T$500,0)),"")</f>
        <v/>
      </c>
      <c r="G107" s="49" t="str">
        <f>IFERROR(INDEX(Registro!$P$2:$P$500,MATCH(106,Registro!$T$2:$T$500,0)),"")</f>
        <v/>
      </c>
      <c r="H107" s="49" t="str">
        <f>IFERROR(INDEX(Registro!$Q$2:$Q$500,MATCH(106,Registro!$T$2:$T$500,0)),"")</f>
        <v/>
      </c>
    </row>
    <row r="108" spans="1:8" x14ac:dyDescent="0.25">
      <c r="A108" s="49" t="str">
        <f>IFERROR(INDEX(Registro!$E$2:$E$500,MATCH(107,Registro!$T$2:$T$500,0)),"")</f>
        <v/>
      </c>
      <c r="B108" s="49" t="str">
        <f>IFERROR(INDEX(Registro!$F$2:$F$500,MATCH(107,Registro!$T$2:$T$500,0)),"")</f>
        <v/>
      </c>
      <c r="C108" s="49" t="str">
        <f>IFERROR(INDEX(Registro!$G$2:$G$500,MATCH(107,Registro!$T$2:$T$500,0)),"")</f>
        <v/>
      </c>
      <c r="D108" s="49" t="str">
        <f>IFERROR(INDEX(Registro!$H$2:$H$500,MATCH(107,Registro!$T$2:$T$500,0)),"")</f>
        <v/>
      </c>
      <c r="E108" s="50" t="str">
        <f>IFERROR(INDEX(Registro!$C$2:$C$500,MATCH(107,Registro!$T$2:$T$500,0)),"")</f>
        <v/>
      </c>
      <c r="F108" s="49" t="str">
        <f>IFERROR(INDEX(Registro!$B$2:$B$500,MATCH(107,Registro!$T$2:$T$500,0)),"")</f>
        <v/>
      </c>
      <c r="G108" s="49" t="str">
        <f>IFERROR(INDEX(Registro!$P$2:$P$500,MATCH(107,Registro!$T$2:$T$500,0)),"")</f>
        <v/>
      </c>
      <c r="H108" s="49" t="str">
        <f>IFERROR(INDEX(Registro!$Q$2:$Q$500,MATCH(107,Registro!$T$2:$T$500,0)),"")</f>
        <v/>
      </c>
    </row>
    <row r="109" spans="1:8" x14ac:dyDescent="0.25">
      <c r="A109" s="49" t="str">
        <f>IFERROR(INDEX(Registro!$E$2:$E$500,MATCH(108,Registro!$T$2:$T$500,0)),"")</f>
        <v/>
      </c>
      <c r="B109" s="49" t="str">
        <f>IFERROR(INDEX(Registro!$F$2:$F$500,MATCH(108,Registro!$T$2:$T$500,0)),"")</f>
        <v/>
      </c>
      <c r="C109" s="49" t="str">
        <f>IFERROR(INDEX(Registro!$G$2:$G$500,MATCH(108,Registro!$T$2:$T$500,0)),"")</f>
        <v/>
      </c>
      <c r="D109" s="49" t="str">
        <f>IFERROR(INDEX(Registro!$H$2:$H$500,MATCH(108,Registro!$T$2:$T$500,0)),"")</f>
        <v/>
      </c>
      <c r="E109" s="50" t="str">
        <f>IFERROR(INDEX(Registro!$C$2:$C$500,MATCH(108,Registro!$T$2:$T$500,0)),"")</f>
        <v/>
      </c>
      <c r="F109" s="49" t="str">
        <f>IFERROR(INDEX(Registro!$B$2:$B$500,MATCH(108,Registro!$T$2:$T$500,0)),"")</f>
        <v/>
      </c>
      <c r="G109" s="49" t="str">
        <f>IFERROR(INDEX(Registro!$P$2:$P$500,MATCH(108,Registro!$T$2:$T$500,0)),"")</f>
        <v/>
      </c>
      <c r="H109" s="49" t="str">
        <f>IFERROR(INDEX(Registro!$Q$2:$Q$500,MATCH(108,Registro!$T$2:$T$500,0)),"")</f>
        <v/>
      </c>
    </row>
    <row r="110" spans="1:8" x14ac:dyDescent="0.25">
      <c r="A110" s="49" t="str">
        <f>IFERROR(INDEX(Registro!$E$2:$E$500,MATCH(109,Registro!$T$2:$T$500,0)),"")</f>
        <v/>
      </c>
      <c r="B110" s="49" t="str">
        <f>IFERROR(INDEX(Registro!$F$2:$F$500,MATCH(109,Registro!$T$2:$T$500,0)),"")</f>
        <v/>
      </c>
      <c r="C110" s="49" t="str">
        <f>IFERROR(INDEX(Registro!$G$2:$G$500,MATCH(109,Registro!$T$2:$T$500,0)),"")</f>
        <v/>
      </c>
      <c r="D110" s="49" t="str">
        <f>IFERROR(INDEX(Registro!$H$2:$H$500,MATCH(109,Registro!$T$2:$T$500,0)),"")</f>
        <v/>
      </c>
      <c r="E110" s="50" t="str">
        <f>IFERROR(INDEX(Registro!$C$2:$C$500,MATCH(109,Registro!$T$2:$T$500,0)),"")</f>
        <v/>
      </c>
      <c r="F110" s="49" t="str">
        <f>IFERROR(INDEX(Registro!$B$2:$B$500,MATCH(109,Registro!$T$2:$T$500,0)),"")</f>
        <v/>
      </c>
      <c r="G110" s="49" t="str">
        <f>IFERROR(INDEX(Registro!$P$2:$P$500,MATCH(109,Registro!$T$2:$T$500,0)),"")</f>
        <v/>
      </c>
      <c r="H110" s="49" t="str">
        <f>IFERROR(INDEX(Registro!$Q$2:$Q$500,MATCH(109,Registro!$T$2:$T$500,0)),"")</f>
        <v/>
      </c>
    </row>
    <row r="111" spans="1:8" x14ac:dyDescent="0.25">
      <c r="A111" s="49" t="str">
        <f>IFERROR(INDEX(Registro!$E$2:$E$500,MATCH(110,Registro!$T$2:$T$500,0)),"")</f>
        <v/>
      </c>
      <c r="B111" s="49" t="str">
        <f>IFERROR(INDEX(Registro!$F$2:$F$500,MATCH(110,Registro!$T$2:$T$500,0)),"")</f>
        <v/>
      </c>
      <c r="C111" s="49" t="str">
        <f>IFERROR(INDEX(Registro!$G$2:$G$500,MATCH(110,Registro!$T$2:$T$500,0)),"")</f>
        <v/>
      </c>
      <c r="D111" s="49" t="str">
        <f>IFERROR(INDEX(Registro!$H$2:$H$500,MATCH(110,Registro!$T$2:$T$500,0)),"")</f>
        <v/>
      </c>
      <c r="E111" s="50" t="str">
        <f>IFERROR(INDEX(Registro!$C$2:$C$500,MATCH(110,Registro!$T$2:$T$500,0)),"")</f>
        <v/>
      </c>
      <c r="F111" s="49" t="str">
        <f>IFERROR(INDEX(Registro!$B$2:$B$500,MATCH(110,Registro!$T$2:$T$500,0)),"")</f>
        <v/>
      </c>
      <c r="G111" s="49" t="str">
        <f>IFERROR(INDEX(Registro!$P$2:$P$500,MATCH(110,Registro!$T$2:$T$500,0)),"")</f>
        <v/>
      </c>
      <c r="H111" s="49" t="str">
        <f>IFERROR(INDEX(Registro!$Q$2:$Q$500,MATCH(110,Registro!$T$2:$T$500,0)),"")</f>
        <v/>
      </c>
    </row>
    <row r="112" spans="1:8" x14ac:dyDescent="0.25">
      <c r="A112" s="49" t="str">
        <f>IFERROR(INDEX(Registro!$E$2:$E$500,MATCH(111,Registro!$T$2:$T$500,0)),"")</f>
        <v/>
      </c>
      <c r="B112" s="49" t="str">
        <f>IFERROR(INDEX(Registro!$F$2:$F$500,MATCH(111,Registro!$T$2:$T$500,0)),"")</f>
        <v/>
      </c>
      <c r="C112" s="49" t="str">
        <f>IFERROR(INDEX(Registro!$G$2:$G$500,MATCH(111,Registro!$T$2:$T$500,0)),"")</f>
        <v/>
      </c>
      <c r="D112" s="49" t="str">
        <f>IFERROR(INDEX(Registro!$H$2:$H$500,MATCH(111,Registro!$T$2:$T$500,0)),"")</f>
        <v/>
      </c>
      <c r="E112" s="50" t="str">
        <f>IFERROR(INDEX(Registro!$C$2:$C$500,MATCH(111,Registro!$T$2:$T$500,0)),"")</f>
        <v/>
      </c>
      <c r="F112" s="49" t="str">
        <f>IFERROR(INDEX(Registro!$B$2:$B$500,MATCH(111,Registro!$T$2:$T$500,0)),"")</f>
        <v/>
      </c>
      <c r="G112" s="49" t="str">
        <f>IFERROR(INDEX(Registro!$P$2:$P$500,MATCH(111,Registro!$T$2:$T$500,0)),"")</f>
        <v/>
      </c>
      <c r="H112" s="49" t="str">
        <f>IFERROR(INDEX(Registro!$Q$2:$Q$500,MATCH(111,Registro!$T$2:$T$500,0)),"")</f>
        <v/>
      </c>
    </row>
    <row r="113" spans="1:8" x14ac:dyDescent="0.25">
      <c r="A113" s="49" t="str">
        <f>IFERROR(INDEX(Registro!$E$2:$E$500,MATCH(112,Registro!$T$2:$T$500,0)),"")</f>
        <v/>
      </c>
      <c r="B113" s="49" t="str">
        <f>IFERROR(INDEX(Registro!$F$2:$F$500,MATCH(112,Registro!$T$2:$T$500,0)),"")</f>
        <v/>
      </c>
      <c r="C113" s="49" t="str">
        <f>IFERROR(INDEX(Registro!$G$2:$G$500,MATCH(112,Registro!$T$2:$T$500,0)),"")</f>
        <v/>
      </c>
      <c r="D113" s="49" t="str">
        <f>IFERROR(INDEX(Registro!$H$2:$H$500,MATCH(112,Registro!$T$2:$T$500,0)),"")</f>
        <v/>
      </c>
      <c r="E113" s="50" t="str">
        <f>IFERROR(INDEX(Registro!$C$2:$C$500,MATCH(112,Registro!$T$2:$T$500,0)),"")</f>
        <v/>
      </c>
      <c r="F113" s="49" t="str">
        <f>IFERROR(INDEX(Registro!$B$2:$B$500,MATCH(112,Registro!$T$2:$T$500,0)),"")</f>
        <v/>
      </c>
      <c r="G113" s="49" t="str">
        <f>IFERROR(INDEX(Registro!$P$2:$P$500,MATCH(112,Registro!$T$2:$T$500,0)),"")</f>
        <v/>
      </c>
      <c r="H113" s="49" t="str">
        <f>IFERROR(INDEX(Registro!$Q$2:$Q$500,MATCH(112,Registro!$T$2:$T$500,0)),"")</f>
        <v/>
      </c>
    </row>
    <row r="114" spans="1:8" x14ac:dyDescent="0.25">
      <c r="A114" s="49" t="str">
        <f>IFERROR(INDEX(Registro!$E$2:$E$500,MATCH(113,Registro!$T$2:$T$500,0)),"")</f>
        <v/>
      </c>
      <c r="B114" s="49" t="str">
        <f>IFERROR(INDEX(Registro!$F$2:$F$500,MATCH(113,Registro!$T$2:$T$500,0)),"")</f>
        <v/>
      </c>
      <c r="C114" s="49" t="str">
        <f>IFERROR(INDEX(Registro!$G$2:$G$500,MATCH(113,Registro!$T$2:$T$500,0)),"")</f>
        <v/>
      </c>
      <c r="D114" s="49" t="str">
        <f>IFERROR(INDEX(Registro!$H$2:$H$500,MATCH(113,Registro!$T$2:$T$500,0)),"")</f>
        <v/>
      </c>
      <c r="E114" s="50" t="str">
        <f>IFERROR(INDEX(Registro!$C$2:$C$500,MATCH(113,Registro!$T$2:$T$500,0)),"")</f>
        <v/>
      </c>
      <c r="F114" s="49" t="str">
        <f>IFERROR(INDEX(Registro!$B$2:$B$500,MATCH(113,Registro!$T$2:$T$500,0)),"")</f>
        <v/>
      </c>
      <c r="G114" s="49" t="str">
        <f>IFERROR(INDEX(Registro!$P$2:$P$500,MATCH(113,Registro!$T$2:$T$500,0)),"")</f>
        <v/>
      </c>
      <c r="H114" s="49" t="str">
        <f>IFERROR(INDEX(Registro!$Q$2:$Q$500,MATCH(113,Registro!$T$2:$T$500,0)),"")</f>
        <v/>
      </c>
    </row>
    <row r="115" spans="1:8" x14ac:dyDescent="0.25">
      <c r="A115" s="49" t="str">
        <f>IFERROR(INDEX(Registro!$E$2:$E$500,MATCH(114,Registro!$T$2:$T$500,0)),"")</f>
        <v/>
      </c>
      <c r="B115" s="49" t="str">
        <f>IFERROR(INDEX(Registro!$F$2:$F$500,MATCH(114,Registro!$T$2:$T$500,0)),"")</f>
        <v/>
      </c>
      <c r="C115" s="49" t="str">
        <f>IFERROR(INDEX(Registro!$G$2:$G$500,MATCH(114,Registro!$T$2:$T$500,0)),"")</f>
        <v/>
      </c>
      <c r="D115" s="49" t="str">
        <f>IFERROR(INDEX(Registro!$H$2:$H$500,MATCH(114,Registro!$T$2:$T$500,0)),"")</f>
        <v/>
      </c>
      <c r="E115" s="50" t="str">
        <f>IFERROR(INDEX(Registro!$C$2:$C$500,MATCH(114,Registro!$T$2:$T$500,0)),"")</f>
        <v/>
      </c>
      <c r="F115" s="49" t="str">
        <f>IFERROR(INDEX(Registro!$B$2:$B$500,MATCH(114,Registro!$T$2:$T$500,0)),"")</f>
        <v/>
      </c>
      <c r="G115" s="49" t="str">
        <f>IFERROR(INDEX(Registro!$P$2:$P$500,MATCH(114,Registro!$T$2:$T$500,0)),"")</f>
        <v/>
      </c>
      <c r="H115" s="49" t="str">
        <f>IFERROR(INDEX(Registro!$Q$2:$Q$500,MATCH(114,Registro!$T$2:$T$500,0)),"")</f>
        <v/>
      </c>
    </row>
    <row r="116" spans="1:8" x14ac:dyDescent="0.25">
      <c r="A116" s="49" t="str">
        <f>IFERROR(INDEX(Registro!$E$2:$E$500,MATCH(115,Registro!$T$2:$T$500,0)),"")</f>
        <v/>
      </c>
      <c r="B116" s="49" t="str">
        <f>IFERROR(INDEX(Registro!$F$2:$F$500,MATCH(115,Registro!$T$2:$T$500,0)),"")</f>
        <v/>
      </c>
      <c r="C116" s="49" t="str">
        <f>IFERROR(INDEX(Registro!$G$2:$G$500,MATCH(115,Registro!$T$2:$T$500,0)),"")</f>
        <v/>
      </c>
      <c r="D116" s="49" t="str">
        <f>IFERROR(INDEX(Registro!$H$2:$H$500,MATCH(115,Registro!$T$2:$T$500,0)),"")</f>
        <v/>
      </c>
      <c r="E116" s="50" t="str">
        <f>IFERROR(INDEX(Registro!$C$2:$C$500,MATCH(115,Registro!$T$2:$T$500,0)),"")</f>
        <v/>
      </c>
      <c r="F116" s="49" t="str">
        <f>IFERROR(INDEX(Registro!$B$2:$B$500,MATCH(115,Registro!$T$2:$T$500,0)),"")</f>
        <v/>
      </c>
      <c r="G116" s="49" t="str">
        <f>IFERROR(INDEX(Registro!$P$2:$P$500,MATCH(115,Registro!$T$2:$T$500,0)),"")</f>
        <v/>
      </c>
      <c r="H116" s="49" t="str">
        <f>IFERROR(INDEX(Registro!$Q$2:$Q$500,MATCH(115,Registro!$T$2:$T$500,0)),"")</f>
        <v/>
      </c>
    </row>
    <row r="117" spans="1:8" x14ac:dyDescent="0.25">
      <c r="A117" s="49" t="str">
        <f>IFERROR(INDEX(Registro!$E$2:$E$500,MATCH(116,Registro!$T$2:$T$500,0)),"")</f>
        <v/>
      </c>
      <c r="B117" s="49" t="str">
        <f>IFERROR(INDEX(Registro!$F$2:$F$500,MATCH(116,Registro!$T$2:$T$500,0)),"")</f>
        <v/>
      </c>
      <c r="C117" s="49" t="str">
        <f>IFERROR(INDEX(Registro!$G$2:$G$500,MATCH(116,Registro!$T$2:$T$500,0)),"")</f>
        <v/>
      </c>
      <c r="D117" s="49" t="str">
        <f>IFERROR(INDEX(Registro!$H$2:$H$500,MATCH(116,Registro!$T$2:$T$500,0)),"")</f>
        <v/>
      </c>
      <c r="E117" s="50" t="str">
        <f>IFERROR(INDEX(Registro!$C$2:$C$500,MATCH(116,Registro!$T$2:$T$500,0)),"")</f>
        <v/>
      </c>
      <c r="F117" s="49" t="str">
        <f>IFERROR(INDEX(Registro!$B$2:$B$500,MATCH(116,Registro!$T$2:$T$500,0)),"")</f>
        <v/>
      </c>
      <c r="G117" s="49" t="str">
        <f>IFERROR(INDEX(Registro!$P$2:$P$500,MATCH(116,Registro!$T$2:$T$500,0)),"")</f>
        <v/>
      </c>
      <c r="H117" s="49" t="str">
        <f>IFERROR(INDEX(Registro!$Q$2:$Q$500,MATCH(116,Registro!$T$2:$T$500,0)),"")</f>
        <v/>
      </c>
    </row>
    <row r="118" spans="1:8" x14ac:dyDescent="0.25">
      <c r="A118" s="49" t="str">
        <f>IFERROR(INDEX(Registro!$E$2:$E$500,MATCH(117,Registro!$T$2:$T$500,0)),"")</f>
        <v/>
      </c>
      <c r="B118" s="49" t="str">
        <f>IFERROR(INDEX(Registro!$F$2:$F$500,MATCH(117,Registro!$T$2:$T$500,0)),"")</f>
        <v/>
      </c>
      <c r="C118" s="49" t="str">
        <f>IFERROR(INDEX(Registro!$G$2:$G$500,MATCH(117,Registro!$T$2:$T$500,0)),"")</f>
        <v/>
      </c>
      <c r="D118" s="49" t="str">
        <f>IFERROR(INDEX(Registro!$H$2:$H$500,MATCH(117,Registro!$T$2:$T$500,0)),"")</f>
        <v/>
      </c>
      <c r="E118" s="50" t="str">
        <f>IFERROR(INDEX(Registro!$C$2:$C$500,MATCH(117,Registro!$T$2:$T$500,0)),"")</f>
        <v/>
      </c>
      <c r="F118" s="49" t="str">
        <f>IFERROR(INDEX(Registro!$B$2:$B$500,MATCH(117,Registro!$T$2:$T$500,0)),"")</f>
        <v/>
      </c>
      <c r="G118" s="49" t="str">
        <f>IFERROR(INDEX(Registro!$P$2:$P$500,MATCH(117,Registro!$T$2:$T$500,0)),"")</f>
        <v/>
      </c>
      <c r="H118" s="49" t="str">
        <f>IFERROR(INDEX(Registro!$Q$2:$Q$500,MATCH(117,Registro!$T$2:$T$500,0)),"")</f>
        <v/>
      </c>
    </row>
    <row r="119" spans="1:8" x14ac:dyDescent="0.25">
      <c r="A119" s="49" t="str">
        <f>IFERROR(INDEX(Registro!$E$2:$E$500,MATCH(118,Registro!$T$2:$T$500,0)),"")</f>
        <v/>
      </c>
      <c r="B119" s="49" t="str">
        <f>IFERROR(INDEX(Registro!$F$2:$F$500,MATCH(118,Registro!$T$2:$T$500,0)),"")</f>
        <v/>
      </c>
      <c r="C119" s="49" t="str">
        <f>IFERROR(INDEX(Registro!$G$2:$G$500,MATCH(118,Registro!$T$2:$T$500,0)),"")</f>
        <v/>
      </c>
      <c r="D119" s="49" t="str">
        <f>IFERROR(INDEX(Registro!$H$2:$H$500,MATCH(118,Registro!$T$2:$T$500,0)),"")</f>
        <v/>
      </c>
      <c r="E119" s="50" t="str">
        <f>IFERROR(INDEX(Registro!$C$2:$C$500,MATCH(118,Registro!$T$2:$T$500,0)),"")</f>
        <v/>
      </c>
      <c r="F119" s="49" t="str">
        <f>IFERROR(INDEX(Registro!$B$2:$B$500,MATCH(118,Registro!$T$2:$T$500,0)),"")</f>
        <v/>
      </c>
      <c r="G119" s="49" t="str">
        <f>IFERROR(INDEX(Registro!$P$2:$P$500,MATCH(118,Registro!$T$2:$T$500,0)),"")</f>
        <v/>
      </c>
      <c r="H119" s="49" t="str">
        <f>IFERROR(INDEX(Registro!$Q$2:$Q$500,MATCH(118,Registro!$T$2:$T$500,0)),"")</f>
        <v/>
      </c>
    </row>
    <row r="120" spans="1:8" x14ac:dyDescent="0.25">
      <c r="A120" s="49" t="str">
        <f>IFERROR(INDEX(Registro!$E$2:$E$500,MATCH(119,Registro!$T$2:$T$500,0)),"")</f>
        <v/>
      </c>
      <c r="B120" s="49" t="str">
        <f>IFERROR(INDEX(Registro!$F$2:$F$500,MATCH(119,Registro!$T$2:$T$500,0)),"")</f>
        <v/>
      </c>
      <c r="C120" s="49" t="str">
        <f>IFERROR(INDEX(Registro!$G$2:$G$500,MATCH(119,Registro!$T$2:$T$500,0)),"")</f>
        <v/>
      </c>
      <c r="D120" s="49" t="str">
        <f>IFERROR(INDEX(Registro!$H$2:$H$500,MATCH(119,Registro!$T$2:$T$500,0)),"")</f>
        <v/>
      </c>
      <c r="E120" s="50" t="str">
        <f>IFERROR(INDEX(Registro!$C$2:$C$500,MATCH(119,Registro!$T$2:$T$500,0)),"")</f>
        <v/>
      </c>
      <c r="F120" s="49" t="str">
        <f>IFERROR(INDEX(Registro!$B$2:$B$500,MATCH(119,Registro!$T$2:$T$500,0)),"")</f>
        <v/>
      </c>
      <c r="G120" s="49" t="str">
        <f>IFERROR(INDEX(Registro!$P$2:$P$500,MATCH(119,Registro!$T$2:$T$500,0)),"")</f>
        <v/>
      </c>
      <c r="H120" s="49" t="str">
        <f>IFERROR(INDEX(Registro!$Q$2:$Q$500,MATCH(119,Registro!$T$2:$T$500,0)),"")</f>
        <v/>
      </c>
    </row>
    <row r="121" spans="1:8" x14ac:dyDescent="0.25">
      <c r="A121" s="49" t="str">
        <f>IFERROR(INDEX(Registro!$E$2:$E$500,MATCH(120,Registro!$T$2:$T$500,0)),"")</f>
        <v/>
      </c>
      <c r="B121" s="49" t="str">
        <f>IFERROR(INDEX(Registro!$F$2:$F$500,MATCH(120,Registro!$T$2:$T$500,0)),"")</f>
        <v/>
      </c>
      <c r="C121" s="49" t="str">
        <f>IFERROR(INDEX(Registro!$G$2:$G$500,MATCH(120,Registro!$T$2:$T$500,0)),"")</f>
        <v/>
      </c>
      <c r="D121" s="49" t="str">
        <f>IFERROR(INDEX(Registro!$H$2:$H$500,MATCH(120,Registro!$T$2:$T$500,0)),"")</f>
        <v/>
      </c>
      <c r="E121" s="50" t="str">
        <f>IFERROR(INDEX(Registro!$C$2:$C$500,MATCH(120,Registro!$T$2:$T$500,0)),"")</f>
        <v/>
      </c>
      <c r="F121" s="49" t="str">
        <f>IFERROR(INDEX(Registro!$B$2:$B$500,MATCH(120,Registro!$T$2:$T$500,0)),"")</f>
        <v/>
      </c>
      <c r="G121" s="49" t="str">
        <f>IFERROR(INDEX(Registro!$P$2:$P$500,MATCH(120,Registro!$T$2:$T$500,0)),"")</f>
        <v/>
      </c>
      <c r="H121" s="49" t="str">
        <f>IFERROR(INDEX(Registro!$Q$2:$Q$500,MATCH(120,Registro!$T$2:$T$500,0)),"")</f>
        <v/>
      </c>
    </row>
    <row r="122" spans="1:8" x14ac:dyDescent="0.25">
      <c r="A122" s="49" t="str">
        <f>IFERROR(INDEX(Registro!$E$2:$E$500,MATCH(121,Registro!$T$2:$T$500,0)),"")</f>
        <v/>
      </c>
      <c r="B122" s="49" t="str">
        <f>IFERROR(INDEX(Registro!$F$2:$F$500,MATCH(121,Registro!$T$2:$T$500,0)),"")</f>
        <v/>
      </c>
      <c r="C122" s="49" t="str">
        <f>IFERROR(INDEX(Registro!$G$2:$G$500,MATCH(121,Registro!$T$2:$T$500,0)),"")</f>
        <v/>
      </c>
      <c r="D122" s="49" t="str">
        <f>IFERROR(INDEX(Registro!$H$2:$H$500,MATCH(121,Registro!$T$2:$T$500,0)),"")</f>
        <v/>
      </c>
      <c r="E122" s="50" t="str">
        <f>IFERROR(INDEX(Registro!$C$2:$C$500,MATCH(121,Registro!$T$2:$T$500,0)),"")</f>
        <v/>
      </c>
      <c r="F122" s="49" t="str">
        <f>IFERROR(INDEX(Registro!$B$2:$B$500,MATCH(121,Registro!$T$2:$T$500,0)),"")</f>
        <v/>
      </c>
      <c r="G122" s="49" t="str">
        <f>IFERROR(INDEX(Registro!$P$2:$P$500,MATCH(121,Registro!$T$2:$T$500,0)),"")</f>
        <v/>
      </c>
      <c r="H122" s="49" t="str">
        <f>IFERROR(INDEX(Registro!$Q$2:$Q$500,MATCH(121,Registro!$T$2:$T$500,0)),"")</f>
        <v/>
      </c>
    </row>
    <row r="123" spans="1:8" x14ac:dyDescent="0.25">
      <c r="A123" s="49" t="str">
        <f>IFERROR(INDEX(Registro!$E$2:$E$500,MATCH(122,Registro!$T$2:$T$500,0)),"")</f>
        <v/>
      </c>
      <c r="B123" s="49" t="str">
        <f>IFERROR(INDEX(Registro!$F$2:$F$500,MATCH(122,Registro!$T$2:$T$500,0)),"")</f>
        <v/>
      </c>
      <c r="C123" s="49" t="str">
        <f>IFERROR(INDEX(Registro!$G$2:$G$500,MATCH(122,Registro!$T$2:$T$500,0)),"")</f>
        <v/>
      </c>
      <c r="D123" s="49" t="str">
        <f>IFERROR(INDEX(Registro!$H$2:$H$500,MATCH(122,Registro!$T$2:$T$500,0)),"")</f>
        <v/>
      </c>
      <c r="E123" s="50" t="str">
        <f>IFERROR(INDEX(Registro!$C$2:$C$500,MATCH(122,Registro!$T$2:$T$500,0)),"")</f>
        <v/>
      </c>
      <c r="F123" s="49" t="str">
        <f>IFERROR(INDEX(Registro!$B$2:$B$500,MATCH(122,Registro!$T$2:$T$500,0)),"")</f>
        <v/>
      </c>
      <c r="G123" s="49" t="str">
        <f>IFERROR(INDEX(Registro!$P$2:$P$500,MATCH(122,Registro!$T$2:$T$500,0)),"")</f>
        <v/>
      </c>
      <c r="H123" s="49" t="str">
        <f>IFERROR(INDEX(Registro!$Q$2:$Q$500,MATCH(122,Registro!$T$2:$T$500,0)),"")</f>
        <v/>
      </c>
    </row>
    <row r="124" spans="1:8" x14ac:dyDescent="0.25">
      <c r="A124" s="49" t="str">
        <f>IFERROR(INDEX(Registro!$E$2:$E$500,MATCH(123,Registro!$T$2:$T$500,0)),"")</f>
        <v/>
      </c>
      <c r="B124" s="49" t="str">
        <f>IFERROR(INDEX(Registro!$F$2:$F$500,MATCH(123,Registro!$T$2:$T$500,0)),"")</f>
        <v/>
      </c>
      <c r="C124" s="49" t="str">
        <f>IFERROR(INDEX(Registro!$G$2:$G$500,MATCH(123,Registro!$T$2:$T$500,0)),"")</f>
        <v/>
      </c>
      <c r="D124" s="49" t="str">
        <f>IFERROR(INDEX(Registro!$H$2:$H$500,MATCH(123,Registro!$T$2:$T$500,0)),"")</f>
        <v/>
      </c>
      <c r="E124" s="50" t="str">
        <f>IFERROR(INDEX(Registro!$C$2:$C$500,MATCH(123,Registro!$T$2:$T$500,0)),"")</f>
        <v/>
      </c>
      <c r="F124" s="49" t="str">
        <f>IFERROR(INDEX(Registro!$B$2:$B$500,MATCH(123,Registro!$T$2:$T$500,0)),"")</f>
        <v/>
      </c>
      <c r="G124" s="49" t="str">
        <f>IFERROR(INDEX(Registro!$P$2:$P$500,MATCH(123,Registro!$T$2:$T$500,0)),"")</f>
        <v/>
      </c>
      <c r="H124" s="49" t="str">
        <f>IFERROR(INDEX(Registro!$Q$2:$Q$500,MATCH(123,Registro!$T$2:$T$500,0)),"")</f>
        <v/>
      </c>
    </row>
    <row r="125" spans="1:8" x14ac:dyDescent="0.25">
      <c r="A125" s="49" t="str">
        <f>IFERROR(INDEX(Registro!$E$2:$E$500,MATCH(124,Registro!$T$2:$T$500,0)),"")</f>
        <v/>
      </c>
      <c r="B125" s="49" t="str">
        <f>IFERROR(INDEX(Registro!$F$2:$F$500,MATCH(124,Registro!$T$2:$T$500,0)),"")</f>
        <v/>
      </c>
      <c r="C125" s="49" t="str">
        <f>IFERROR(INDEX(Registro!$G$2:$G$500,MATCH(124,Registro!$T$2:$T$500,0)),"")</f>
        <v/>
      </c>
      <c r="D125" s="49" t="str">
        <f>IFERROR(INDEX(Registro!$H$2:$H$500,MATCH(124,Registro!$T$2:$T$500,0)),"")</f>
        <v/>
      </c>
      <c r="E125" s="50" t="str">
        <f>IFERROR(INDEX(Registro!$C$2:$C$500,MATCH(124,Registro!$T$2:$T$500,0)),"")</f>
        <v/>
      </c>
      <c r="F125" s="49" t="str">
        <f>IFERROR(INDEX(Registro!$B$2:$B$500,MATCH(124,Registro!$T$2:$T$500,0)),"")</f>
        <v/>
      </c>
      <c r="G125" s="49" t="str">
        <f>IFERROR(INDEX(Registro!$P$2:$P$500,MATCH(124,Registro!$T$2:$T$500,0)),"")</f>
        <v/>
      </c>
      <c r="H125" s="49" t="str">
        <f>IFERROR(INDEX(Registro!$Q$2:$Q$500,MATCH(124,Registro!$T$2:$T$500,0)),"")</f>
        <v/>
      </c>
    </row>
    <row r="126" spans="1:8" x14ac:dyDescent="0.25">
      <c r="A126" s="49" t="str">
        <f>IFERROR(INDEX(Registro!$E$2:$E$500,MATCH(125,Registro!$T$2:$T$500,0)),"")</f>
        <v/>
      </c>
      <c r="B126" s="49" t="str">
        <f>IFERROR(INDEX(Registro!$F$2:$F$500,MATCH(125,Registro!$T$2:$T$500,0)),"")</f>
        <v/>
      </c>
      <c r="C126" s="49" t="str">
        <f>IFERROR(INDEX(Registro!$G$2:$G$500,MATCH(125,Registro!$T$2:$T$500,0)),"")</f>
        <v/>
      </c>
      <c r="D126" s="49" t="str">
        <f>IFERROR(INDEX(Registro!$H$2:$H$500,MATCH(125,Registro!$T$2:$T$500,0)),"")</f>
        <v/>
      </c>
      <c r="E126" s="50" t="str">
        <f>IFERROR(INDEX(Registro!$C$2:$C$500,MATCH(125,Registro!$T$2:$T$500,0)),"")</f>
        <v/>
      </c>
      <c r="F126" s="49" t="str">
        <f>IFERROR(INDEX(Registro!$B$2:$B$500,MATCH(125,Registro!$T$2:$T$500,0)),"")</f>
        <v/>
      </c>
      <c r="G126" s="49" t="str">
        <f>IFERROR(INDEX(Registro!$P$2:$P$500,MATCH(125,Registro!$T$2:$T$500,0)),"")</f>
        <v/>
      </c>
      <c r="H126" s="49" t="str">
        <f>IFERROR(INDEX(Registro!$Q$2:$Q$500,MATCH(125,Registro!$T$2:$T$500,0)),"")</f>
        <v/>
      </c>
    </row>
    <row r="127" spans="1:8" x14ac:dyDescent="0.25">
      <c r="A127" s="49" t="str">
        <f>IFERROR(INDEX(Registro!$E$2:$E$500,MATCH(126,Registro!$T$2:$T$500,0)),"")</f>
        <v/>
      </c>
      <c r="B127" s="49" t="str">
        <f>IFERROR(INDEX(Registro!$F$2:$F$500,MATCH(126,Registro!$T$2:$T$500,0)),"")</f>
        <v/>
      </c>
      <c r="C127" s="49" t="str">
        <f>IFERROR(INDEX(Registro!$G$2:$G$500,MATCH(126,Registro!$T$2:$T$500,0)),"")</f>
        <v/>
      </c>
      <c r="D127" s="49" t="str">
        <f>IFERROR(INDEX(Registro!$H$2:$H$500,MATCH(126,Registro!$T$2:$T$500,0)),"")</f>
        <v/>
      </c>
      <c r="E127" s="50" t="str">
        <f>IFERROR(INDEX(Registro!$C$2:$C$500,MATCH(126,Registro!$T$2:$T$500,0)),"")</f>
        <v/>
      </c>
      <c r="F127" s="49" t="str">
        <f>IFERROR(INDEX(Registro!$B$2:$B$500,MATCH(126,Registro!$T$2:$T$500,0)),"")</f>
        <v/>
      </c>
      <c r="G127" s="49" t="str">
        <f>IFERROR(INDEX(Registro!$P$2:$P$500,MATCH(126,Registro!$T$2:$T$500,0)),"")</f>
        <v/>
      </c>
      <c r="H127" s="49" t="str">
        <f>IFERROR(INDEX(Registro!$Q$2:$Q$500,MATCH(126,Registro!$T$2:$T$500,0)),"")</f>
        <v/>
      </c>
    </row>
    <row r="128" spans="1:8" x14ac:dyDescent="0.25">
      <c r="A128" s="49" t="str">
        <f>IFERROR(INDEX(Registro!$E$2:$E$500,MATCH(127,Registro!$T$2:$T$500,0)),"")</f>
        <v/>
      </c>
      <c r="B128" s="49" t="str">
        <f>IFERROR(INDEX(Registro!$F$2:$F$500,MATCH(127,Registro!$T$2:$T$500,0)),"")</f>
        <v/>
      </c>
      <c r="C128" s="49" t="str">
        <f>IFERROR(INDEX(Registro!$G$2:$G$500,MATCH(127,Registro!$T$2:$T$500,0)),"")</f>
        <v/>
      </c>
      <c r="D128" s="49" t="str">
        <f>IFERROR(INDEX(Registro!$H$2:$H$500,MATCH(127,Registro!$T$2:$T$500,0)),"")</f>
        <v/>
      </c>
      <c r="E128" s="50" t="str">
        <f>IFERROR(INDEX(Registro!$C$2:$C$500,MATCH(127,Registro!$T$2:$T$500,0)),"")</f>
        <v/>
      </c>
      <c r="F128" s="49" t="str">
        <f>IFERROR(INDEX(Registro!$B$2:$B$500,MATCH(127,Registro!$T$2:$T$500,0)),"")</f>
        <v/>
      </c>
      <c r="G128" s="49" t="str">
        <f>IFERROR(INDEX(Registro!$P$2:$P$500,MATCH(127,Registro!$T$2:$T$500,0)),"")</f>
        <v/>
      </c>
      <c r="H128" s="49" t="str">
        <f>IFERROR(INDEX(Registro!$Q$2:$Q$500,MATCH(127,Registro!$T$2:$T$500,0)),"")</f>
        <v/>
      </c>
    </row>
    <row r="129" spans="1:8" x14ac:dyDescent="0.25">
      <c r="A129" s="49" t="str">
        <f>IFERROR(INDEX(Registro!$E$2:$E$500,MATCH(128,Registro!$T$2:$T$500,0)),"")</f>
        <v/>
      </c>
      <c r="B129" s="49" t="str">
        <f>IFERROR(INDEX(Registro!$F$2:$F$500,MATCH(128,Registro!$T$2:$T$500,0)),"")</f>
        <v/>
      </c>
      <c r="C129" s="49" t="str">
        <f>IFERROR(INDEX(Registro!$G$2:$G$500,MATCH(128,Registro!$T$2:$T$500,0)),"")</f>
        <v/>
      </c>
      <c r="D129" s="49" t="str">
        <f>IFERROR(INDEX(Registro!$H$2:$H$500,MATCH(128,Registro!$T$2:$T$500,0)),"")</f>
        <v/>
      </c>
      <c r="E129" s="50" t="str">
        <f>IFERROR(INDEX(Registro!$C$2:$C$500,MATCH(128,Registro!$T$2:$T$500,0)),"")</f>
        <v/>
      </c>
      <c r="F129" s="49" t="str">
        <f>IFERROR(INDEX(Registro!$B$2:$B$500,MATCH(128,Registro!$T$2:$T$500,0)),"")</f>
        <v/>
      </c>
      <c r="G129" s="49" t="str">
        <f>IFERROR(INDEX(Registro!$P$2:$P$500,MATCH(128,Registro!$T$2:$T$500,0)),"")</f>
        <v/>
      </c>
      <c r="H129" s="49" t="str">
        <f>IFERROR(INDEX(Registro!$Q$2:$Q$500,MATCH(128,Registro!$T$2:$T$500,0)),"")</f>
        <v/>
      </c>
    </row>
    <row r="130" spans="1:8" x14ac:dyDescent="0.25">
      <c r="A130" s="49" t="str">
        <f>IFERROR(INDEX(Registro!$E$2:$E$500,MATCH(129,Registro!$T$2:$T$500,0)),"")</f>
        <v/>
      </c>
      <c r="B130" s="49" t="str">
        <f>IFERROR(INDEX(Registro!$F$2:$F$500,MATCH(129,Registro!$T$2:$T$500,0)),"")</f>
        <v/>
      </c>
      <c r="C130" s="49" t="str">
        <f>IFERROR(INDEX(Registro!$G$2:$G$500,MATCH(129,Registro!$T$2:$T$500,0)),"")</f>
        <v/>
      </c>
      <c r="D130" s="49" t="str">
        <f>IFERROR(INDEX(Registro!$H$2:$H$500,MATCH(129,Registro!$T$2:$T$500,0)),"")</f>
        <v/>
      </c>
      <c r="E130" s="50" t="str">
        <f>IFERROR(INDEX(Registro!$C$2:$C$500,MATCH(129,Registro!$T$2:$T$500,0)),"")</f>
        <v/>
      </c>
      <c r="F130" s="49" t="str">
        <f>IFERROR(INDEX(Registro!$B$2:$B$500,MATCH(129,Registro!$T$2:$T$500,0)),"")</f>
        <v/>
      </c>
      <c r="G130" s="49" t="str">
        <f>IFERROR(INDEX(Registro!$P$2:$P$500,MATCH(129,Registro!$T$2:$T$500,0)),"")</f>
        <v/>
      </c>
      <c r="H130" s="49" t="str">
        <f>IFERROR(INDEX(Registro!$Q$2:$Q$500,MATCH(129,Registro!$T$2:$T$500,0)),"")</f>
        <v/>
      </c>
    </row>
    <row r="131" spans="1:8" x14ac:dyDescent="0.25">
      <c r="A131" s="49" t="str">
        <f>IFERROR(INDEX(Registro!$E$2:$E$500,MATCH(130,Registro!$T$2:$T$500,0)),"")</f>
        <v/>
      </c>
      <c r="B131" s="49" t="str">
        <f>IFERROR(INDEX(Registro!$F$2:$F$500,MATCH(130,Registro!$T$2:$T$500,0)),"")</f>
        <v/>
      </c>
      <c r="C131" s="49" t="str">
        <f>IFERROR(INDEX(Registro!$G$2:$G$500,MATCH(130,Registro!$T$2:$T$500,0)),"")</f>
        <v/>
      </c>
      <c r="D131" s="49" t="str">
        <f>IFERROR(INDEX(Registro!$H$2:$H$500,MATCH(130,Registro!$T$2:$T$500,0)),"")</f>
        <v/>
      </c>
      <c r="E131" s="50" t="str">
        <f>IFERROR(INDEX(Registro!$C$2:$C$500,MATCH(130,Registro!$T$2:$T$500,0)),"")</f>
        <v/>
      </c>
      <c r="F131" s="49" t="str">
        <f>IFERROR(INDEX(Registro!$B$2:$B$500,MATCH(130,Registro!$T$2:$T$500,0)),"")</f>
        <v/>
      </c>
      <c r="G131" s="49" t="str">
        <f>IFERROR(INDEX(Registro!$P$2:$P$500,MATCH(130,Registro!$T$2:$T$500,0)),"")</f>
        <v/>
      </c>
      <c r="H131" s="49" t="str">
        <f>IFERROR(INDEX(Registro!$Q$2:$Q$500,MATCH(130,Registro!$T$2:$T$500,0)),"")</f>
        <v/>
      </c>
    </row>
    <row r="132" spans="1:8" x14ac:dyDescent="0.25">
      <c r="A132" s="49" t="str">
        <f>IFERROR(INDEX(Registro!$E$2:$E$500,MATCH(131,Registro!$T$2:$T$500,0)),"")</f>
        <v/>
      </c>
      <c r="B132" s="49" t="str">
        <f>IFERROR(INDEX(Registro!$F$2:$F$500,MATCH(131,Registro!$T$2:$T$500,0)),"")</f>
        <v/>
      </c>
      <c r="C132" s="49" t="str">
        <f>IFERROR(INDEX(Registro!$G$2:$G$500,MATCH(131,Registro!$T$2:$T$500,0)),"")</f>
        <v/>
      </c>
      <c r="D132" s="49" t="str">
        <f>IFERROR(INDEX(Registro!$H$2:$H$500,MATCH(131,Registro!$T$2:$T$500,0)),"")</f>
        <v/>
      </c>
      <c r="E132" s="50" t="str">
        <f>IFERROR(INDEX(Registro!$C$2:$C$500,MATCH(131,Registro!$T$2:$T$500,0)),"")</f>
        <v/>
      </c>
      <c r="F132" s="49" t="str">
        <f>IFERROR(INDEX(Registro!$B$2:$B$500,MATCH(131,Registro!$T$2:$T$500,0)),"")</f>
        <v/>
      </c>
      <c r="G132" s="49" t="str">
        <f>IFERROR(INDEX(Registro!$P$2:$P$500,MATCH(131,Registro!$T$2:$T$500,0)),"")</f>
        <v/>
      </c>
      <c r="H132" s="49" t="str">
        <f>IFERROR(INDEX(Registro!$Q$2:$Q$500,MATCH(131,Registro!$T$2:$T$500,0)),"")</f>
        <v/>
      </c>
    </row>
    <row r="133" spans="1:8" x14ac:dyDescent="0.25">
      <c r="A133" s="49" t="str">
        <f>IFERROR(INDEX(Registro!$E$2:$E$500,MATCH(132,Registro!$T$2:$T$500,0)),"")</f>
        <v/>
      </c>
      <c r="B133" s="49" t="str">
        <f>IFERROR(INDEX(Registro!$F$2:$F$500,MATCH(132,Registro!$T$2:$T$500,0)),"")</f>
        <v/>
      </c>
      <c r="C133" s="49" t="str">
        <f>IFERROR(INDEX(Registro!$G$2:$G$500,MATCH(132,Registro!$T$2:$T$500,0)),"")</f>
        <v/>
      </c>
      <c r="D133" s="49" t="str">
        <f>IFERROR(INDEX(Registro!$H$2:$H$500,MATCH(132,Registro!$T$2:$T$500,0)),"")</f>
        <v/>
      </c>
      <c r="E133" s="50" t="str">
        <f>IFERROR(INDEX(Registro!$C$2:$C$500,MATCH(132,Registro!$T$2:$T$500,0)),"")</f>
        <v/>
      </c>
      <c r="F133" s="49" t="str">
        <f>IFERROR(INDEX(Registro!$B$2:$B$500,MATCH(132,Registro!$T$2:$T$500,0)),"")</f>
        <v/>
      </c>
      <c r="G133" s="49" t="str">
        <f>IFERROR(INDEX(Registro!$P$2:$P$500,MATCH(132,Registro!$T$2:$T$500,0)),"")</f>
        <v/>
      </c>
      <c r="H133" s="49" t="str">
        <f>IFERROR(INDEX(Registro!$Q$2:$Q$500,MATCH(132,Registro!$T$2:$T$500,0)),"")</f>
        <v/>
      </c>
    </row>
    <row r="134" spans="1:8" x14ac:dyDescent="0.25">
      <c r="A134" s="49" t="str">
        <f>IFERROR(INDEX(Registro!$E$2:$E$500,MATCH(133,Registro!$T$2:$T$500,0)),"")</f>
        <v/>
      </c>
      <c r="B134" s="49" t="str">
        <f>IFERROR(INDEX(Registro!$F$2:$F$500,MATCH(133,Registro!$T$2:$T$500,0)),"")</f>
        <v/>
      </c>
      <c r="C134" s="49" t="str">
        <f>IFERROR(INDEX(Registro!$G$2:$G$500,MATCH(133,Registro!$T$2:$T$500,0)),"")</f>
        <v/>
      </c>
      <c r="D134" s="49" t="str">
        <f>IFERROR(INDEX(Registro!$H$2:$H$500,MATCH(133,Registro!$T$2:$T$500,0)),"")</f>
        <v/>
      </c>
      <c r="E134" s="50" t="str">
        <f>IFERROR(INDEX(Registro!$C$2:$C$500,MATCH(133,Registro!$T$2:$T$500,0)),"")</f>
        <v/>
      </c>
      <c r="F134" s="49" t="str">
        <f>IFERROR(INDEX(Registro!$B$2:$B$500,MATCH(133,Registro!$T$2:$T$500,0)),"")</f>
        <v/>
      </c>
      <c r="G134" s="49" t="str">
        <f>IFERROR(INDEX(Registro!$P$2:$P$500,MATCH(133,Registro!$T$2:$T$500,0)),"")</f>
        <v/>
      </c>
      <c r="H134" s="49" t="str">
        <f>IFERROR(INDEX(Registro!$Q$2:$Q$500,MATCH(133,Registro!$T$2:$T$500,0)),"")</f>
        <v/>
      </c>
    </row>
    <row r="135" spans="1:8" x14ac:dyDescent="0.25">
      <c r="A135" s="49" t="str">
        <f>IFERROR(INDEX(Registro!$E$2:$E$500,MATCH(134,Registro!$T$2:$T$500,0)),"")</f>
        <v/>
      </c>
      <c r="B135" s="49" t="str">
        <f>IFERROR(INDEX(Registro!$F$2:$F$500,MATCH(134,Registro!$T$2:$T$500,0)),"")</f>
        <v/>
      </c>
      <c r="C135" s="49" t="str">
        <f>IFERROR(INDEX(Registro!$G$2:$G$500,MATCH(134,Registro!$T$2:$T$500,0)),"")</f>
        <v/>
      </c>
      <c r="D135" s="49" t="str">
        <f>IFERROR(INDEX(Registro!$H$2:$H$500,MATCH(134,Registro!$T$2:$T$500,0)),"")</f>
        <v/>
      </c>
      <c r="E135" s="50" t="str">
        <f>IFERROR(INDEX(Registro!$C$2:$C$500,MATCH(134,Registro!$T$2:$T$500,0)),"")</f>
        <v/>
      </c>
      <c r="F135" s="49" t="str">
        <f>IFERROR(INDEX(Registro!$B$2:$B$500,MATCH(134,Registro!$T$2:$T$500,0)),"")</f>
        <v/>
      </c>
      <c r="G135" s="49" t="str">
        <f>IFERROR(INDEX(Registro!$P$2:$P$500,MATCH(134,Registro!$T$2:$T$500,0)),"")</f>
        <v/>
      </c>
      <c r="H135" s="49" t="str">
        <f>IFERROR(INDEX(Registro!$Q$2:$Q$500,MATCH(134,Registro!$T$2:$T$500,0)),"")</f>
        <v/>
      </c>
    </row>
    <row r="136" spans="1:8" x14ac:dyDescent="0.25">
      <c r="A136" s="49" t="str">
        <f>IFERROR(INDEX(Registro!$E$2:$E$500,MATCH(135,Registro!$T$2:$T$500,0)),"")</f>
        <v/>
      </c>
      <c r="B136" s="49" t="str">
        <f>IFERROR(INDEX(Registro!$F$2:$F$500,MATCH(135,Registro!$T$2:$T$500,0)),"")</f>
        <v/>
      </c>
      <c r="C136" s="49" t="str">
        <f>IFERROR(INDEX(Registro!$G$2:$G$500,MATCH(135,Registro!$T$2:$T$500,0)),"")</f>
        <v/>
      </c>
      <c r="D136" s="49" t="str">
        <f>IFERROR(INDEX(Registro!$H$2:$H$500,MATCH(135,Registro!$T$2:$T$500,0)),"")</f>
        <v/>
      </c>
      <c r="E136" s="50" t="str">
        <f>IFERROR(INDEX(Registro!$C$2:$C$500,MATCH(135,Registro!$T$2:$T$500,0)),"")</f>
        <v/>
      </c>
      <c r="F136" s="49" t="str">
        <f>IFERROR(INDEX(Registro!$B$2:$B$500,MATCH(135,Registro!$T$2:$T$500,0)),"")</f>
        <v/>
      </c>
      <c r="G136" s="49" t="str">
        <f>IFERROR(INDEX(Registro!$P$2:$P$500,MATCH(135,Registro!$T$2:$T$500,0)),"")</f>
        <v/>
      </c>
      <c r="H136" s="49" t="str">
        <f>IFERROR(INDEX(Registro!$Q$2:$Q$500,MATCH(135,Registro!$T$2:$T$500,0)),"")</f>
        <v/>
      </c>
    </row>
    <row r="137" spans="1:8" x14ac:dyDescent="0.25">
      <c r="A137" s="49" t="str">
        <f>IFERROR(INDEX(Registro!$E$2:$E$500,MATCH(136,Registro!$T$2:$T$500,0)),"")</f>
        <v/>
      </c>
      <c r="B137" s="49" t="str">
        <f>IFERROR(INDEX(Registro!$F$2:$F$500,MATCH(136,Registro!$T$2:$T$500,0)),"")</f>
        <v/>
      </c>
      <c r="C137" s="49" t="str">
        <f>IFERROR(INDEX(Registro!$G$2:$G$500,MATCH(136,Registro!$T$2:$T$500,0)),"")</f>
        <v/>
      </c>
      <c r="D137" s="49" t="str">
        <f>IFERROR(INDEX(Registro!$H$2:$H$500,MATCH(136,Registro!$T$2:$T$500,0)),"")</f>
        <v/>
      </c>
      <c r="E137" s="50" t="str">
        <f>IFERROR(INDEX(Registro!$C$2:$C$500,MATCH(136,Registro!$T$2:$T$500,0)),"")</f>
        <v/>
      </c>
      <c r="F137" s="49" t="str">
        <f>IFERROR(INDEX(Registro!$B$2:$B$500,MATCH(136,Registro!$T$2:$T$500,0)),"")</f>
        <v/>
      </c>
      <c r="G137" s="49" t="str">
        <f>IFERROR(INDEX(Registro!$P$2:$P$500,MATCH(136,Registro!$T$2:$T$500,0)),"")</f>
        <v/>
      </c>
      <c r="H137" s="49" t="str">
        <f>IFERROR(INDEX(Registro!$Q$2:$Q$500,MATCH(136,Registro!$T$2:$T$500,0)),"")</f>
        <v/>
      </c>
    </row>
    <row r="138" spans="1:8" x14ac:dyDescent="0.25">
      <c r="A138" s="49" t="str">
        <f>IFERROR(INDEX(Registro!$E$2:$E$500,MATCH(137,Registro!$T$2:$T$500,0)),"")</f>
        <v/>
      </c>
      <c r="B138" s="49" t="str">
        <f>IFERROR(INDEX(Registro!$F$2:$F$500,MATCH(137,Registro!$T$2:$T$500,0)),"")</f>
        <v/>
      </c>
      <c r="C138" s="49" t="str">
        <f>IFERROR(INDEX(Registro!$G$2:$G$500,MATCH(137,Registro!$T$2:$T$500,0)),"")</f>
        <v/>
      </c>
      <c r="D138" s="49" t="str">
        <f>IFERROR(INDEX(Registro!$H$2:$H$500,MATCH(137,Registro!$T$2:$T$500,0)),"")</f>
        <v/>
      </c>
      <c r="E138" s="50" t="str">
        <f>IFERROR(INDEX(Registro!$C$2:$C$500,MATCH(137,Registro!$T$2:$T$500,0)),"")</f>
        <v/>
      </c>
      <c r="F138" s="49" t="str">
        <f>IFERROR(INDEX(Registro!$B$2:$B$500,MATCH(137,Registro!$T$2:$T$500,0)),"")</f>
        <v/>
      </c>
      <c r="G138" s="49" t="str">
        <f>IFERROR(INDEX(Registro!$P$2:$P$500,MATCH(137,Registro!$T$2:$T$500,0)),"")</f>
        <v/>
      </c>
      <c r="H138" s="49" t="str">
        <f>IFERROR(INDEX(Registro!$Q$2:$Q$500,MATCH(137,Registro!$T$2:$T$500,0)),"")</f>
        <v/>
      </c>
    </row>
    <row r="139" spans="1:8" x14ac:dyDescent="0.25">
      <c r="A139" s="49" t="str">
        <f>IFERROR(INDEX(Registro!$E$2:$E$500,MATCH(138,Registro!$T$2:$T$500,0)),"")</f>
        <v/>
      </c>
      <c r="B139" s="49" t="str">
        <f>IFERROR(INDEX(Registro!$F$2:$F$500,MATCH(138,Registro!$T$2:$T$500,0)),"")</f>
        <v/>
      </c>
      <c r="C139" s="49" t="str">
        <f>IFERROR(INDEX(Registro!$G$2:$G$500,MATCH(138,Registro!$T$2:$T$500,0)),"")</f>
        <v/>
      </c>
      <c r="D139" s="49" t="str">
        <f>IFERROR(INDEX(Registro!$H$2:$H$500,MATCH(138,Registro!$T$2:$T$500,0)),"")</f>
        <v/>
      </c>
      <c r="E139" s="50" t="str">
        <f>IFERROR(INDEX(Registro!$C$2:$C$500,MATCH(138,Registro!$T$2:$T$500,0)),"")</f>
        <v/>
      </c>
      <c r="F139" s="49" t="str">
        <f>IFERROR(INDEX(Registro!$B$2:$B$500,MATCH(138,Registro!$T$2:$T$500,0)),"")</f>
        <v/>
      </c>
      <c r="G139" s="49" t="str">
        <f>IFERROR(INDEX(Registro!$P$2:$P$500,MATCH(138,Registro!$T$2:$T$500,0)),"")</f>
        <v/>
      </c>
      <c r="H139" s="49" t="str">
        <f>IFERROR(INDEX(Registro!$Q$2:$Q$500,MATCH(138,Registro!$T$2:$T$500,0)),"")</f>
        <v/>
      </c>
    </row>
    <row r="140" spans="1:8" x14ac:dyDescent="0.25">
      <c r="A140" s="49" t="str">
        <f>IFERROR(INDEX(Registro!$E$2:$E$500,MATCH(139,Registro!$T$2:$T$500,0)),"")</f>
        <v/>
      </c>
      <c r="B140" s="49" t="str">
        <f>IFERROR(INDEX(Registro!$F$2:$F$500,MATCH(139,Registro!$T$2:$T$500,0)),"")</f>
        <v/>
      </c>
      <c r="C140" s="49" t="str">
        <f>IFERROR(INDEX(Registro!$G$2:$G$500,MATCH(139,Registro!$T$2:$T$500,0)),"")</f>
        <v/>
      </c>
      <c r="D140" s="49" t="str">
        <f>IFERROR(INDEX(Registro!$H$2:$H$500,MATCH(139,Registro!$T$2:$T$500,0)),"")</f>
        <v/>
      </c>
      <c r="E140" s="50" t="str">
        <f>IFERROR(INDEX(Registro!$C$2:$C$500,MATCH(139,Registro!$T$2:$T$500,0)),"")</f>
        <v/>
      </c>
      <c r="F140" s="49" t="str">
        <f>IFERROR(INDEX(Registro!$B$2:$B$500,MATCH(139,Registro!$T$2:$T$500,0)),"")</f>
        <v/>
      </c>
      <c r="G140" s="49" t="str">
        <f>IFERROR(INDEX(Registro!$P$2:$P$500,MATCH(139,Registro!$T$2:$T$500,0)),"")</f>
        <v/>
      </c>
      <c r="H140" s="49" t="str">
        <f>IFERROR(INDEX(Registro!$Q$2:$Q$500,MATCH(139,Registro!$T$2:$T$500,0)),"")</f>
        <v/>
      </c>
    </row>
    <row r="141" spans="1:8" x14ac:dyDescent="0.25">
      <c r="A141" s="49" t="str">
        <f>IFERROR(INDEX(Registro!$E$2:$E$500,MATCH(140,Registro!$T$2:$T$500,0)),"")</f>
        <v/>
      </c>
      <c r="B141" s="49" t="str">
        <f>IFERROR(INDEX(Registro!$F$2:$F$500,MATCH(140,Registro!$T$2:$T$500,0)),"")</f>
        <v/>
      </c>
      <c r="C141" s="49" t="str">
        <f>IFERROR(INDEX(Registro!$G$2:$G$500,MATCH(140,Registro!$T$2:$T$500,0)),"")</f>
        <v/>
      </c>
      <c r="D141" s="49" t="str">
        <f>IFERROR(INDEX(Registro!$H$2:$H$500,MATCH(140,Registro!$T$2:$T$500,0)),"")</f>
        <v/>
      </c>
      <c r="E141" s="50" t="str">
        <f>IFERROR(INDEX(Registro!$C$2:$C$500,MATCH(140,Registro!$T$2:$T$500,0)),"")</f>
        <v/>
      </c>
      <c r="F141" s="49" t="str">
        <f>IFERROR(INDEX(Registro!$B$2:$B$500,MATCH(140,Registro!$T$2:$T$500,0)),"")</f>
        <v/>
      </c>
      <c r="G141" s="49" t="str">
        <f>IFERROR(INDEX(Registro!$P$2:$P$500,MATCH(140,Registro!$T$2:$T$500,0)),"")</f>
        <v/>
      </c>
      <c r="H141" s="49" t="str">
        <f>IFERROR(INDEX(Registro!$Q$2:$Q$500,MATCH(140,Registro!$T$2:$T$500,0)),"")</f>
        <v/>
      </c>
    </row>
    <row r="142" spans="1:8" x14ac:dyDescent="0.25">
      <c r="A142" s="49" t="str">
        <f>IFERROR(INDEX(Registro!$E$2:$E$500,MATCH(141,Registro!$T$2:$T$500,0)),"")</f>
        <v/>
      </c>
      <c r="B142" s="49" t="str">
        <f>IFERROR(INDEX(Registro!$F$2:$F$500,MATCH(141,Registro!$T$2:$T$500,0)),"")</f>
        <v/>
      </c>
      <c r="C142" s="49" t="str">
        <f>IFERROR(INDEX(Registro!$G$2:$G$500,MATCH(141,Registro!$T$2:$T$500,0)),"")</f>
        <v/>
      </c>
      <c r="D142" s="49" t="str">
        <f>IFERROR(INDEX(Registro!$H$2:$H$500,MATCH(141,Registro!$T$2:$T$500,0)),"")</f>
        <v/>
      </c>
      <c r="E142" s="50" t="str">
        <f>IFERROR(INDEX(Registro!$C$2:$C$500,MATCH(141,Registro!$T$2:$T$500,0)),"")</f>
        <v/>
      </c>
      <c r="F142" s="49" t="str">
        <f>IFERROR(INDEX(Registro!$B$2:$B$500,MATCH(141,Registro!$T$2:$T$500,0)),"")</f>
        <v/>
      </c>
      <c r="G142" s="49" t="str">
        <f>IFERROR(INDEX(Registro!$P$2:$P$500,MATCH(141,Registro!$T$2:$T$500,0)),"")</f>
        <v/>
      </c>
      <c r="H142" s="49" t="str">
        <f>IFERROR(INDEX(Registro!$Q$2:$Q$500,MATCH(141,Registro!$T$2:$T$500,0)),"")</f>
        <v/>
      </c>
    </row>
    <row r="143" spans="1:8" x14ac:dyDescent="0.25">
      <c r="A143" s="49" t="str">
        <f>IFERROR(INDEX(Registro!$E$2:$E$500,MATCH(142,Registro!$T$2:$T$500,0)),"")</f>
        <v/>
      </c>
      <c r="B143" s="49" t="str">
        <f>IFERROR(INDEX(Registro!$F$2:$F$500,MATCH(142,Registro!$T$2:$T$500,0)),"")</f>
        <v/>
      </c>
      <c r="C143" s="49" t="str">
        <f>IFERROR(INDEX(Registro!$G$2:$G$500,MATCH(142,Registro!$T$2:$T$500,0)),"")</f>
        <v/>
      </c>
      <c r="D143" s="49" t="str">
        <f>IFERROR(INDEX(Registro!$H$2:$H$500,MATCH(142,Registro!$T$2:$T$500,0)),"")</f>
        <v/>
      </c>
      <c r="E143" s="50" t="str">
        <f>IFERROR(INDEX(Registro!$C$2:$C$500,MATCH(142,Registro!$T$2:$T$500,0)),"")</f>
        <v/>
      </c>
      <c r="F143" s="49" t="str">
        <f>IFERROR(INDEX(Registro!$B$2:$B$500,MATCH(142,Registro!$T$2:$T$500,0)),"")</f>
        <v/>
      </c>
      <c r="G143" s="49" t="str">
        <f>IFERROR(INDEX(Registro!$P$2:$P$500,MATCH(142,Registro!$T$2:$T$500,0)),"")</f>
        <v/>
      </c>
      <c r="H143" s="49" t="str">
        <f>IFERROR(INDEX(Registro!$Q$2:$Q$500,MATCH(142,Registro!$T$2:$T$500,0)),"")</f>
        <v/>
      </c>
    </row>
    <row r="144" spans="1:8" x14ac:dyDescent="0.25">
      <c r="A144" s="49" t="str">
        <f>IFERROR(INDEX(Registro!$E$2:$E$500,MATCH(143,Registro!$T$2:$T$500,0)),"")</f>
        <v/>
      </c>
      <c r="B144" s="49" t="str">
        <f>IFERROR(INDEX(Registro!$F$2:$F$500,MATCH(143,Registro!$T$2:$T$500,0)),"")</f>
        <v/>
      </c>
      <c r="C144" s="49" t="str">
        <f>IFERROR(INDEX(Registro!$G$2:$G$500,MATCH(143,Registro!$T$2:$T$500,0)),"")</f>
        <v/>
      </c>
      <c r="D144" s="49" t="str">
        <f>IFERROR(INDEX(Registro!$H$2:$H$500,MATCH(143,Registro!$T$2:$T$500,0)),"")</f>
        <v/>
      </c>
      <c r="E144" s="50" t="str">
        <f>IFERROR(INDEX(Registro!$C$2:$C$500,MATCH(143,Registro!$T$2:$T$500,0)),"")</f>
        <v/>
      </c>
      <c r="F144" s="49" t="str">
        <f>IFERROR(INDEX(Registro!$B$2:$B$500,MATCH(143,Registro!$T$2:$T$500,0)),"")</f>
        <v/>
      </c>
      <c r="G144" s="49" t="str">
        <f>IFERROR(INDEX(Registro!$P$2:$P$500,MATCH(143,Registro!$T$2:$T$500,0)),"")</f>
        <v/>
      </c>
      <c r="H144" s="49" t="str">
        <f>IFERROR(INDEX(Registro!$Q$2:$Q$500,MATCH(143,Registro!$T$2:$T$500,0)),"")</f>
        <v/>
      </c>
    </row>
    <row r="145" spans="1:8" x14ac:dyDescent="0.25">
      <c r="A145" s="49" t="str">
        <f>IFERROR(INDEX(Registro!$E$2:$E$500,MATCH(144,Registro!$T$2:$T$500,0)),"")</f>
        <v/>
      </c>
      <c r="B145" s="49" t="str">
        <f>IFERROR(INDEX(Registro!$F$2:$F$500,MATCH(144,Registro!$T$2:$T$500,0)),"")</f>
        <v/>
      </c>
      <c r="C145" s="49" t="str">
        <f>IFERROR(INDEX(Registro!$G$2:$G$500,MATCH(144,Registro!$T$2:$T$500,0)),"")</f>
        <v/>
      </c>
      <c r="D145" s="49" t="str">
        <f>IFERROR(INDEX(Registro!$H$2:$H$500,MATCH(144,Registro!$T$2:$T$500,0)),"")</f>
        <v/>
      </c>
      <c r="E145" s="50" t="str">
        <f>IFERROR(INDEX(Registro!$C$2:$C$500,MATCH(144,Registro!$T$2:$T$500,0)),"")</f>
        <v/>
      </c>
      <c r="F145" s="49" t="str">
        <f>IFERROR(INDEX(Registro!$B$2:$B$500,MATCH(144,Registro!$T$2:$T$500,0)),"")</f>
        <v/>
      </c>
      <c r="G145" s="49" t="str">
        <f>IFERROR(INDEX(Registro!$P$2:$P$500,MATCH(144,Registro!$T$2:$T$500,0)),"")</f>
        <v/>
      </c>
      <c r="H145" s="49" t="str">
        <f>IFERROR(INDEX(Registro!$Q$2:$Q$500,MATCH(144,Registro!$T$2:$T$500,0)),"")</f>
        <v/>
      </c>
    </row>
    <row r="146" spans="1:8" x14ac:dyDescent="0.25">
      <c r="A146" s="49" t="str">
        <f>IFERROR(INDEX(Registro!$E$2:$E$500,MATCH(145,Registro!$T$2:$T$500,0)),"")</f>
        <v/>
      </c>
      <c r="B146" s="49" t="str">
        <f>IFERROR(INDEX(Registro!$F$2:$F$500,MATCH(145,Registro!$T$2:$T$500,0)),"")</f>
        <v/>
      </c>
      <c r="C146" s="49" t="str">
        <f>IFERROR(INDEX(Registro!$G$2:$G$500,MATCH(145,Registro!$T$2:$T$500,0)),"")</f>
        <v/>
      </c>
      <c r="D146" s="49" t="str">
        <f>IFERROR(INDEX(Registro!$H$2:$H$500,MATCH(145,Registro!$T$2:$T$500,0)),"")</f>
        <v/>
      </c>
      <c r="E146" s="50" t="str">
        <f>IFERROR(INDEX(Registro!$C$2:$C$500,MATCH(145,Registro!$T$2:$T$500,0)),"")</f>
        <v/>
      </c>
      <c r="F146" s="49" t="str">
        <f>IFERROR(INDEX(Registro!$B$2:$B$500,MATCH(145,Registro!$T$2:$T$500,0)),"")</f>
        <v/>
      </c>
      <c r="G146" s="49" t="str">
        <f>IFERROR(INDEX(Registro!$P$2:$P$500,MATCH(145,Registro!$T$2:$T$500,0)),"")</f>
        <v/>
      </c>
      <c r="H146" s="49" t="str">
        <f>IFERROR(INDEX(Registro!$Q$2:$Q$500,MATCH(145,Registro!$T$2:$T$500,0)),"")</f>
        <v/>
      </c>
    </row>
    <row r="147" spans="1:8" x14ac:dyDescent="0.25">
      <c r="A147" s="49" t="str">
        <f>IFERROR(INDEX(Registro!$E$2:$E$500,MATCH(146,Registro!$T$2:$T$500,0)),"")</f>
        <v/>
      </c>
      <c r="B147" s="49" t="str">
        <f>IFERROR(INDEX(Registro!$F$2:$F$500,MATCH(146,Registro!$T$2:$T$500,0)),"")</f>
        <v/>
      </c>
      <c r="C147" s="49" t="str">
        <f>IFERROR(INDEX(Registro!$G$2:$G$500,MATCH(146,Registro!$T$2:$T$500,0)),"")</f>
        <v/>
      </c>
      <c r="D147" s="49" t="str">
        <f>IFERROR(INDEX(Registro!$H$2:$H$500,MATCH(146,Registro!$T$2:$T$500,0)),"")</f>
        <v/>
      </c>
      <c r="E147" s="50" t="str">
        <f>IFERROR(INDEX(Registro!$C$2:$C$500,MATCH(146,Registro!$T$2:$T$500,0)),"")</f>
        <v/>
      </c>
      <c r="F147" s="49" t="str">
        <f>IFERROR(INDEX(Registro!$B$2:$B$500,MATCH(146,Registro!$T$2:$T$500,0)),"")</f>
        <v/>
      </c>
      <c r="G147" s="49" t="str">
        <f>IFERROR(INDEX(Registro!$P$2:$P$500,MATCH(146,Registro!$T$2:$T$500,0)),"")</f>
        <v/>
      </c>
      <c r="H147" s="49" t="str">
        <f>IFERROR(INDEX(Registro!$Q$2:$Q$500,MATCH(146,Registro!$T$2:$T$500,0)),"")</f>
        <v/>
      </c>
    </row>
    <row r="148" spans="1:8" x14ac:dyDescent="0.25">
      <c r="A148" s="49" t="str">
        <f>IFERROR(INDEX(Registro!$E$2:$E$500,MATCH(147,Registro!$T$2:$T$500,0)),"")</f>
        <v/>
      </c>
      <c r="B148" s="49" t="str">
        <f>IFERROR(INDEX(Registro!$F$2:$F$500,MATCH(147,Registro!$T$2:$T$500,0)),"")</f>
        <v/>
      </c>
      <c r="C148" s="49" t="str">
        <f>IFERROR(INDEX(Registro!$G$2:$G$500,MATCH(147,Registro!$T$2:$T$500,0)),"")</f>
        <v/>
      </c>
      <c r="D148" s="49" t="str">
        <f>IFERROR(INDEX(Registro!$H$2:$H$500,MATCH(147,Registro!$T$2:$T$500,0)),"")</f>
        <v/>
      </c>
      <c r="E148" s="50" t="str">
        <f>IFERROR(INDEX(Registro!$C$2:$C$500,MATCH(147,Registro!$T$2:$T$500,0)),"")</f>
        <v/>
      </c>
      <c r="F148" s="49" t="str">
        <f>IFERROR(INDEX(Registro!$B$2:$B$500,MATCH(147,Registro!$T$2:$T$500,0)),"")</f>
        <v/>
      </c>
      <c r="G148" s="49" t="str">
        <f>IFERROR(INDEX(Registro!$P$2:$P$500,MATCH(147,Registro!$T$2:$T$500,0)),"")</f>
        <v/>
      </c>
      <c r="H148" s="49" t="str">
        <f>IFERROR(INDEX(Registro!$Q$2:$Q$500,MATCH(147,Registro!$T$2:$T$500,0)),"")</f>
        <v/>
      </c>
    </row>
    <row r="149" spans="1:8" x14ac:dyDescent="0.25">
      <c r="A149" s="49" t="str">
        <f>IFERROR(INDEX(Registro!$E$2:$E$500,MATCH(148,Registro!$T$2:$T$500,0)),"")</f>
        <v/>
      </c>
      <c r="B149" s="49" t="str">
        <f>IFERROR(INDEX(Registro!$F$2:$F$500,MATCH(148,Registro!$T$2:$T$500,0)),"")</f>
        <v/>
      </c>
      <c r="C149" s="49" t="str">
        <f>IFERROR(INDEX(Registro!$G$2:$G$500,MATCH(148,Registro!$T$2:$T$500,0)),"")</f>
        <v/>
      </c>
      <c r="D149" s="49" t="str">
        <f>IFERROR(INDEX(Registro!$H$2:$H$500,MATCH(148,Registro!$T$2:$T$500,0)),"")</f>
        <v/>
      </c>
      <c r="E149" s="50" t="str">
        <f>IFERROR(INDEX(Registro!$C$2:$C$500,MATCH(148,Registro!$T$2:$T$500,0)),"")</f>
        <v/>
      </c>
      <c r="F149" s="49" t="str">
        <f>IFERROR(INDEX(Registro!$B$2:$B$500,MATCH(148,Registro!$T$2:$T$500,0)),"")</f>
        <v/>
      </c>
      <c r="G149" s="49" t="str">
        <f>IFERROR(INDEX(Registro!$P$2:$P$500,MATCH(148,Registro!$T$2:$T$500,0)),"")</f>
        <v/>
      </c>
      <c r="H149" s="49" t="str">
        <f>IFERROR(INDEX(Registro!$Q$2:$Q$500,MATCH(148,Registro!$T$2:$T$500,0)),"")</f>
        <v/>
      </c>
    </row>
    <row r="150" spans="1:8" x14ac:dyDescent="0.25">
      <c r="A150" s="49" t="str">
        <f>IFERROR(INDEX(Registro!$E$2:$E$500,MATCH(149,Registro!$T$2:$T$500,0)),"")</f>
        <v/>
      </c>
      <c r="B150" s="49" t="str">
        <f>IFERROR(INDEX(Registro!$F$2:$F$500,MATCH(149,Registro!$T$2:$T$500,0)),"")</f>
        <v/>
      </c>
      <c r="C150" s="49" t="str">
        <f>IFERROR(INDEX(Registro!$G$2:$G$500,MATCH(149,Registro!$T$2:$T$500,0)),"")</f>
        <v/>
      </c>
      <c r="D150" s="49" t="str">
        <f>IFERROR(INDEX(Registro!$H$2:$H$500,MATCH(149,Registro!$T$2:$T$500,0)),"")</f>
        <v/>
      </c>
      <c r="E150" s="50" t="str">
        <f>IFERROR(INDEX(Registro!$C$2:$C$500,MATCH(149,Registro!$T$2:$T$500,0)),"")</f>
        <v/>
      </c>
      <c r="F150" s="49" t="str">
        <f>IFERROR(INDEX(Registro!$B$2:$B$500,MATCH(149,Registro!$T$2:$T$500,0)),"")</f>
        <v/>
      </c>
      <c r="G150" s="49" t="str">
        <f>IFERROR(INDEX(Registro!$P$2:$P$500,MATCH(149,Registro!$T$2:$T$500,0)),"")</f>
        <v/>
      </c>
      <c r="H150" s="49" t="str">
        <f>IFERROR(INDEX(Registro!$Q$2:$Q$500,MATCH(149,Registro!$T$2:$T$500,0)),"")</f>
        <v/>
      </c>
    </row>
    <row r="151" spans="1:8" x14ac:dyDescent="0.25">
      <c r="A151" s="49" t="str">
        <f>IFERROR(INDEX(Registro!$E$2:$E$500,MATCH(150,Registro!$T$2:$T$500,0)),"")</f>
        <v/>
      </c>
      <c r="B151" s="49" t="str">
        <f>IFERROR(INDEX(Registro!$F$2:$F$500,MATCH(150,Registro!$T$2:$T$500,0)),"")</f>
        <v/>
      </c>
      <c r="C151" s="49" t="str">
        <f>IFERROR(INDEX(Registro!$G$2:$G$500,MATCH(150,Registro!$T$2:$T$500,0)),"")</f>
        <v/>
      </c>
      <c r="D151" s="49" t="str">
        <f>IFERROR(INDEX(Registro!$H$2:$H$500,MATCH(150,Registro!$T$2:$T$500,0)),"")</f>
        <v/>
      </c>
      <c r="E151" s="50" t="str">
        <f>IFERROR(INDEX(Registro!$C$2:$C$500,MATCH(150,Registro!$T$2:$T$500,0)),"")</f>
        <v/>
      </c>
      <c r="F151" s="49" t="str">
        <f>IFERROR(INDEX(Registro!$B$2:$B$500,MATCH(150,Registro!$T$2:$T$500,0)),"")</f>
        <v/>
      </c>
      <c r="G151" s="49" t="str">
        <f>IFERROR(INDEX(Registro!$P$2:$P$500,MATCH(150,Registro!$T$2:$T$500,0)),"")</f>
        <v/>
      </c>
      <c r="H151" s="49" t="str">
        <f>IFERROR(INDEX(Registro!$Q$2:$Q$500,MATCH(150,Registro!$T$2:$T$500,0)),"")</f>
        <v/>
      </c>
    </row>
    <row r="152" spans="1:8" x14ac:dyDescent="0.25">
      <c r="A152" s="49" t="str">
        <f>IFERROR(INDEX(Registro!$E$2:$E$500,MATCH(151,Registro!$T$2:$T$500,0)),"")</f>
        <v/>
      </c>
      <c r="B152" s="49" t="str">
        <f>IFERROR(INDEX(Registro!$F$2:$F$500,MATCH(151,Registro!$T$2:$T$500,0)),"")</f>
        <v/>
      </c>
      <c r="C152" s="49" t="str">
        <f>IFERROR(INDEX(Registro!$G$2:$G$500,MATCH(151,Registro!$T$2:$T$500,0)),"")</f>
        <v/>
      </c>
      <c r="D152" s="49" t="str">
        <f>IFERROR(INDEX(Registro!$H$2:$H$500,MATCH(151,Registro!$T$2:$T$500,0)),"")</f>
        <v/>
      </c>
      <c r="E152" s="50" t="str">
        <f>IFERROR(INDEX(Registro!$C$2:$C$500,MATCH(151,Registro!$T$2:$T$500,0)),"")</f>
        <v/>
      </c>
      <c r="F152" s="49" t="str">
        <f>IFERROR(INDEX(Registro!$B$2:$B$500,MATCH(151,Registro!$T$2:$T$500,0)),"")</f>
        <v/>
      </c>
      <c r="G152" s="49" t="str">
        <f>IFERROR(INDEX(Registro!$P$2:$P$500,MATCH(151,Registro!$T$2:$T$500,0)),"")</f>
        <v/>
      </c>
      <c r="H152" s="49" t="str">
        <f>IFERROR(INDEX(Registro!$Q$2:$Q$500,MATCH(151,Registro!$T$2:$T$500,0)),"")</f>
        <v/>
      </c>
    </row>
    <row r="153" spans="1:8" x14ac:dyDescent="0.25">
      <c r="A153" s="49" t="str">
        <f>IFERROR(INDEX(Registro!$E$2:$E$500,MATCH(152,Registro!$T$2:$T$500,0)),"")</f>
        <v/>
      </c>
      <c r="B153" s="49" t="str">
        <f>IFERROR(INDEX(Registro!$F$2:$F$500,MATCH(152,Registro!$T$2:$T$500,0)),"")</f>
        <v/>
      </c>
      <c r="C153" s="49" t="str">
        <f>IFERROR(INDEX(Registro!$G$2:$G$500,MATCH(152,Registro!$T$2:$T$500,0)),"")</f>
        <v/>
      </c>
      <c r="D153" s="49" t="str">
        <f>IFERROR(INDEX(Registro!$H$2:$H$500,MATCH(152,Registro!$T$2:$T$500,0)),"")</f>
        <v/>
      </c>
      <c r="E153" s="50" t="str">
        <f>IFERROR(INDEX(Registro!$C$2:$C$500,MATCH(152,Registro!$T$2:$T$500,0)),"")</f>
        <v/>
      </c>
      <c r="F153" s="49" t="str">
        <f>IFERROR(INDEX(Registro!$B$2:$B$500,MATCH(152,Registro!$T$2:$T$500,0)),"")</f>
        <v/>
      </c>
      <c r="G153" s="49" t="str">
        <f>IFERROR(INDEX(Registro!$P$2:$P$500,MATCH(152,Registro!$T$2:$T$500,0)),"")</f>
        <v/>
      </c>
      <c r="H153" s="49" t="str">
        <f>IFERROR(INDEX(Registro!$Q$2:$Q$500,MATCH(152,Registro!$T$2:$T$500,0)),"")</f>
        <v/>
      </c>
    </row>
    <row r="154" spans="1:8" x14ac:dyDescent="0.25">
      <c r="A154" s="49" t="str">
        <f>IFERROR(INDEX(Registro!$E$2:$E$500,MATCH(153,Registro!$T$2:$T$500,0)),"")</f>
        <v/>
      </c>
      <c r="B154" s="49" t="str">
        <f>IFERROR(INDEX(Registro!$F$2:$F$500,MATCH(153,Registro!$T$2:$T$500,0)),"")</f>
        <v/>
      </c>
      <c r="C154" s="49" t="str">
        <f>IFERROR(INDEX(Registro!$G$2:$G$500,MATCH(153,Registro!$T$2:$T$500,0)),"")</f>
        <v/>
      </c>
      <c r="D154" s="49" t="str">
        <f>IFERROR(INDEX(Registro!$H$2:$H$500,MATCH(153,Registro!$T$2:$T$500,0)),"")</f>
        <v/>
      </c>
      <c r="E154" s="50" t="str">
        <f>IFERROR(INDEX(Registro!$C$2:$C$500,MATCH(153,Registro!$T$2:$T$500,0)),"")</f>
        <v/>
      </c>
      <c r="F154" s="49" t="str">
        <f>IFERROR(INDEX(Registro!$B$2:$B$500,MATCH(153,Registro!$T$2:$T$500,0)),"")</f>
        <v/>
      </c>
      <c r="G154" s="49" t="str">
        <f>IFERROR(INDEX(Registro!$P$2:$P$500,MATCH(153,Registro!$T$2:$T$500,0)),"")</f>
        <v/>
      </c>
      <c r="H154" s="49" t="str">
        <f>IFERROR(INDEX(Registro!$Q$2:$Q$500,MATCH(153,Registro!$T$2:$T$500,0)),"")</f>
        <v/>
      </c>
    </row>
    <row r="155" spans="1:8" x14ac:dyDescent="0.25">
      <c r="A155" s="49" t="str">
        <f>IFERROR(INDEX(Registro!$E$2:$E$500,MATCH(154,Registro!$T$2:$T$500,0)),"")</f>
        <v/>
      </c>
      <c r="B155" s="49" t="str">
        <f>IFERROR(INDEX(Registro!$F$2:$F$500,MATCH(154,Registro!$T$2:$T$500,0)),"")</f>
        <v/>
      </c>
      <c r="C155" s="49" t="str">
        <f>IFERROR(INDEX(Registro!$G$2:$G$500,MATCH(154,Registro!$T$2:$T$500,0)),"")</f>
        <v/>
      </c>
      <c r="D155" s="49" t="str">
        <f>IFERROR(INDEX(Registro!$H$2:$H$500,MATCH(154,Registro!$T$2:$T$500,0)),"")</f>
        <v/>
      </c>
      <c r="E155" s="50" t="str">
        <f>IFERROR(INDEX(Registro!$C$2:$C$500,MATCH(154,Registro!$T$2:$T$500,0)),"")</f>
        <v/>
      </c>
      <c r="F155" s="49" t="str">
        <f>IFERROR(INDEX(Registro!$B$2:$B$500,MATCH(154,Registro!$T$2:$T$500,0)),"")</f>
        <v/>
      </c>
      <c r="G155" s="49" t="str">
        <f>IFERROR(INDEX(Registro!$P$2:$P$500,MATCH(154,Registro!$T$2:$T$500,0)),"")</f>
        <v/>
      </c>
      <c r="H155" s="49" t="str">
        <f>IFERROR(INDEX(Registro!$Q$2:$Q$500,MATCH(154,Registro!$T$2:$T$500,0)),"")</f>
        <v/>
      </c>
    </row>
    <row r="156" spans="1:8" x14ac:dyDescent="0.25">
      <c r="A156" s="49" t="str">
        <f>IFERROR(INDEX(Registro!$E$2:$E$500,MATCH(155,Registro!$T$2:$T$500,0)),"")</f>
        <v/>
      </c>
      <c r="B156" s="49" t="str">
        <f>IFERROR(INDEX(Registro!$F$2:$F$500,MATCH(155,Registro!$T$2:$T$500,0)),"")</f>
        <v/>
      </c>
      <c r="C156" s="49" t="str">
        <f>IFERROR(INDEX(Registro!$G$2:$G$500,MATCH(155,Registro!$T$2:$T$500,0)),"")</f>
        <v/>
      </c>
      <c r="D156" s="49" t="str">
        <f>IFERROR(INDEX(Registro!$H$2:$H$500,MATCH(155,Registro!$T$2:$T$500,0)),"")</f>
        <v/>
      </c>
      <c r="E156" s="50" t="str">
        <f>IFERROR(INDEX(Registro!$C$2:$C$500,MATCH(155,Registro!$T$2:$T$500,0)),"")</f>
        <v/>
      </c>
      <c r="F156" s="49" t="str">
        <f>IFERROR(INDEX(Registro!$B$2:$B$500,MATCH(155,Registro!$T$2:$T$500,0)),"")</f>
        <v/>
      </c>
      <c r="G156" s="49" t="str">
        <f>IFERROR(INDEX(Registro!$P$2:$P$500,MATCH(155,Registro!$T$2:$T$500,0)),"")</f>
        <v/>
      </c>
      <c r="H156" s="49" t="str">
        <f>IFERROR(INDEX(Registro!$Q$2:$Q$500,MATCH(155,Registro!$T$2:$T$500,0)),"")</f>
        <v/>
      </c>
    </row>
    <row r="157" spans="1:8" x14ac:dyDescent="0.25">
      <c r="A157" s="49" t="str">
        <f>IFERROR(INDEX(Registro!$E$2:$E$500,MATCH(156,Registro!$T$2:$T$500,0)),"")</f>
        <v/>
      </c>
      <c r="B157" s="49" t="str">
        <f>IFERROR(INDEX(Registro!$F$2:$F$500,MATCH(156,Registro!$T$2:$T$500,0)),"")</f>
        <v/>
      </c>
      <c r="C157" s="49" t="str">
        <f>IFERROR(INDEX(Registro!$G$2:$G$500,MATCH(156,Registro!$T$2:$T$500,0)),"")</f>
        <v/>
      </c>
      <c r="D157" s="49" t="str">
        <f>IFERROR(INDEX(Registro!$H$2:$H$500,MATCH(156,Registro!$T$2:$T$500,0)),"")</f>
        <v/>
      </c>
      <c r="E157" s="50" t="str">
        <f>IFERROR(INDEX(Registro!$C$2:$C$500,MATCH(156,Registro!$T$2:$T$500,0)),"")</f>
        <v/>
      </c>
      <c r="F157" s="49" t="str">
        <f>IFERROR(INDEX(Registro!$B$2:$B$500,MATCH(156,Registro!$T$2:$T$500,0)),"")</f>
        <v/>
      </c>
      <c r="G157" s="49" t="str">
        <f>IFERROR(INDEX(Registro!$P$2:$P$500,MATCH(156,Registro!$T$2:$T$500,0)),"")</f>
        <v/>
      </c>
      <c r="H157" s="49" t="str">
        <f>IFERROR(INDEX(Registro!$Q$2:$Q$500,MATCH(156,Registro!$T$2:$T$500,0)),"")</f>
        <v/>
      </c>
    </row>
    <row r="158" spans="1:8" x14ac:dyDescent="0.25">
      <c r="A158" s="49" t="str">
        <f>IFERROR(INDEX(Registro!$E$2:$E$500,MATCH(157,Registro!$T$2:$T$500,0)),"")</f>
        <v/>
      </c>
      <c r="B158" s="49" t="str">
        <f>IFERROR(INDEX(Registro!$F$2:$F$500,MATCH(157,Registro!$T$2:$T$500,0)),"")</f>
        <v/>
      </c>
      <c r="C158" s="49" t="str">
        <f>IFERROR(INDEX(Registro!$G$2:$G$500,MATCH(157,Registro!$T$2:$T$500,0)),"")</f>
        <v/>
      </c>
      <c r="D158" s="49" t="str">
        <f>IFERROR(INDEX(Registro!$H$2:$H$500,MATCH(157,Registro!$T$2:$T$500,0)),"")</f>
        <v/>
      </c>
      <c r="E158" s="50" t="str">
        <f>IFERROR(INDEX(Registro!$C$2:$C$500,MATCH(157,Registro!$T$2:$T$500,0)),"")</f>
        <v/>
      </c>
      <c r="F158" s="49" t="str">
        <f>IFERROR(INDEX(Registro!$B$2:$B$500,MATCH(157,Registro!$T$2:$T$500,0)),"")</f>
        <v/>
      </c>
      <c r="G158" s="49" t="str">
        <f>IFERROR(INDEX(Registro!$P$2:$P$500,MATCH(157,Registro!$T$2:$T$500,0)),"")</f>
        <v/>
      </c>
      <c r="H158" s="49" t="str">
        <f>IFERROR(INDEX(Registro!$Q$2:$Q$500,MATCH(157,Registro!$T$2:$T$500,0)),"")</f>
        <v/>
      </c>
    </row>
    <row r="159" spans="1:8" x14ac:dyDescent="0.25">
      <c r="A159" s="49" t="str">
        <f>IFERROR(INDEX(Registro!$E$2:$E$500,MATCH(158,Registro!$T$2:$T$500,0)),"")</f>
        <v/>
      </c>
      <c r="B159" s="49" t="str">
        <f>IFERROR(INDEX(Registro!$F$2:$F$500,MATCH(158,Registro!$T$2:$T$500,0)),"")</f>
        <v/>
      </c>
      <c r="C159" s="49" t="str">
        <f>IFERROR(INDEX(Registro!$G$2:$G$500,MATCH(158,Registro!$T$2:$T$500,0)),"")</f>
        <v/>
      </c>
      <c r="D159" s="49" t="str">
        <f>IFERROR(INDEX(Registro!$H$2:$H$500,MATCH(158,Registro!$T$2:$T$500,0)),"")</f>
        <v/>
      </c>
      <c r="E159" s="50" t="str">
        <f>IFERROR(INDEX(Registro!$C$2:$C$500,MATCH(158,Registro!$T$2:$T$500,0)),"")</f>
        <v/>
      </c>
      <c r="F159" s="49" t="str">
        <f>IFERROR(INDEX(Registro!$B$2:$B$500,MATCH(158,Registro!$T$2:$T$500,0)),"")</f>
        <v/>
      </c>
      <c r="G159" s="49" t="str">
        <f>IFERROR(INDEX(Registro!$P$2:$P$500,MATCH(158,Registro!$T$2:$T$500,0)),"")</f>
        <v/>
      </c>
      <c r="H159" s="49" t="str">
        <f>IFERROR(INDEX(Registro!$Q$2:$Q$500,MATCH(158,Registro!$T$2:$T$500,0)),"")</f>
        <v/>
      </c>
    </row>
    <row r="160" spans="1:8" x14ac:dyDescent="0.25">
      <c r="A160" s="49" t="str">
        <f>IFERROR(INDEX(Registro!$E$2:$E$500,MATCH(159,Registro!$T$2:$T$500,0)),"")</f>
        <v/>
      </c>
      <c r="B160" s="49" t="str">
        <f>IFERROR(INDEX(Registro!$F$2:$F$500,MATCH(159,Registro!$T$2:$T$500,0)),"")</f>
        <v/>
      </c>
      <c r="C160" s="49" t="str">
        <f>IFERROR(INDEX(Registro!$G$2:$G$500,MATCH(159,Registro!$T$2:$T$500,0)),"")</f>
        <v/>
      </c>
      <c r="D160" s="49" t="str">
        <f>IFERROR(INDEX(Registro!$H$2:$H$500,MATCH(159,Registro!$T$2:$T$500,0)),"")</f>
        <v/>
      </c>
      <c r="E160" s="50" t="str">
        <f>IFERROR(INDEX(Registro!$C$2:$C$500,MATCH(159,Registro!$T$2:$T$500,0)),"")</f>
        <v/>
      </c>
      <c r="F160" s="49" t="str">
        <f>IFERROR(INDEX(Registro!$B$2:$B$500,MATCH(159,Registro!$T$2:$T$500,0)),"")</f>
        <v/>
      </c>
      <c r="G160" s="49" t="str">
        <f>IFERROR(INDEX(Registro!$P$2:$P$500,MATCH(159,Registro!$T$2:$T$500,0)),"")</f>
        <v/>
      </c>
      <c r="H160" s="49" t="str">
        <f>IFERROR(INDEX(Registro!$Q$2:$Q$500,MATCH(159,Registro!$T$2:$T$500,0)),"")</f>
        <v/>
      </c>
    </row>
    <row r="161" spans="1:8" x14ac:dyDescent="0.25">
      <c r="A161" s="49" t="str">
        <f>IFERROR(INDEX(Registro!$E$2:$E$500,MATCH(160,Registro!$T$2:$T$500,0)),"")</f>
        <v/>
      </c>
      <c r="B161" s="49" t="str">
        <f>IFERROR(INDEX(Registro!$F$2:$F$500,MATCH(160,Registro!$T$2:$T$500,0)),"")</f>
        <v/>
      </c>
      <c r="C161" s="49" t="str">
        <f>IFERROR(INDEX(Registro!$G$2:$G$500,MATCH(160,Registro!$T$2:$T$500,0)),"")</f>
        <v/>
      </c>
      <c r="D161" s="49" t="str">
        <f>IFERROR(INDEX(Registro!$H$2:$H$500,MATCH(160,Registro!$T$2:$T$500,0)),"")</f>
        <v/>
      </c>
      <c r="E161" s="50" t="str">
        <f>IFERROR(INDEX(Registro!$C$2:$C$500,MATCH(160,Registro!$T$2:$T$500,0)),"")</f>
        <v/>
      </c>
      <c r="F161" s="49" t="str">
        <f>IFERROR(INDEX(Registro!$B$2:$B$500,MATCH(160,Registro!$T$2:$T$500,0)),"")</f>
        <v/>
      </c>
      <c r="G161" s="49" t="str">
        <f>IFERROR(INDEX(Registro!$P$2:$P$500,MATCH(160,Registro!$T$2:$T$500,0)),"")</f>
        <v/>
      </c>
      <c r="H161" s="49" t="str">
        <f>IFERROR(INDEX(Registro!$Q$2:$Q$500,MATCH(160,Registro!$T$2:$T$500,0)),"")</f>
        <v/>
      </c>
    </row>
    <row r="162" spans="1:8" x14ac:dyDescent="0.25">
      <c r="A162" s="49" t="str">
        <f>IFERROR(INDEX(Registro!$E$2:$E$500,MATCH(161,Registro!$T$2:$T$500,0)),"")</f>
        <v/>
      </c>
      <c r="B162" s="49" t="str">
        <f>IFERROR(INDEX(Registro!$F$2:$F$500,MATCH(161,Registro!$T$2:$T$500,0)),"")</f>
        <v/>
      </c>
      <c r="C162" s="49" t="str">
        <f>IFERROR(INDEX(Registro!$G$2:$G$500,MATCH(161,Registro!$T$2:$T$500,0)),"")</f>
        <v/>
      </c>
      <c r="D162" s="49" t="str">
        <f>IFERROR(INDEX(Registro!$H$2:$H$500,MATCH(161,Registro!$T$2:$T$500,0)),"")</f>
        <v/>
      </c>
      <c r="E162" s="50" t="str">
        <f>IFERROR(INDEX(Registro!$C$2:$C$500,MATCH(161,Registro!$T$2:$T$500,0)),"")</f>
        <v/>
      </c>
      <c r="F162" s="49" t="str">
        <f>IFERROR(INDEX(Registro!$B$2:$B$500,MATCH(161,Registro!$T$2:$T$500,0)),"")</f>
        <v/>
      </c>
      <c r="G162" s="49" t="str">
        <f>IFERROR(INDEX(Registro!$P$2:$P$500,MATCH(161,Registro!$T$2:$T$500,0)),"")</f>
        <v/>
      </c>
      <c r="H162" s="49" t="str">
        <f>IFERROR(INDEX(Registro!$Q$2:$Q$500,MATCH(161,Registro!$T$2:$T$500,0)),"")</f>
        <v/>
      </c>
    </row>
    <row r="163" spans="1:8" x14ac:dyDescent="0.25">
      <c r="A163" s="49" t="str">
        <f>IFERROR(INDEX(Registro!$E$2:$E$500,MATCH(162,Registro!$T$2:$T$500,0)),"")</f>
        <v/>
      </c>
      <c r="B163" s="49" t="str">
        <f>IFERROR(INDEX(Registro!$F$2:$F$500,MATCH(162,Registro!$T$2:$T$500,0)),"")</f>
        <v/>
      </c>
      <c r="C163" s="49" t="str">
        <f>IFERROR(INDEX(Registro!$G$2:$G$500,MATCH(162,Registro!$T$2:$T$500,0)),"")</f>
        <v/>
      </c>
      <c r="D163" s="49" t="str">
        <f>IFERROR(INDEX(Registro!$H$2:$H$500,MATCH(162,Registro!$T$2:$T$500,0)),"")</f>
        <v/>
      </c>
      <c r="E163" s="50" t="str">
        <f>IFERROR(INDEX(Registro!$C$2:$C$500,MATCH(162,Registro!$T$2:$T$500,0)),"")</f>
        <v/>
      </c>
      <c r="F163" s="49" t="str">
        <f>IFERROR(INDEX(Registro!$B$2:$B$500,MATCH(162,Registro!$T$2:$T$500,0)),"")</f>
        <v/>
      </c>
      <c r="G163" s="49" t="str">
        <f>IFERROR(INDEX(Registro!$P$2:$P$500,MATCH(162,Registro!$T$2:$T$500,0)),"")</f>
        <v/>
      </c>
      <c r="H163" s="49" t="str">
        <f>IFERROR(INDEX(Registro!$Q$2:$Q$500,MATCH(162,Registro!$T$2:$T$500,0)),"")</f>
        <v/>
      </c>
    </row>
    <row r="164" spans="1:8" x14ac:dyDescent="0.25">
      <c r="A164" s="49" t="str">
        <f>IFERROR(INDEX(Registro!$E$2:$E$500,MATCH(163,Registro!$T$2:$T$500,0)),"")</f>
        <v/>
      </c>
      <c r="B164" s="49" t="str">
        <f>IFERROR(INDEX(Registro!$F$2:$F$500,MATCH(163,Registro!$T$2:$T$500,0)),"")</f>
        <v/>
      </c>
      <c r="C164" s="49" t="str">
        <f>IFERROR(INDEX(Registro!$G$2:$G$500,MATCH(163,Registro!$T$2:$T$500,0)),"")</f>
        <v/>
      </c>
      <c r="D164" s="49" t="str">
        <f>IFERROR(INDEX(Registro!$H$2:$H$500,MATCH(163,Registro!$T$2:$T$500,0)),"")</f>
        <v/>
      </c>
      <c r="E164" s="50" t="str">
        <f>IFERROR(INDEX(Registro!$C$2:$C$500,MATCH(163,Registro!$T$2:$T$500,0)),"")</f>
        <v/>
      </c>
      <c r="F164" s="49" t="str">
        <f>IFERROR(INDEX(Registro!$B$2:$B$500,MATCH(163,Registro!$T$2:$T$500,0)),"")</f>
        <v/>
      </c>
      <c r="G164" s="49" t="str">
        <f>IFERROR(INDEX(Registro!$P$2:$P$500,MATCH(163,Registro!$T$2:$T$500,0)),"")</f>
        <v/>
      </c>
      <c r="H164" s="49" t="str">
        <f>IFERROR(INDEX(Registro!$Q$2:$Q$500,MATCH(163,Registro!$T$2:$T$500,0)),"")</f>
        <v/>
      </c>
    </row>
    <row r="165" spans="1:8" x14ac:dyDescent="0.25">
      <c r="A165" s="49" t="str">
        <f>IFERROR(INDEX(Registro!$E$2:$E$500,MATCH(164,Registro!$T$2:$T$500,0)),"")</f>
        <v/>
      </c>
      <c r="B165" s="49" t="str">
        <f>IFERROR(INDEX(Registro!$F$2:$F$500,MATCH(164,Registro!$T$2:$T$500,0)),"")</f>
        <v/>
      </c>
      <c r="C165" s="49" t="str">
        <f>IFERROR(INDEX(Registro!$G$2:$G$500,MATCH(164,Registro!$T$2:$T$500,0)),"")</f>
        <v/>
      </c>
      <c r="D165" s="49" t="str">
        <f>IFERROR(INDEX(Registro!$H$2:$H$500,MATCH(164,Registro!$T$2:$T$500,0)),"")</f>
        <v/>
      </c>
      <c r="E165" s="50" t="str">
        <f>IFERROR(INDEX(Registro!$C$2:$C$500,MATCH(164,Registro!$T$2:$T$500,0)),"")</f>
        <v/>
      </c>
      <c r="F165" s="49" t="str">
        <f>IFERROR(INDEX(Registro!$B$2:$B$500,MATCH(164,Registro!$T$2:$T$500,0)),"")</f>
        <v/>
      </c>
      <c r="G165" s="49" t="str">
        <f>IFERROR(INDEX(Registro!$P$2:$P$500,MATCH(164,Registro!$T$2:$T$500,0)),"")</f>
        <v/>
      </c>
      <c r="H165" s="49" t="str">
        <f>IFERROR(INDEX(Registro!$Q$2:$Q$500,MATCH(164,Registro!$T$2:$T$500,0)),"")</f>
        <v/>
      </c>
    </row>
    <row r="166" spans="1:8" x14ac:dyDescent="0.25">
      <c r="A166" s="49" t="str">
        <f>IFERROR(INDEX(Registro!$E$2:$E$500,MATCH(165,Registro!$T$2:$T$500,0)),"")</f>
        <v/>
      </c>
      <c r="B166" s="49" t="str">
        <f>IFERROR(INDEX(Registro!$F$2:$F$500,MATCH(165,Registro!$T$2:$T$500,0)),"")</f>
        <v/>
      </c>
      <c r="C166" s="49" t="str">
        <f>IFERROR(INDEX(Registro!$G$2:$G$500,MATCH(165,Registro!$T$2:$T$500,0)),"")</f>
        <v/>
      </c>
      <c r="D166" s="49" t="str">
        <f>IFERROR(INDEX(Registro!$H$2:$H$500,MATCH(165,Registro!$T$2:$T$500,0)),"")</f>
        <v/>
      </c>
      <c r="E166" s="50" t="str">
        <f>IFERROR(INDEX(Registro!$C$2:$C$500,MATCH(165,Registro!$T$2:$T$500,0)),"")</f>
        <v/>
      </c>
      <c r="F166" s="49" t="str">
        <f>IFERROR(INDEX(Registro!$B$2:$B$500,MATCH(165,Registro!$T$2:$T$500,0)),"")</f>
        <v/>
      </c>
      <c r="G166" s="49" t="str">
        <f>IFERROR(INDEX(Registro!$P$2:$P$500,MATCH(165,Registro!$T$2:$T$500,0)),"")</f>
        <v/>
      </c>
      <c r="H166" s="49" t="str">
        <f>IFERROR(INDEX(Registro!$Q$2:$Q$500,MATCH(165,Registro!$T$2:$T$500,0)),"")</f>
        <v/>
      </c>
    </row>
    <row r="167" spans="1:8" x14ac:dyDescent="0.25">
      <c r="A167" s="49" t="str">
        <f>IFERROR(INDEX(Registro!$E$2:$E$500,MATCH(166,Registro!$T$2:$T$500,0)),"")</f>
        <v/>
      </c>
      <c r="B167" s="49" t="str">
        <f>IFERROR(INDEX(Registro!$F$2:$F$500,MATCH(166,Registro!$T$2:$T$500,0)),"")</f>
        <v/>
      </c>
      <c r="C167" s="49" t="str">
        <f>IFERROR(INDEX(Registro!$G$2:$G$500,MATCH(166,Registro!$T$2:$T$500,0)),"")</f>
        <v/>
      </c>
      <c r="D167" s="49" t="str">
        <f>IFERROR(INDEX(Registro!$H$2:$H$500,MATCH(166,Registro!$T$2:$T$500,0)),"")</f>
        <v/>
      </c>
      <c r="E167" s="50" t="str">
        <f>IFERROR(INDEX(Registro!$C$2:$C$500,MATCH(166,Registro!$T$2:$T$500,0)),"")</f>
        <v/>
      </c>
      <c r="F167" s="49" t="str">
        <f>IFERROR(INDEX(Registro!$B$2:$B$500,MATCH(166,Registro!$T$2:$T$500,0)),"")</f>
        <v/>
      </c>
      <c r="G167" s="49" t="str">
        <f>IFERROR(INDEX(Registro!$P$2:$P$500,MATCH(166,Registro!$T$2:$T$500,0)),"")</f>
        <v/>
      </c>
      <c r="H167" s="49" t="str">
        <f>IFERROR(INDEX(Registro!$Q$2:$Q$500,MATCH(166,Registro!$T$2:$T$500,0)),"")</f>
        <v/>
      </c>
    </row>
    <row r="168" spans="1:8" x14ac:dyDescent="0.25">
      <c r="A168" s="49" t="str">
        <f>IFERROR(INDEX(Registro!$E$2:$E$500,MATCH(167,Registro!$T$2:$T$500,0)),"")</f>
        <v/>
      </c>
      <c r="B168" s="49" t="str">
        <f>IFERROR(INDEX(Registro!$F$2:$F$500,MATCH(167,Registro!$T$2:$T$500,0)),"")</f>
        <v/>
      </c>
      <c r="C168" s="49" t="str">
        <f>IFERROR(INDEX(Registro!$G$2:$G$500,MATCH(167,Registro!$T$2:$T$500,0)),"")</f>
        <v/>
      </c>
      <c r="D168" s="49" t="str">
        <f>IFERROR(INDEX(Registro!$H$2:$H$500,MATCH(167,Registro!$T$2:$T$500,0)),"")</f>
        <v/>
      </c>
      <c r="E168" s="50" t="str">
        <f>IFERROR(INDEX(Registro!$C$2:$C$500,MATCH(167,Registro!$T$2:$T$500,0)),"")</f>
        <v/>
      </c>
      <c r="F168" s="49" t="str">
        <f>IFERROR(INDEX(Registro!$B$2:$B$500,MATCH(167,Registro!$T$2:$T$500,0)),"")</f>
        <v/>
      </c>
      <c r="G168" s="49" t="str">
        <f>IFERROR(INDEX(Registro!$P$2:$P$500,MATCH(167,Registro!$T$2:$T$500,0)),"")</f>
        <v/>
      </c>
      <c r="H168" s="49" t="str">
        <f>IFERROR(INDEX(Registro!$Q$2:$Q$500,MATCH(167,Registro!$T$2:$T$500,0)),"")</f>
        <v/>
      </c>
    </row>
    <row r="169" spans="1:8" x14ac:dyDescent="0.25">
      <c r="A169" s="49" t="str">
        <f>IFERROR(INDEX(Registro!$E$2:$E$500,MATCH(168,Registro!$T$2:$T$500,0)),"")</f>
        <v/>
      </c>
      <c r="B169" s="49" t="str">
        <f>IFERROR(INDEX(Registro!$F$2:$F$500,MATCH(168,Registro!$T$2:$T$500,0)),"")</f>
        <v/>
      </c>
      <c r="C169" s="49" t="str">
        <f>IFERROR(INDEX(Registro!$G$2:$G$500,MATCH(168,Registro!$T$2:$T$500,0)),"")</f>
        <v/>
      </c>
      <c r="D169" s="49" t="str">
        <f>IFERROR(INDEX(Registro!$H$2:$H$500,MATCH(168,Registro!$T$2:$T$500,0)),"")</f>
        <v/>
      </c>
      <c r="E169" s="50" t="str">
        <f>IFERROR(INDEX(Registro!$C$2:$C$500,MATCH(168,Registro!$T$2:$T$500,0)),"")</f>
        <v/>
      </c>
      <c r="F169" s="49" t="str">
        <f>IFERROR(INDEX(Registro!$B$2:$B$500,MATCH(168,Registro!$T$2:$T$500,0)),"")</f>
        <v/>
      </c>
      <c r="G169" s="49" t="str">
        <f>IFERROR(INDEX(Registro!$P$2:$P$500,MATCH(168,Registro!$T$2:$T$500,0)),"")</f>
        <v/>
      </c>
      <c r="H169" s="49" t="str">
        <f>IFERROR(INDEX(Registro!$Q$2:$Q$500,MATCH(168,Registro!$T$2:$T$500,0)),"")</f>
        <v/>
      </c>
    </row>
    <row r="170" spans="1:8" x14ac:dyDescent="0.25">
      <c r="A170" s="49" t="str">
        <f>IFERROR(INDEX(Registro!$E$2:$E$500,MATCH(169,Registro!$T$2:$T$500,0)),"")</f>
        <v/>
      </c>
      <c r="B170" s="49" t="str">
        <f>IFERROR(INDEX(Registro!$F$2:$F$500,MATCH(169,Registro!$T$2:$T$500,0)),"")</f>
        <v/>
      </c>
      <c r="C170" s="49" t="str">
        <f>IFERROR(INDEX(Registro!$G$2:$G$500,MATCH(169,Registro!$T$2:$T$500,0)),"")</f>
        <v/>
      </c>
      <c r="D170" s="49" t="str">
        <f>IFERROR(INDEX(Registro!$H$2:$H$500,MATCH(169,Registro!$T$2:$T$500,0)),"")</f>
        <v/>
      </c>
      <c r="E170" s="50" t="str">
        <f>IFERROR(INDEX(Registro!$C$2:$C$500,MATCH(169,Registro!$T$2:$T$500,0)),"")</f>
        <v/>
      </c>
      <c r="F170" s="49" t="str">
        <f>IFERROR(INDEX(Registro!$B$2:$B$500,MATCH(169,Registro!$T$2:$T$500,0)),"")</f>
        <v/>
      </c>
      <c r="G170" s="49" t="str">
        <f>IFERROR(INDEX(Registro!$P$2:$P$500,MATCH(169,Registro!$T$2:$T$500,0)),"")</f>
        <v/>
      </c>
      <c r="H170" s="49" t="str">
        <f>IFERROR(INDEX(Registro!$Q$2:$Q$500,MATCH(169,Registro!$T$2:$T$500,0)),"")</f>
        <v/>
      </c>
    </row>
    <row r="171" spans="1:8" x14ac:dyDescent="0.25">
      <c r="A171" s="49" t="str">
        <f>IFERROR(INDEX(Registro!$E$2:$E$500,MATCH(170,Registro!$T$2:$T$500,0)),"")</f>
        <v/>
      </c>
      <c r="B171" s="49" t="str">
        <f>IFERROR(INDEX(Registro!$F$2:$F$500,MATCH(170,Registro!$T$2:$T$500,0)),"")</f>
        <v/>
      </c>
      <c r="C171" s="49" t="str">
        <f>IFERROR(INDEX(Registro!$G$2:$G$500,MATCH(170,Registro!$T$2:$T$500,0)),"")</f>
        <v/>
      </c>
      <c r="D171" s="49" t="str">
        <f>IFERROR(INDEX(Registro!$H$2:$H$500,MATCH(170,Registro!$T$2:$T$500,0)),"")</f>
        <v/>
      </c>
      <c r="E171" s="50" t="str">
        <f>IFERROR(INDEX(Registro!$C$2:$C$500,MATCH(170,Registro!$T$2:$T$500,0)),"")</f>
        <v/>
      </c>
      <c r="F171" s="49" t="str">
        <f>IFERROR(INDEX(Registro!$B$2:$B$500,MATCH(170,Registro!$T$2:$T$500,0)),"")</f>
        <v/>
      </c>
      <c r="G171" s="49" t="str">
        <f>IFERROR(INDEX(Registro!$P$2:$P$500,MATCH(170,Registro!$T$2:$T$500,0)),"")</f>
        <v/>
      </c>
      <c r="H171" s="49" t="str">
        <f>IFERROR(INDEX(Registro!$Q$2:$Q$500,MATCH(170,Registro!$T$2:$T$500,0)),"")</f>
        <v/>
      </c>
    </row>
    <row r="172" spans="1:8" x14ac:dyDescent="0.25">
      <c r="A172" s="49" t="str">
        <f>IFERROR(INDEX(Registro!$E$2:$E$500,MATCH(171,Registro!$T$2:$T$500,0)),"")</f>
        <v/>
      </c>
      <c r="B172" s="49" t="str">
        <f>IFERROR(INDEX(Registro!$F$2:$F$500,MATCH(171,Registro!$T$2:$T$500,0)),"")</f>
        <v/>
      </c>
      <c r="C172" s="49" t="str">
        <f>IFERROR(INDEX(Registro!$G$2:$G$500,MATCH(171,Registro!$T$2:$T$500,0)),"")</f>
        <v/>
      </c>
      <c r="D172" s="49" t="str">
        <f>IFERROR(INDEX(Registro!$H$2:$H$500,MATCH(171,Registro!$T$2:$T$500,0)),"")</f>
        <v/>
      </c>
      <c r="E172" s="50" t="str">
        <f>IFERROR(INDEX(Registro!$C$2:$C$500,MATCH(171,Registro!$T$2:$T$500,0)),"")</f>
        <v/>
      </c>
      <c r="F172" s="49" t="str">
        <f>IFERROR(INDEX(Registro!$B$2:$B$500,MATCH(171,Registro!$T$2:$T$500,0)),"")</f>
        <v/>
      </c>
      <c r="G172" s="49" t="str">
        <f>IFERROR(INDEX(Registro!$P$2:$P$500,MATCH(171,Registro!$T$2:$T$500,0)),"")</f>
        <v/>
      </c>
      <c r="H172" s="49" t="str">
        <f>IFERROR(INDEX(Registro!$Q$2:$Q$500,MATCH(171,Registro!$T$2:$T$500,0)),"")</f>
        <v/>
      </c>
    </row>
    <row r="173" spans="1:8" x14ac:dyDescent="0.25">
      <c r="A173" s="49" t="str">
        <f>IFERROR(INDEX(Registro!$E$2:$E$500,MATCH(172,Registro!$T$2:$T$500,0)),"")</f>
        <v/>
      </c>
      <c r="B173" s="49" t="str">
        <f>IFERROR(INDEX(Registro!$F$2:$F$500,MATCH(172,Registro!$T$2:$T$500,0)),"")</f>
        <v/>
      </c>
      <c r="C173" s="49" t="str">
        <f>IFERROR(INDEX(Registro!$G$2:$G$500,MATCH(172,Registro!$T$2:$T$500,0)),"")</f>
        <v/>
      </c>
      <c r="D173" s="49" t="str">
        <f>IFERROR(INDEX(Registro!$H$2:$H$500,MATCH(172,Registro!$T$2:$T$500,0)),"")</f>
        <v/>
      </c>
      <c r="E173" s="50" t="str">
        <f>IFERROR(INDEX(Registro!$C$2:$C$500,MATCH(172,Registro!$T$2:$T$500,0)),"")</f>
        <v/>
      </c>
      <c r="F173" s="49" t="str">
        <f>IFERROR(INDEX(Registro!$B$2:$B$500,MATCH(172,Registro!$T$2:$T$500,0)),"")</f>
        <v/>
      </c>
      <c r="G173" s="49" t="str">
        <f>IFERROR(INDEX(Registro!$P$2:$P$500,MATCH(172,Registro!$T$2:$T$500,0)),"")</f>
        <v/>
      </c>
      <c r="H173" s="49" t="str">
        <f>IFERROR(INDEX(Registro!$Q$2:$Q$500,MATCH(172,Registro!$T$2:$T$500,0)),"")</f>
        <v/>
      </c>
    </row>
    <row r="174" spans="1:8" x14ac:dyDescent="0.25">
      <c r="A174" s="49" t="str">
        <f>IFERROR(INDEX(Registro!$E$2:$E$500,MATCH(173,Registro!$T$2:$T$500,0)),"")</f>
        <v/>
      </c>
      <c r="B174" s="49" t="str">
        <f>IFERROR(INDEX(Registro!$F$2:$F$500,MATCH(173,Registro!$T$2:$T$500,0)),"")</f>
        <v/>
      </c>
      <c r="C174" s="49" t="str">
        <f>IFERROR(INDEX(Registro!$G$2:$G$500,MATCH(173,Registro!$T$2:$T$500,0)),"")</f>
        <v/>
      </c>
      <c r="D174" s="49" t="str">
        <f>IFERROR(INDEX(Registro!$H$2:$H$500,MATCH(173,Registro!$T$2:$T$500,0)),"")</f>
        <v/>
      </c>
      <c r="E174" s="50" t="str">
        <f>IFERROR(INDEX(Registro!$C$2:$C$500,MATCH(173,Registro!$T$2:$T$500,0)),"")</f>
        <v/>
      </c>
      <c r="F174" s="49" t="str">
        <f>IFERROR(INDEX(Registro!$B$2:$B$500,MATCH(173,Registro!$T$2:$T$500,0)),"")</f>
        <v/>
      </c>
      <c r="G174" s="49" t="str">
        <f>IFERROR(INDEX(Registro!$P$2:$P$500,MATCH(173,Registro!$T$2:$T$500,0)),"")</f>
        <v/>
      </c>
      <c r="H174" s="49" t="str">
        <f>IFERROR(INDEX(Registro!$Q$2:$Q$500,MATCH(173,Registro!$T$2:$T$500,0)),"")</f>
        <v/>
      </c>
    </row>
    <row r="175" spans="1:8" x14ac:dyDescent="0.25">
      <c r="A175" s="49" t="str">
        <f>IFERROR(INDEX(Registro!$E$2:$E$500,MATCH(174,Registro!$T$2:$T$500,0)),"")</f>
        <v/>
      </c>
      <c r="B175" s="49" t="str">
        <f>IFERROR(INDEX(Registro!$F$2:$F$500,MATCH(174,Registro!$T$2:$T$500,0)),"")</f>
        <v/>
      </c>
      <c r="C175" s="49" t="str">
        <f>IFERROR(INDEX(Registro!$G$2:$G$500,MATCH(174,Registro!$T$2:$T$500,0)),"")</f>
        <v/>
      </c>
      <c r="D175" s="49" t="str">
        <f>IFERROR(INDEX(Registro!$H$2:$H$500,MATCH(174,Registro!$T$2:$T$500,0)),"")</f>
        <v/>
      </c>
      <c r="E175" s="50" t="str">
        <f>IFERROR(INDEX(Registro!$C$2:$C$500,MATCH(174,Registro!$T$2:$T$500,0)),"")</f>
        <v/>
      </c>
      <c r="F175" s="49" t="str">
        <f>IFERROR(INDEX(Registro!$B$2:$B$500,MATCH(174,Registro!$T$2:$T$500,0)),"")</f>
        <v/>
      </c>
      <c r="G175" s="49" t="str">
        <f>IFERROR(INDEX(Registro!$P$2:$P$500,MATCH(174,Registro!$T$2:$T$500,0)),"")</f>
        <v/>
      </c>
      <c r="H175" s="49" t="str">
        <f>IFERROR(INDEX(Registro!$Q$2:$Q$500,MATCH(174,Registro!$T$2:$T$500,0)),"")</f>
        <v/>
      </c>
    </row>
    <row r="176" spans="1:8" x14ac:dyDescent="0.25">
      <c r="A176" s="49" t="str">
        <f>IFERROR(INDEX(Registro!$E$2:$E$500,MATCH(175,Registro!$T$2:$T$500,0)),"")</f>
        <v/>
      </c>
      <c r="B176" s="49" t="str">
        <f>IFERROR(INDEX(Registro!$F$2:$F$500,MATCH(175,Registro!$T$2:$T$500,0)),"")</f>
        <v/>
      </c>
      <c r="C176" s="49" t="str">
        <f>IFERROR(INDEX(Registro!$G$2:$G$500,MATCH(175,Registro!$T$2:$T$500,0)),"")</f>
        <v/>
      </c>
      <c r="D176" s="49" t="str">
        <f>IFERROR(INDEX(Registro!$H$2:$H$500,MATCH(175,Registro!$T$2:$T$500,0)),"")</f>
        <v/>
      </c>
      <c r="E176" s="50" t="str">
        <f>IFERROR(INDEX(Registro!$C$2:$C$500,MATCH(175,Registro!$T$2:$T$500,0)),"")</f>
        <v/>
      </c>
      <c r="F176" s="49" t="str">
        <f>IFERROR(INDEX(Registro!$B$2:$B$500,MATCH(175,Registro!$T$2:$T$500,0)),"")</f>
        <v/>
      </c>
      <c r="G176" s="49" t="str">
        <f>IFERROR(INDEX(Registro!$P$2:$P$500,MATCH(175,Registro!$T$2:$T$500,0)),"")</f>
        <v/>
      </c>
      <c r="H176" s="49" t="str">
        <f>IFERROR(INDEX(Registro!$Q$2:$Q$500,MATCH(175,Registro!$T$2:$T$500,0)),"")</f>
        <v/>
      </c>
    </row>
    <row r="177" spans="1:8" x14ac:dyDescent="0.25">
      <c r="A177" s="49" t="str">
        <f>IFERROR(INDEX(Registro!$E$2:$E$500,MATCH(176,Registro!$T$2:$T$500,0)),"")</f>
        <v/>
      </c>
      <c r="B177" s="49" t="str">
        <f>IFERROR(INDEX(Registro!$F$2:$F$500,MATCH(176,Registro!$T$2:$T$500,0)),"")</f>
        <v/>
      </c>
      <c r="C177" s="49" t="str">
        <f>IFERROR(INDEX(Registro!$G$2:$G$500,MATCH(176,Registro!$T$2:$T$500,0)),"")</f>
        <v/>
      </c>
      <c r="D177" s="49" t="str">
        <f>IFERROR(INDEX(Registro!$H$2:$H$500,MATCH(176,Registro!$T$2:$T$500,0)),"")</f>
        <v/>
      </c>
      <c r="E177" s="50" t="str">
        <f>IFERROR(INDEX(Registro!$C$2:$C$500,MATCH(176,Registro!$T$2:$T$500,0)),"")</f>
        <v/>
      </c>
      <c r="F177" s="49" t="str">
        <f>IFERROR(INDEX(Registro!$B$2:$B$500,MATCH(176,Registro!$T$2:$T$500,0)),"")</f>
        <v/>
      </c>
      <c r="G177" s="49" t="str">
        <f>IFERROR(INDEX(Registro!$P$2:$P$500,MATCH(176,Registro!$T$2:$T$500,0)),"")</f>
        <v/>
      </c>
      <c r="H177" s="49" t="str">
        <f>IFERROR(INDEX(Registro!$Q$2:$Q$500,MATCH(176,Registro!$T$2:$T$500,0)),"")</f>
        <v/>
      </c>
    </row>
    <row r="178" spans="1:8" x14ac:dyDescent="0.25">
      <c r="A178" s="49" t="str">
        <f>IFERROR(INDEX(Registro!$E$2:$E$500,MATCH(177,Registro!$T$2:$T$500,0)),"")</f>
        <v/>
      </c>
      <c r="B178" s="49" t="str">
        <f>IFERROR(INDEX(Registro!$F$2:$F$500,MATCH(177,Registro!$T$2:$T$500,0)),"")</f>
        <v/>
      </c>
      <c r="C178" s="49" t="str">
        <f>IFERROR(INDEX(Registro!$G$2:$G$500,MATCH(177,Registro!$T$2:$T$500,0)),"")</f>
        <v/>
      </c>
      <c r="D178" s="49" t="str">
        <f>IFERROR(INDEX(Registro!$H$2:$H$500,MATCH(177,Registro!$T$2:$T$500,0)),"")</f>
        <v/>
      </c>
      <c r="E178" s="50" t="str">
        <f>IFERROR(INDEX(Registro!$C$2:$C$500,MATCH(177,Registro!$T$2:$T$500,0)),"")</f>
        <v/>
      </c>
      <c r="F178" s="49" t="str">
        <f>IFERROR(INDEX(Registro!$B$2:$B$500,MATCH(177,Registro!$T$2:$T$500,0)),"")</f>
        <v/>
      </c>
      <c r="G178" s="49" t="str">
        <f>IFERROR(INDEX(Registro!$P$2:$P$500,MATCH(177,Registro!$T$2:$T$500,0)),"")</f>
        <v/>
      </c>
      <c r="H178" s="49" t="str">
        <f>IFERROR(INDEX(Registro!$Q$2:$Q$500,MATCH(177,Registro!$T$2:$T$500,0)),"")</f>
        <v/>
      </c>
    </row>
    <row r="179" spans="1:8" x14ac:dyDescent="0.25">
      <c r="A179" s="49" t="str">
        <f>IFERROR(INDEX(Registro!$E$2:$E$500,MATCH(178,Registro!$T$2:$T$500,0)),"")</f>
        <v/>
      </c>
      <c r="B179" s="49" t="str">
        <f>IFERROR(INDEX(Registro!$F$2:$F$500,MATCH(178,Registro!$T$2:$T$500,0)),"")</f>
        <v/>
      </c>
      <c r="C179" s="49" t="str">
        <f>IFERROR(INDEX(Registro!$G$2:$G$500,MATCH(178,Registro!$T$2:$T$500,0)),"")</f>
        <v/>
      </c>
      <c r="D179" s="49" t="str">
        <f>IFERROR(INDEX(Registro!$H$2:$H$500,MATCH(178,Registro!$T$2:$T$500,0)),"")</f>
        <v/>
      </c>
      <c r="E179" s="50" t="str">
        <f>IFERROR(INDEX(Registro!$C$2:$C$500,MATCH(178,Registro!$T$2:$T$500,0)),"")</f>
        <v/>
      </c>
      <c r="F179" s="49" t="str">
        <f>IFERROR(INDEX(Registro!$B$2:$B$500,MATCH(178,Registro!$T$2:$T$500,0)),"")</f>
        <v/>
      </c>
      <c r="G179" s="49" t="str">
        <f>IFERROR(INDEX(Registro!$P$2:$P$500,MATCH(178,Registro!$T$2:$T$500,0)),"")</f>
        <v/>
      </c>
      <c r="H179" s="49" t="str">
        <f>IFERROR(INDEX(Registro!$Q$2:$Q$500,MATCH(178,Registro!$T$2:$T$500,0)),"")</f>
        <v/>
      </c>
    </row>
    <row r="180" spans="1:8" x14ac:dyDescent="0.25">
      <c r="A180" s="49" t="str">
        <f>IFERROR(INDEX(Registro!$E$2:$E$500,MATCH(179,Registro!$T$2:$T$500,0)),"")</f>
        <v/>
      </c>
      <c r="B180" s="49" t="str">
        <f>IFERROR(INDEX(Registro!$F$2:$F$500,MATCH(179,Registro!$T$2:$T$500,0)),"")</f>
        <v/>
      </c>
      <c r="C180" s="49" t="str">
        <f>IFERROR(INDEX(Registro!$G$2:$G$500,MATCH(179,Registro!$T$2:$T$500,0)),"")</f>
        <v/>
      </c>
      <c r="D180" s="49" t="str">
        <f>IFERROR(INDEX(Registro!$H$2:$H$500,MATCH(179,Registro!$T$2:$T$500,0)),"")</f>
        <v/>
      </c>
      <c r="E180" s="50" t="str">
        <f>IFERROR(INDEX(Registro!$C$2:$C$500,MATCH(179,Registro!$T$2:$T$500,0)),"")</f>
        <v/>
      </c>
      <c r="F180" s="49" t="str">
        <f>IFERROR(INDEX(Registro!$B$2:$B$500,MATCH(179,Registro!$T$2:$T$500,0)),"")</f>
        <v/>
      </c>
      <c r="G180" s="49" t="str">
        <f>IFERROR(INDEX(Registro!$P$2:$P$500,MATCH(179,Registro!$T$2:$T$500,0)),"")</f>
        <v/>
      </c>
      <c r="H180" s="49" t="str">
        <f>IFERROR(INDEX(Registro!$Q$2:$Q$500,MATCH(179,Registro!$T$2:$T$500,0)),"")</f>
        <v/>
      </c>
    </row>
    <row r="181" spans="1:8" x14ac:dyDescent="0.25">
      <c r="A181" s="49" t="str">
        <f>IFERROR(INDEX(Registro!$E$2:$E$500,MATCH(180,Registro!$T$2:$T$500,0)),"")</f>
        <v/>
      </c>
      <c r="B181" s="49" t="str">
        <f>IFERROR(INDEX(Registro!$F$2:$F$500,MATCH(180,Registro!$T$2:$T$500,0)),"")</f>
        <v/>
      </c>
      <c r="C181" s="49" t="str">
        <f>IFERROR(INDEX(Registro!$G$2:$G$500,MATCH(180,Registro!$T$2:$T$500,0)),"")</f>
        <v/>
      </c>
      <c r="D181" s="49" t="str">
        <f>IFERROR(INDEX(Registro!$H$2:$H$500,MATCH(180,Registro!$T$2:$T$500,0)),"")</f>
        <v/>
      </c>
      <c r="E181" s="50" t="str">
        <f>IFERROR(INDEX(Registro!$C$2:$C$500,MATCH(180,Registro!$T$2:$T$500,0)),"")</f>
        <v/>
      </c>
      <c r="F181" s="49" t="str">
        <f>IFERROR(INDEX(Registro!$B$2:$B$500,MATCH(180,Registro!$T$2:$T$500,0)),"")</f>
        <v/>
      </c>
      <c r="G181" s="49" t="str">
        <f>IFERROR(INDEX(Registro!$P$2:$P$500,MATCH(180,Registro!$T$2:$T$500,0)),"")</f>
        <v/>
      </c>
      <c r="H181" s="49" t="str">
        <f>IFERROR(INDEX(Registro!$Q$2:$Q$500,MATCH(180,Registro!$T$2:$T$500,0)),"")</f>
        <v/>
      </c>
    </row>
    <row r="182" spans="1:8" x14ac:dyDescent="0.25">
      <c r="A182" s="49" t="str">
        <f>IFERROR(INDEX(Registro!$E$2:$E$500,MATCH(181,Registro!$T$2:$T$500,0)),"")</f>
        <v/>
      </c>
      <c r="B182" s="49" t="str">
        <f>IFERROR(INDEX(Registro!$F$2:$F$500,MATCH(181,Registro!$T$2:$T$500,0)),"")</f>
        <v/>
      </c>
      <c r="C182" s="49" t="str">
        <f>IFERROR(INDEX(Registro!$G$2:$G$500,MATCH(181,Registro!$T$2:$T$500,0)),"")</f>
        <v/>
      </c>
      <c r="D182" s="49" t="str">
        <f>IFERROR(INDEX(Registro!$H$2:$H$500,MATCH(181,Registro!$T$2:$T$500,0)),"")</f>
        <v/>
      </c>
      <c r="E182" s="50" t="str">
        <f>IFERROR(INDEX(Registro!$C$2:$C$500,MATCH(181,Registro!$T$2:$T$500,0)),"")</f>
        <v/>
      </c>
      <c r="F182" s="49" t="str">
        <f>IFERROR(INDEX(Registro!$B$2:$B$500,MATCH(181,Registro!$T$2:$T$500,0)),"")</f>
        <v/>
      </c>
      <c r="G182" s="49" t="str">
        <f>IFERROR(INDEX(Registro!$P$2:$P$500,MATCH(181,Registro!$T$2:$T$500,0)),"")</f>
        <v/>
      </c>
      <c r="H182" s="49" t="str">
        <f>IFERROR(INDEX(Registro!$Q$2:$Q$500,MATCH(181,Registro!$T$2:$T$500,0)),"")</f>
        <v/>
      </c>
    </row>
    <row r="183" spans="1:8" x14ac:dyDescent="0.25">
      <c r="A183" s="49" t="str">
        <f>IFERROR(INDEX(Registro!$E$2:$E$500,MATCH(182,Registro!$T$2:$T$500,0)),"")</f>
        <v/>
      </c>
      <c r="B183" s="49" t="str">
        <f>IFERROR(INDEX(Registro!$F$2:$F$500,MATCH(182,Registro!$T$2:$T$500,0)),"")</f>
        <v/>
      </c>
      <c r="C183" s="49" t="str">
        <f>IFERROR(INDEX(Registro!$G$2:$G$500,MATCH(182,Registro!$T$2:$T$500,0)),"")</f>
        <v/>
      </c>
      <c r="D183" s="49" t="str">
        <f>IFERROR(INDEX(Registro!$H$2:$H$500,MATCH(182,Registro!$T$2:$T$500,0)),"")</f>
        <v/>
      </c>
      <c r="E183" s="50" t="str">
        <f>IFERROR(INDEX(Registro!$C$2:$C$500,MATCH(182,Registro!$T$2:$T$500,0)),"")</f>
        <v/>
      </c>
      <c r="F183" s="49" t="str">
        <f>IFERROR(INDEX(Registro!$B$2:$B$500,MATCH(182,Registro!$T$2:$T$500,0)),"")</f>
        <v/>
      </c>
      <c r="G183" s="49" t="str">
        <f>IFERROR(INDEX(Registro!$P$2:$P$500,MATCH(182,Registro!$T$2:$T$500,0)),"")</f>
        <v/>
      </c>
      <c r="H183" s="49" t="str">
        <f>IFERROR(INDEX(Registro!$Q$2:$Q$500,MATCH(182,Registro!$T$2:$T$500,0)),"")</f>
        <v/>
      </c>
    </row>
    <row r="184" spans="1:8" x14ac:dyDescent="0.25">
      <c r="A184" s="49" t="str">
        <f>IFERROR(INDEX(Registro!$E$2:$E$500,MATCH(183,Registro!$T$2:$T$500,0)),"")</f>
        <v/>
      </c>
      <c r="B184" s="49" t="str">
        <f>IFERROR(INDEX(Registro!$F$2:$F$500,MATCH(183,Registro!$T$2:$T$500,0)),"")</f>
        <v/>
      </c>
      <c r="C184" s="49" t="str">
        <f>IFERROR(INDEX(Registro!$G$2:$G$500,MATCH(183,Registro!$T$2:$T$500,0)),"")</f>
        <v/>
      </c>
      <c r="D184" s="49" t="str">
        <f>IFERROR(INDEX(Registro!$H$2:$H$500,MATCH(183,Registro!$T$2:$T$500,0)),"")</f>
        <v/>
      </c>
      <c r="E184" s="50" t="str">
        <f>IFERROR(INDEX(Registro!$C$2:$C$500,MATCH(183,Registro!$T$2:$T$500,0)),"")</f>
        <v/>
      </c>
      <c r="F184" s="49" t="str">
        <f>IFERROR(INDEX(Registro!$B$2:$B$500,MATCH(183,Registro!$T$2:$T$500,0)),"")</f>
        <v/>
      </c>
      <c r="G184" s="49" t="str">
        <f>IFERROR(INDEX(Registro!$P$2:$P$500,MATCH(183,Registro!$T$2:$T$500,0)),"")</f>
        <v/>
      </c>
      <c r="H184" s="49" t="str">
        <f>IFERROR(INDEX(Registro!$Q$2:$Q$500,MATCH(183,Registro!$T$2:$T$500,0)),"")</f>
        <v/>
      </c>
    </row>
    <row r="185" spans="1:8" x14ac:dyDescent="0.25">
      <c r="A185" s="49" t="str">
        <f>IFERROR(INDEX(Registro!$E$2:$E$500,MATCH(184,Registro!$T$2:$T$500,0)),"")</f>
        <v/>
      </c>
      <c r="B185" s="49" t="str">
        <f>IFERROR(INDEX(Registro!$F$2:$F$500,MATCH(184,Registro!$T$2:$T$500,0)),"")</f>
        <v/>
      </c>
      <c r="C185" s="49" t="str">
        <f>IFERROR(INDEX(Registro!$G$2:$G$500,MATCH(184,Registro!$T$2:$T$500,0)),"")</f>
        <v/>
      </c>
      <c r="D185" s="49" t="str">
        <f>IFERROR(INDEX(Registro!$H$2:$H$500,MATCH(184,Registro!$T$2:$T$500,0)),"")</f>
        <v/>
      </c>
      <c r="E185" s="50" t="str">
        <f>IFERROR(INDEX(Registro!$C$2:$C$500,MATCH(184,Registro!$T$2:$T$500,0)),"")</f>
        <v/>
      </c>
      <c r="F185" s="49" t="str">
        <f>IFERROR(INDEX(Registro!$B$2:$B$500,MATCH(184,Registro!$T$2:$T$500,0)),"")</f>
        <v/>
      </c>
      <c r="G185" s="49" t="str">
        <f>IFERROR(INDEX(Registro!$P$2:$P$500,MATCH(184,Registro!$T$2:$T$500,0)),"")</f>
        <v/>
      </c>
      <c r="H185" s="49" t="str">
        <f>IFERROR(INDEX(Registro!$Q$2:$Q$500,MATCH(184,Registro!$T$2:$T$500,0)),"")</f>
        <v/>
      </c>
    </row>
    <row r="186" spans="1:8" x14ac:dyDescent="0.25">
      <c r="A186" s="49" t="str">
        <f>IFERROR(INDEX(Registro!$E$2:$E$500,MATCH(185,Registro!$T$2:$T$500,0)),"")</f>
        <v/>
      </c>
      <c r="B186" s="49" t="str">
        <f>IFERROR(INDEX(Registro!$F$2:$F$500,MATCH(185,Registro!$T$2:$T$500,0)),"")</f>
        <v/>
      </c>
      <c r="C186" s="49" t="str">
        <f>IFERROR(INDEX(Registro!$G$2:$G$500,MATCH(185,Registro!$T$2:$T$500,0)),"")</f>
        <v/>
      </c>
      <c r="D186" s="49" t="str">
        <f>IFERROR(INDEX(Registro!$H$2:$H$500,MATCH(185,Registro!$T$2:$T$500,0)),"")</f>
        <v/>
      </c>
      <c r="E186" s="50" t="str">
        <f>IFERROR(INDEX(Registro!$C$2:$C$500,MATCH(185,Registro!$T$2:$T$500,0)),"")</f>
        <v/>
      </c>
      <c r="F186" s="49" t="str">
        <f>IFERROR(INDEX(Registro!$B$2:$B$500,MATCH(185,Registro!$T$2:$T$500,0)),"")</f>
        <v/>
      </c>
      <c r="G186" s="49" t="str">
        <f>IFERROR(INDEX(Registro!$P$2:$P$500,MATCH(185,Registro!$T$2:$T$500,0)),"")</f>
        <v/>
      </c>
      <c r="H186" s="49" t="str">
        <f>IFERROR(INDEX(Registro!$Q$2:$Q$500,MATCH(185,Registro!$T$2:$T$500,0)),"")</f>
        <v/>
      </c>
    </row>
    <row r="187" spans="1:8" x14ac:dyDescent="0.25">
      <c r="A187" s="49" t="str">
        <f>IFERROR(INDEX(Registro!$E$2:$E$500,MATCH(186,Registro!$T$2:$T$500,0)),"")</f>
        <v/>
      </c>
      <c r="B187" s="49" t="str">
        <f>IFERROR(INDEX(Registro!$F$2:$F$500,MATCH(186,Registro!$T$2:$T$500,0)),"")</f>
        <v/>
      </c>
      <c r="C187" s="49" t="str">
        <f>IFERROR(INDEX(Registro!$G$2:$G$500,MATCH(186,Registro!$T$2:$T$500,0)),"")</f>
        <v/>
      </c>
      <c r="D187" s="49" t="str">
        <f>IFERROR(INDEX(Registro!$H$2:$H$500,MATCH(186,Registro!$T$2:$T$500,0)),"")</f>
        <v/>
      </c>
      <c r="E187" s="50" t="str">
        <f>IFERROR(INDEX(Registro!$C$2:$C$500,MATCH(186,Registro!$T$2:$T$500,0)),"")</f>
        <v/>
      </c>
      <c r="F187" s="49" t="str">
        <f>IFERROR(INDEX(Registro!$B$2:$B$500,MATCH(186,Registro!$T$2:$T$500,0)),"")</f>
        <v/>
      </c>
      <c r="G187" s="49" t="str">
        <f>IFERROR(INDEX(Registro!$P$2:$P$500,MATCH(186,Registro!$T$2:$T$500,0)),"")</f>
        <v/>
      </c>
      <c r="H187" s="49" t="str">
        <f>IFERROR(INDEX(Registro!$Q$2:$Q$500,MATCH(186,Registro!$T$2:$T$500,0)),"")</f>
        <v/>
      </c>
    </row>
    <row r="188" spans="1:8" x14ac:dyDescent="0.25">
      <c r="A188" s="49" t="str">
        <f>IFERROR(INDEX(Registro!$E$2:$E$500,MATCH(187,Registro!$T$2:$T$500,0)),"")</f>
        <v/>
      </c>
      <c r="B188" s="49" t="str">
        <f>IFERROR(INDEX(Registro!$F$2:$F$500,MATCH(187,Registro!$T$2:$T$500,0)),"")</f>
        <v/>
      </c>
      <c r="C188" s="49" t="str">
        <f>IFERROR(INDEX(Registro!$G$2:$G$500,MATCH(187,Registro!$T$2:$T$500,0)),"")</f>
        <v/>
      </c>
      <c r="D188" s="49" t="str">
        <f>IFERROR(INDEX(Registro!$H$2:$H$500,MATCH(187,Registro!$T$2:$T$500,0)),"")</f>
        <v/>
      </c>
      <c r="E188" s="50" t="str">
        <f>IFERROR(INDEX(Registro!$C$2:$C$500,MATCH(187,Registro!$T$2:$T$500,0)),"")</f>
        <v/>
      </c>
      <c r="F188" s="49" t="str">
        <f>IFERROR(INDEX(Registro!$B$2:$B$500,MATCH(187,Registro!$T$2:$T$500,0)),"")</f>
        <v/>
      </c>
      <c r="G188" s="49" t="str">
        <f>IFERROR(INDEX(Registro!$P$2:$P$500,MATCH(187,Registro!$T$2:$T$500,0)),"")</f>
        <v/>
      </c>
      <c r="H188" s="49" t="str">
        <f>IFERROR(INDEX(Registro!$Q$2:$Q$500,MATCH(187,Registro!$T$2:$T$500,0)),"")</f>
        <v/>
      </c>
    </row>
    <row r="189" spans="1:8" x14ac:dyDescent="0.25">
      <c r="A189" s="49" t="str">
        <f>IFERROR(INDEX(Registro!$E$2:$E$500,MATCH(188,Registro!$T$2:$T$500,0)),"")</f>
        <v/>
      </c>
      <c r="B189" s="49" t="str">
        <f>IFERROR(INDEX(Registro!$F$2:$F$500,MATCH(188,Registro!$T$2:$T$500,0)),"")</f>
        <v/>
      </c>
      <c r="C189" s="49" t="str">
        <f>IFERROR(INDEX(Registro!$G$2:$G$500,MATCH(188,Registro!$T$2:$T$500,0)),"")</f>
        <v/>
      </c>
      <c r="D189" s="49" t="str">
        <f>IFERROR(INDEX(Registro!$H$2:$H$500,MATCH(188,Registro!$T$2:$T$500,0)),"")</f>
        <v/>
      </c>
      <c r="E189" s="50" t="str">
        <f>IFERROR(INDEX(Registro!$C$2:$C$500,MATCH(188,Registro!$T$2:$T$500,0)),"")</f>
        <v/>
      </c>
      <c r="F189" s="49" t="str">
        <f>IFERROR(INDEX(Registro!$B$2:$B$500,MATCH(188,Registro!$T$2:$T$500,0)),"")</f>
        <v/>
      </c>
      <c r="G189" s="49" t="str">
        <f>IFERROR(INDEX(Registro!$P$2:$P$500,MATCH(188,Registro!$T$2:$T$500,0)),"")</f>
        <v/>
      </c>
      <c r="H189" s="49" t="str">
        <f>IFERROR(INDEX(Registro!$Q$2:$Q$500,MATCH(188,Registro!$T$2:$T$500,0)),"")</f>
        <v/>
      </c>
    </row>
    <row r="190" spans="1:8" x14ac:dyDescent="0.25">
      <c r="A190" s="49" t="str">
        <f>IFERROR(INDEX(Registro!$E$2:$E$500,MATCH(189,Registro!$T$2:$T$500,0)),"")</f>
        <v/>
      </c>
      <c r="B190" s="49" t="str">
        <f>IFERROR(INDEX(Registro!$F$2:$F$500,MATCH(189,Registro!$T$2:$T$500,0)),"")</f>
        <v/>
      </c>
      <c r="C190" s="49" t="str">
        <f>IFERROR(INDEX(Registro!$G$2:$G$500,MATCH(189,Registro!$T$2:$T$500,0)),"")</f>
        <v/>
      </c>
      <c r="D190" s="49" t="str">
        <f>IFERROR(INDEX(Registro!$H$2:$H$500,MATCH(189,Registro!$T$2:$T$500,0)),"")</f>
        <v/>
      </c>
      <c r="E190" s="50" t="str">
        <f>IFERROR(INDEX(Registro!$C$2:$C$500,MATCH(189,Registro!$T$2:$T$500,0)),"")</f>
        <v/>
      </c>
      <c r="F190" s="49" t="str">
        <f>IFERROR(INDEX(Registro!$B$2:$B$500,MATCH(189,Registro!$T$2:$T$500,0)),"")</f>
        <v/>
      </c>
      <c r="G190" s="49" t="str">
        <f>IFERROR(INDEX(Registro!$P$2:$P$500,MATCH(189,Registro!$T$2:$T$500,0)),"")</f>
        <v/>
      </c>
      <c r="H190" s="49" t="str">
        <f>IFERROR(INDEX(Registro!$Q$2:$Q$500,MATCH(189,Registro!$T$2:$T$500,0)),"")</f>
        <v/>
      </c>
    </row>
    <row r="191" spans="1:8" x14ac:dyDescent="0.25">
      <c r="A191" s="49" t="str">
        <f>IFERROR(INDEX(Registro!$E$2:$E$500,MATCH(190,Registro!$T$2:$T$500,0)),"")</f>
        <v/>
      </c>
      <c r="B191" s="49" t="str">
        <f>IFERROR(INDEX(Registro!$F$2:$F$500,MATCH(190,Registro!$T$2:$T$500,0)),"")</f>
        <v/>
      </c>
      <c r="C191" s="49" t="str">
        <f>IFERROR(INDEX(Registro!$G$2:$G$500,MATCH(190,Registro!$T$2:$T$500,0)),"")</f>
        <v/>
      </c>
      <c r="D191" s="49" t="str">
        <f>IFERROR(INDEX(Registro!$H$2:$H$500,MATCH(190,Registro!$T$2:$T$500,0)),"")</f>
        <v/>
      </c>
      <c r="E191" s="50" t="str">
        <f>IFERROR(INDEX(Registro!$C$2:$C$500,MATCH(190,Registro!$T$2:$T$500,0)),"")</f>
        <v/>
      </c>
      <c r="F191" s="49" t="str">
        <f>IFERROR(INDEX(Registro!$B$2:$B$500,MATCH(190,Registro!$T$2:$T$500,0)),"")</f>
        <v/>
      </c>
      <c r="G191" s="49" t="str">
        <f>IFERROR(INDEX(Registro!$P$2:$P$500,MATCH(190,Registro!$T$2:$T$500,0)),"")</f>
        <v/>
      </c>
      <c r="H191" s="49" t="str">
        <f>IFERROR(INDEX(Registro!$Q$2:$Q$500,MATCH(190,Registro!$T$2:$T$500,0)),"")</f>
        <v/>
      </c>
    </row>
    <row r="192" spans="1:8" x14ac:dyDescent="0.25">
      <c r="A192" s="49" t="str">
        <f>IFERROR(INDEX(Registro!$E$2:$E$500,MATCH(191,Registro!$T$2:$T$500,0)),"")</f>
        <v/>
      </c>
      <c r="B192" s="49" t="str">
        <f>IFERROR(INDEX(Registro!$F$2:$F$500,MATCH(191,Registro!$T$2:$T$500,0)),"")</f>
        <v/>
      </c>
      <c r="C192" s="49" t="str">
        <f>IFERROR(INDEX(Registro!$G$2:$G$500,MATCH(191,Registro!$T$2:$T$500,0)),"")</f>
        <v/>
      </c>
      <c r="D192" s="49" t="str">
        <f>IFERROR(INDEX(Registro!$H$2:$H$500,MATCH(191,Registro!$T$2:$T$500,0)),"")</f>
        <v/>
      </c>
      <c r="E192" s="50" t="str">
        <f>IFERROR(INDEX(Registro!$C$2:$C$500,MATCH(191,Registro!$T$2:$T$500,0)),"")</f>
        <v/>
      </c>
      <c r="F192" s="49" t="str">
        <f>IFERROR(INDEX(Registro!$B$2:$B$500,MATCH(191,Registro!$T$2:$T$500,0)),"")</f>
        <v/>
      </c>
      <c r="G192" s="49" t="str">
        <f>IFERROR(INDEX(Registro!$P$2:$P$500,MATCH(191,Registro!$T$2:$T$500,0)),"")</f>
        <v/>
      </c>
      <c r="H192" s="49" t="str">
        <f>IFERROR(INDEX(Registro!$Q$2:$Q$500,MATCH(191,Registro!$T$2:$T$500,0)),"")</f>
        <v/>
      </c>
    </row>
    <row r="193" spans="1:8" x14ac:dyDescent="0.25">
      <c r="A193" s="49" t="str">
        <f>IFERROR(INDEX(Registro!$E$2:$E$500,MATCH(192,Registro!$T$2:$T$500,0)),"")</f>
        <v/>
      </c>
      <c r="B193" s="49" t="str">
        <f>IFERROR(INDEX(Registro!$F$2:$F$500,MATCH(192,Registro!$T$2:$T$500,0)),"")</f>
        <v/>
      </c>
      <c r="C193" s="49" t="str">
        <f>IFERROR(INDEX(Registro!$G$2:$G$500,MATCH(192,Registro!$T$2:$T$500,0)),"")</f>
        <v/>
      </c>
      <c r="D193" s="49" t="str">
        <f>IFERROR(INDEX(Registro!$H$2:$H$500,MATCH(192,Registro!$T$2:$T$500,0)),"")</f>
        <v/>
      </c>
      <c r="E193" s="50" t="str">
        <f>IFERROR(INDEX(Registro!$C$2:$C$500,MATCH(192,Registro!$T$2:$T$500,0)),"")</f>
        <v/>
      </c>
      <c r="F193" s="49" t="str">
        <f>IFERROR(INDEX(Registro!$B$2:$B$500,MATCH(192,Registro!$T$2:$T$500,0)),"")</f>
        <v/>
      </c>
      <c r="G193" s="49" t="str">
        <f>IFERROR(INDEX(Registro!$P$2:$P$500,MATCH(192,Registro!$T$2:$T$500,0)),"")</f>
        <v/>
      </c>
      <c r="H193" s="49" t="str">
        <f>IFERROR(INDEX(Registro!$Q$2:$Q$500,MATCH(192,Registro!$T$2:$T$500,0)),"")</f>
        <v/>
      </c>
    </row>
    <row r="194" spans="1:8" x14ac:dyDescent="0.25">
      <c r="A194" s="49" t="str">
        <f>IFERROR(INDEX(Registro!$E$2:$E$500,MATCH(193,Registro!$T$2:$T$500,0)),"")</f>
        <v/>
      </c>
      <c r="B194" s="49" t="str">
        <f>IFERROR(INDEX(Registro!$F$2:$F$500,MATCH(193,Registro!$T$2:$T$500,0)),"")</f>
        <v/>
      </c>
      <c r="C194" s="49" t="str">
        <f>IFERROR(INDEX(Registro!$G$2:$G$500,MATCH(193,Registro!$T$2:$T$500,0)),"")</f>
        <v/>
      </c>
      <c r="D194" s="49" t="str">
        <f>IFERROR(INDEX(Registro!$H$2:$H$500,MATCH(193,Registro!$T$2:$T$500,0)),"")</f>
        <v/>
      </c>
      <c r="E194" s="50" t="str">
        <f>IFERROR(INDEX(Registro!$C$2:$C$500,MATCH(193,Registro!$T$2:$T$500,0)),"")</f>
        <v/>
      </c>
      <c r="F194" s="49" t="str">
        <f>IFERROR(INDEX(Registro!$B$2:$B$500,MATCH(193,Registro!$T$2:$T$500,0)),"")</f>
        <v/>
      </c>
      <c r="G194" s="49" t="str">
        <f>IFERROR(INDEX(Registro!$P$2:$P$500,MATCH(193,Registro!$T$2:$T$500,0)),"")</f>
        <v/>
      </c>
      <c r="H194" s="49" t="str">
        <f>IFERROR(INDEX(Registro!$Q$2:$Q$500,MATCH(193,Registro!$T$2:$T$500,0)),"")</f>
        <v/>
      </c>
    </row>
    <row r="195" spans="1:8" x14ac:dyDescent="0.25">
      <c r="A195" s="49" t="str">
        <f>IFERROR(INDEX(Registro!$E$2:$E$500,MATCH(194,Registro!$T$2:$T$500,0)),"")</f>
        <v/>
      </c>
      <c r="B195" s="49" t="str">
        <f>IFERROR(INDEX(Registro!$F$2:$F$500,MATCH(194,Registro!$T$2:$T$500,0)),"")</f>
        <v/>
      </c>
      <c r="C195" s="49" t="str">
        <f>IFERROR(INDEX(Registro!$G$2:$G$500,MATCH(194,Registro!$T$2:$T$500,0)),"")</f>
        <v/>
      </c>
      <c r="D195" s="49" t="str">
        <f>IFERROR(INDEX(Registro!$H$2:$H$500,MATCH(194,Registro!$T$2:$T$500,0)),"")</f>
        <v/>
      </c>
      <c r="E195" s="50" t="str">
        <f>IFERROR(INDEX(Registro!$C$2:$C$500,MATCH(194,Registro!$T$2:$T$500,0)),"")</f>
        <v/>
      </c>
      <c r="F195" s="49" t="str">
        <f>IFERROR(INDEX(Registro!$B$2:$B$500,MATCH(194,Registro!$T$2:$T$500,0)),"")</f>
        <v/>
      </c>
      <c r="G195" s="49" t="str">
        <f>IFERROR(INDEX(Registro!$P$2:$P$500,MATCH(194,Registro!$T$2:$T$500,0)),"")</f>
        <v/>
      </c>
      <c r="H195" s="49" t="str">
        <f>IFERROR(INDEX(Registro!$Q$2:$Q$500,MATCH(194,Registro!$T$2:$T$500,0)),"")</f>
        <v/>
      </c>
    </row>
    <row r="196" spans="1:8" x14ac:dyDescent="0.25">
      <c r="A196" s="49" t="str">
        <f>IFERROR(INDEX(Registro!$E$2:$E$500,MATCH(195,Registro!$T$2:$T$500,0)),"")</f>
        <v/>
      </c>
      <c r="B196" s="49" t="str">
        <f>IFERROR(INDEX(Registro!$F$2:$F$500,MATCH(195,Registro!$T$2:$T$500,0)),"")</f>
        <v/>
      </c>
      <c r="C196" s="49" t="str">
        <f>IFERROR(INDEX(Registro!$G$2:$G$500,MATCH(195,Registro!$T$2:$T$500,0)),"")</f>
        <v/>
      </c>
      <c r="D196" s="49" t="str">
        <f>IFERROR(INDEX(Registro!$H$2:$H$500,MATCH(195,Registro!$T$2:$T$500,0)),"")</f>
        <v/>
      </c>
      <c r="E196" s="50" t="str">
        <f>IFERROR(INDEX(Registro!$C$2:$C$500,MATCH(195,Registro!$T$2:$T$500,0)),"")</f>
        <v/>
      </c>
      <c r="F196" s="49" t="str">
        <f>IFERROR(INDEX(Registro!$B$2:$B$500,MATCH(195,Registro!$T$2:$T$500,0)),"")</f>
        <v/>
      </c>
      <c r="G196" s="49" t="str">
        <f>IFERROR(INDEX(Registro!$P$2:$P$500,MATCH(195,Registro!$T$2:$T$500,0)),"")</f>
        <v/>
      </c>
      <c r="H196" s="49" t="str">
        <f>IFERROR(INDEX(Registro!$Q$2:$Q$500,MATCH(195,Registro!$T$2:$T$500,0)),"")</f>
        <v/>
      </c>
    </row>
    <row r="197" spans="1:8" x14ac:dyDescent="0.25">
      <c r="A197" s="49" t="str">
        <f>IFERROR(INDEX(Registro!$E$2:$E$500,MATCH(196,Registro!$T$2:$T$500,0)),"")</f>
        <v/>
      </c>
      <c r="B197" s="49" t="str">
        <f>IFERROR(INDEX(Registro!$F$2:$F$500,MATCH(196,Registro!$T$2:$T$500,0)),"")</f>
        <v/>
      </c>
      <c r="C197" s="49" t="str">
        <f>IFERROR(INDEX(Registro!$G$2:$G$500,MATCH(196,Registro!$T$2:$T$500,0)),"")</f>
        <v/>
      </c>
      <c r="D197" s="49" t="str">
        <f>IFERROR(INDEX(Registro!$H$2:$H$500,MATCH(196,Registro!$T$2:$T$500,0)),"")</f>
        <v/>
      </c>
      <c r="E197" s="50" t="str">
        <f>IFERROR(INDEX(Registro!$C$2:$C$500,MATCH(196,Registro!$T$2:$T$500,0)),"")</f>
        <v/>
      </c>
      <c r="F197" s="49" t="str">
        <f>IFERROR(INDEX(Registro!$B$2:$B$500,MATCH(196,Registro!$T$2:$T$500,0)),"")</f>
        <v/>
      </c>
      <c r="G197" s="49" t="str">
        <f>IFERROR(INDEX(Registro!$P$2:$P$500,MATCH(196,Registro!$T$2:$T$500,0)),"")</f>
        <v/>
      </c>
      <c r="H197" s="49" t="str">
        <f>IFERROR(INDEX(Registro!$Q$2:$Q$500,MATCH(196,Registro!$T$2:$T$500,0)),"")</f>
        <v/>
      </c>
    </row>
    <row r="198" spans="1:8" x14ac:dyDescent="0.25">
      <c r="A198" s="49" t="str">
        <f>IFERROR(INDEX(Registro!$E$2:$E$500,MATCH(197,Registro!$T$2:$T$500,0)),"")</f>
        <v/>
      </c>
      <c r="B198" s="49" t="str">
        <f>IFERROR(INDEX(Registro!$F$2:$F$500,MATCH(197,Registro!$T$2:$T$500,0)),"")</f>
        <v/>
      </c>
      <c r="C198" s="49" t="str">
        <f>IFERROR(INDEX(Registro!$G$2:$G$500,MATCH(197,Registro!$T$2:$T$500,0)),"")</f>
        <v/>
      </c>
      <c r="D198" s="49" t="str">
        <f>IFERROR(INDEX(Registro!$H$2:$H$500,MATCH(197,Registro!$T$2:$T$500,0)),"")</f>
        <v/>
      </c>
      <c r="E198" s="50" t="str">
        <f>IFERROR(INDEX(Registro!$C$2:$C$500,MATCH(197,Registro!$T$2:$T$500,0)),"")</f>
        <v/>
      </c>
      <c r="F198" s="49" t="str">
        <f>IFERROR(INDEX(Registro!$B$2:$B$500,MATCH(197,Registro!$T$2:$T$500,0)),"")</f>
        <v/>
      </c>
      <c r="G198" s="49" t="str">
        <f>IFERROR(INDEX(Registro!$P$2:$P$500,MATCH(197,Registro!$T$2:$T$500,0)),"")</f>
        <v/>
      </c>
      <c r="H198" s="49" t="str">
        <f>IFERROR(INDEX(Registro!$Q$2:$Q$500,MATCH(197,Registro!$T$2:$T$500,0)),"")</f>
        <v/>
      </c>
    </row>
    <row r="199" spans="1:8" x14ac:dyDescent="0.25">
      <c r="A199" s="49" t="str">
        <f>IFERROR(INDEX(Registro!$E$2:$E$500,MATCH(198,Registro!$T$2:$T$500,0)),"")</f>
        <v/>
      </c>
      <c r="B199" s="49" t="str">
        <f>IFERROR(INDEX(Registro!$F$2:$F$500,MATCH(198,Registro!$T$2:$T$500,0)),"")</f>
        <v/>
      </c>
      <c r="C199" s="49" t="str">
        <f>IFERROR(INDEX(Registro!$G$2:$G$500,MATCH(198,Registro!$T$2:$T$500,0)),"")</f>
        <v/>
      </c>
      <c r="D199" s="49" t="str">
        <f>IFERROR(INDEX(Registro!$H$2:$H$500,MATCH(198,Registro!$T$2:$T$500,0)),"")</f>
        <v/>
      </c>
      <c r="E199" s="50" t="str">
        <f>IFERROR(INDEX(Registro!$C$2:$C$500,MATCH(198,Registro!$T$2:$T$500,0)),"")</f>
        <v/>
      </c>
      <c r="F199" s="49" t="str">
        <f>IFERROR(INDEX(Registro!$B$2:$B$500,MATCH(198,Registro!$T$2:$T$500,0)),"")</f>
        <v/>
      </c>
      <c r="G199" s="49" t="str">
        <f>IFERROR(INDEX(Registro!$P$2:$P$500,MATCH(198,Registro!$T$2:$T$500,0)),"")</f>
        <v/>
      </c>
      <c r="H199" s="49" t="str">
        <f>IFERROR(INDEX(Registro!$Q$2:$Q$500,MATCH(198,Registro!$T$2:$T$500,0)),"")</f>
        <v/>
      </c>
    </row>
    <row r="200" spans="1:8" x14ac:dyDescent="0.25">
      <c r="A200" s="49" t="str">
        <f>IFERROR(INDEX(Registro!$E$2:$E$500,MATCH(199,Registro!$T$2:$T$500,0)),"")</f>
        <v/>
      </c>
      <c r="B200" s="49" t="str">
        <f>IFERROR(INDEX(Registro!$F$2:$F$500,MATCH(199,Registro!$T$2:$T$500,0)),"")</f>
        <v/>
      </c>
      <c r="C200" s="49" t="str">
        <f>IFERROR(INDEX(Registro!$G$2:$G$500,MATCH(199,Registro!$T$2:$T$500,0)),"")</f>
        <v/>
      </c>
      <c r="D200" s="49" t="str">
        <f>IFERROR(INDEX(Registro!$H$2:$H$500,MATCH(199,Registro!$T$2:$T$500,0)),"")</f>
        <v/>
      </c>
      <c r="E200" s="50" t="str">
        <f>IFERROR(INDEX(Registro!$C$2:$C$500,MATCH(199,Registro!$T$2:$T$500,0)),"")</f>
        <v/>
      </c>
      <c r="F200" s="49" t="str">
        <f>IFERROR(INDEX(Registro!$B$2:$B$500,MATCH(199,Registro!$T$2:$T$500,0)),"")</f>
        <v/>
      </c>
      <c r="G200" s="49" t="str">
        <f>IFERROR(INDEX(Registro!$P$2:$P$500,MATCH(199,Registro!$T$2:$T$500,0)),"")</f>
        <v/>
      </c>
      <c r="H200" s="49" t="str">
        <f>IFERROR(INDEX(Registro!$Q$2:$Q$500,MATCH(199,Registro!$T$2:$T$500,0)),"")</f>
        <v/>
      </c>
    </row>
    <row r="201" spans="1:8" x14ac:dyDescent="0.25">
      <c r="A201" s="49" t="str">
        <f>IFERROR(INDEX(Registro!$E$2:$E$500,MATCH(200,Registro!$T$2:$T$500,0)),"")</f>
        <v/>
      </c>
      <c r="B201" s="49" t="str">
        <f>IFERROR(INDEX(Registro!$F$2:$F$500,MATCH(200,Registro!$T$2:$T$500,0)),"")</f>
        <v/>
      </c>
      <c r="C201" s="49" t="str">
        <f>IFERROR(INDEX(Registro!$G$2:$G$500,MATCH(200,Registro!$T$2:$T$500,0)),"")</f>
        <v/>
      </c>
      <c r="D201" s="49" t="str">
        <f>IFERROR(INDEX(Registro!$H$2:$H$500,MATCH(200,Registro!$T$2:$T$500,0)),"")</f>
        <v/>
      </c>
      <c r="E201" s="50" t="str">
        <f>IFERROR(INDEX(Registro!$C$2:$C$500,MATCH(200,Registro!$T$2:$T$500,0)),"")</f>
        <v/>
      </c>
      <c r="F201" s="49" t="str">
        <f>IFERROR(INDEX(Registro!$B$2:$B$500,MATCH(200,Registro!$T$2:$T$500,0)),"")</f>
        <v/>
      </c>
      <c r="G201" s="49" t="str">
        <f>IFERROR(INDEX(Registro!$P$2:$P$500,MATCH(200,Registro!$T$2:$T$500,0)),"")</f>
        <v/>
      </c>
      <c r="H201" s="49" t="str">
        <f>IFERROR(INDEX(Registro!$Q$2:$Q$500,MATCH(200,Registro!$T$2:$T$500,0)),"")</f>
        <v/>
      </c>
    </row>
    <row r="202" spans="1:8" x14ac:dyDescent="0.25">
      <c r="A202" s="49" t="str">
        <f>IFERROR(INDEX(Registro!$E$2:$E$500,MATCH(201,Registro!$T$2:$T$500,0)),"")</f>
        <v/>
      </c>
      <c r="B202" s="49" t="str">
        <f>IFERROR(INDEX(Registro!$F$2:$F$500,MATCH(201,Registro!$T$2:$T$500,0)),"")</f>
        <v/>
      </c>
      <c r="C202" s="49" t="str">
        <f>IFERROR(INDEX(Registro!$G$2:$G$500,MATCH(201,Registro!$T$2:$T$500,0)),"")</f>
        <v/>
      </c>
      <c r="D202" s="49" t="str">
        <f>IFERROR(INDEX(Registro!$H$2:$H$500,MATCH(201,Registro!$T$2:$T$500,0)),"")</f>
        <v/>
      </c>
      <c r="E202" s="50" t="str">
        <f>IFERROR(INDEX(Registro!$C$2:$C$500,MATCH(201,Registro!$T$2:$T$500,0)),"")</f>
        <v/>
      </c>
      <c r="F202" s="49" t="str">
        <f>IFERROR(INDEX(Registro!$B$2:$B$500,MATCH(201,Registro!$T$2:$T$500,0)),"")</f>
        <v/>
      </c>
      <c r="G202" s="49" t="str">
        <f>IFERROR(INDEX(Registro!$P$2:$P$500,MATCH(201,Registro!$T$2:$T$500,0)),"")</f>
        <v/>
      </c>
      <c r="H202" s="49" t="str">
        <f>IFERROR(INDEX(Registro!$Q$2:$Q$500,MATCH(201,Registro!$T$2:$T$500,0)),"")</f>
        <v/>
      </c>
    </row>
    <row r="203" spans="1:8" x14ac:dyDescent="0.25">
      <c r="A203" s="49" t="str">
        <f>IFERROR(INDEX(Registro!$E$2:$E$500,MATCH(202,Registro!$T$2:$T$500,0)),"")</f>
        <v/>
      </c>
      <c r="B203" s="49" t="str">
        <f>IFERROR(INDEX(Registro!$F$2:$F$500,MATCH(202,Registro!$T$2:$T$500,0)),"")</f>
        <v/>
      </c>
      <c r="C203" s="49" t="str">
        <f>IFERROR(INDEX(Registro!$G$2:$G$500,MATCH(202,Registro!$T$2:$T$500,0)),"")</f>
        <v/>
      </c>
      <c r="D203" s="49" t="str">
        <f>IFERROR(INDEX(Registro!$H$2:$H$500,MATCH(202,Registro!$T$2:$T$500,0)),"")</f>
        <v/>
      </c>
      <c r="E203" s="50" t="str">
        <f>IFERROR(INDEX(Registro!$C$2:$C$500,MATCH(202,Registro!$T$2:$T$500,0)),"")</f>
        <v/>
      </c>
      <c r="F203" s="49" t="str">
        <f>IFERROR(INDEX(Registro!$B$2:$B$500,MATCH(202,Registro!$T$2:$T$500,0)),"")</f>
        <v/>
      </c>
      <c r="G203" s="49" t="str">
        <f>IFERROR(INDEX(Registro!$P$2:$P$500,MATCH(202,Registro!$T$2:$T$500,0)),"")</f>
        <v/>
      </c>
      <c r="H203" s="49" t="str">
        <f>IFERROR(INDEX(Registro!$Q$2:$Q$500,MATCH(202,Registro!$T$2:$T$500,0)),"")</f>
        <v/>
      </c>
    </row>
    <row r="204" spans="1:8" x14ac:dyDescent="0.25">
      <c r="A204" s="49" t="str">
        <f>IFERROR(INDEX(Registro!$E$2:$E$500,MATCH(203,Registro!$T$2:$T$500,0)),"")</f>
        <v/>
      </c>
      <c r="B204" s="49" t="str">
        <f>IFERROR(INDEX(Registro!$F$2:$F$500,MATCH(203,Registro!$T$2:$T$500,0)),"")</f>
        <v/>
      </c>
      <c r="C204" s="49" t="str">
        <f>IFERROR(INDEX(Registro!$G$2:$G$500,MATCH(203,Registro!$T$2:$T$500,0)),"")</f>
        <v/>
      </c>
      <c r="D204" s="49" t="str">
        <f>IFERROR(INDEX(Registro!$H$2:$H$500,MATCH(203,Registro!$T$2:$T$500,0)),"")</f>
        <v/>
      </c>
      <c r="E204" s="50" t="str">
        <f>IFERROR(INDEX(Registro!$C$2:$C$500,MATCH(203,Registro!$T$2:$T$500,0)),"")</f>
        <v/>
      </c>
      <c r="F204" s="49" t="str">
        <f>IFERROR(INDEX(Registro!$B$2:$B$500,MATCH(203,Registro!$T$2:$T$500,0)),"")</f>
        <v/>
      </c>
      <c r="G204" s="49" t="str">
        <f>IFERROR(INDEX(Registro!$P$2:$P$500,MATCH(203,Registro!$T$2:$T$500,0)),"")</f>
        <v/>
      </c>
      <c r="H204" s="49" t="str">
        <f>IFERROR(INDEX(Registro!$Q$2:$Q$500,MATCH(203,Registro!$T$2:$T$500,0)),"")</f>
        <v/>
      </c>
    </row>
    <row r="205" spans="1:8" x14ac:dyDescent="0.25">
      <c r="A205" s="49" t="str">
        <f>IFERROR(INDEX(Registro!$E$2:$E$500,MATCH(204,Registro!$T$2:$T$500,0)),"")</f>
        <v/>
      </c>
      <c r="B205" s="49" t="str">
        <f>IFERROR(INDEX(Registro!$F$2:$F$500,MATCH(204,Registro!$T$2:$T$500,0)),"")</f>
        <v/>
      </c>
      <c r="C205" s="49" t="str">
        <f>IFERROR(INDEX(Registro!$G$2:$G$500,MATCH(204,Registro!$T$2:$T$500,0)),"")</f>
        <v/>
      </c>
      <c r="D205" s="49" t="str">
        <f>IFERROR(INDEX(Registro!$H$2:$H$500,MATCH(204,Registro!$T$2:$T$500,0)),"")</f>
        <v/>
      </c>
      <c r="E205" s="50" t="str">
        <f>IFERROR(INDEX(Registro!$C$2:$C$500,MATCH(204,Registro!$T$2:$T$500,0)),"")</f>
        <v/>
      </c>
      <c r="F205" s="49" t="str">
        <f>IFERROR(INDEX(Registro!$B$2:$B$500,MATCH(204,Registro!$T$2:$T$500,0)),"")</f>
        <v/>
      </c>
      <c r="G205" s="49" t="str">
        <f>IFERROR(INDEX(Registro!$P$2:$P$500,MATCH(204,Registro!$T$2:$T$500,0)),"")</f>
        <v/>
      </c>
      <c r="H205" s="49" t="str">
        <f>IFERROR(INDEX(Registro!$Q$2:$Q$500,MATCH(204,Registro!$T$2:$T$500,0)),"")</f>
        <v/>
      </c>
    </row>
    <row r="206" spans="1:8" x14ac:dyDescent="0.25">
      <c r="A206" s="49" t="str">
        <f>IFERROR(INDEX(Registro!$E$2:$E$500,MATCH(205,Registro!$T$2:$T$500,0)),"")</f>
        <v/>
      </c>
      <c r="B206" s="49" t="str">
        <f>IFERROR(INDEX(Registro!$F$2:$F$500,MATCH(205,Registro!$T$2:$T$500,0)),"")</f>
        <v/>
      </c>
      <c r="C206" s="49" t="str">
        <f>IFERROR(INDEX(Registro!$G$2:$G$500,MATCH(205,Registro!$T$2:$T$500,0)),"")</f>
        <v/>
      </c>
      <c r="D206" s="49" t="str">
        <f>IFERROR(INDEX(Registro!$H$2:$H$500,MATCH(205,Registro!$T$2:$T$500,0)),"")</f>
        <v/>
      </c>
      <c r="E206" s="50" t="str">
        <f>IFERROR(INDEX(Registro!$C$2:$C$500,MATCH(205,Registro!$T$2:$T$500,0)),"")</f>
        <v/>
      </c>
      <c r="F206" s="49" t="str">
        <f>IFERROR(INDEX(Registro!$B$2:$B$500,MATCH(205,Registro!$T$2:$T$500,0)),"")</f>
        <v/>
      </c>
      <c r="G206" s="49" t="str">
        <f>IFERROR(INDEX(Registro!$P$2:$P$500,MATCH(205,Registro!$T$2:$T$500,0)),"")</f>
        <v/>
      </c>
      <c r="H206" s="49" t="str">
        <f>IFERROR(INDEX(Registro!$Q$2:$Q$500,MATCH(205,Registro!$T$2:$T$500,0)),"")</f>
        <v/>
      </c>
    </row>
    <row r="207" spans="1:8" x14ac:dyDescent="0.25">
      <c r="A207" s="49" t="str">
        <f>IFERROR(INDEX(Registro!$E$2:$E$500,MATCH(206,Registro!$T$2:$T$500,0)),"")</f>
        <v/>
      </c>
      <c r="B207" s="49" t="str">
        <f>IFERROR(INDEX(Registro!$F$2:$F$500,MATCH(206,Registro!$T$2:$T$500,0)),"")</f>
        <v/>
      </c>
      <c r="C207" s="49" t="str">
        <f>IFERROR(INDEX(Registro!$G$2:$G$500,MATCH(206,Registro!$T$2:$T$500,0)),"")</f>
        <v/>
      </c>
      <c r="D207" s="49" t="str">
        <f>IFERROR(INDEX(Registro!$H$2:$H$500,MATCH(206,Registro!$T$2:$T$500,0)),"")</f>
        <v/>
      </c>
      <c r="E207" s="50" t="str">
        <f>IFERROR(INDEX(Registro!$C$2:$C$500,MATCH(206,Registro!$T$2:$T$500,0)),"")</f>
        <v/>
      </c>
      <c r="F207" s="49" t="str">
        <f>IFERROR(INDEX(Registro!$B$2:$B$500,MATCH(206,Registro!$T$2:$T$500,0)),"")</f>
        <v/>
      </c>
      <c r="G207" s="49" t="str">
        <f>IFERROR(INDEX(Registro!$P$2:$P$500,MATCH(206,Registro!$T$2:$T$500,0)),"")</f>
        <v/>
      </c>
      <c r="H207" s="49" t="str">
        <f>IFERROR(INDEX(Registro!$Q$2:$Q$500,MATCH(206,Registro!$T$2:$T$500,0)),"")</f>
        <v/>
      </c>
    </row>
    <row r="208" spans="1:8" x14ac:dyDescent="0.25">
      <c r="A208" s="49" t="str">
        <f>IFERROR(INDEX(Registro!$E$2:$E$500,MATCH(207,Registro!$T$2:$T$500,0)),"")</f>
        <v/>
      </c>
      <c r="B208" s="49" t="str">
        <f>IFERROR(INDEX(Registro!$F$2:$F$500,MATCH(207,Registro!$T$2:$T$500,0)),"")</f>
        <v/>
      </c>
      <c r="C208" s="49" t="str">
        <f>IFERROR(INDEX(Registro!$G$2:$G$500,MATCH(207,Registro!$T$2:$T$500,0)),"")</f>
        <v/>
      </c>
      <c r="D208" s="49" t="str">
        <f>IFERROR(INDEX(Registro!$H$2:$H$500,MATCH(207,Registro!$T$2:$T$500,0)),"")</f>
        <v/>
      </c>
      <c r="E208" s="50" t="str">
        <f>IFERROR(INDEX(Registro!$C$2:$C$500,MATCH(207,Registro!$T$2:$T$500,0)),"")</f>
        <v/>
      </c>
      <c r="F208" s="49" t="str">
        <f>IFERROR(INDEX(Registro!$B$2:$B$500,MATCH(207,Registro!$T$2:$T$500,0)),"")</f>
        <v/>
      </c>
      <c r="G208" s="49" t="str">
        <f>IFERROR(INDEX(Registro!$P$2:$P$500,MATCH(207,Registro!$T$2:$T$500,0)),"")</f>
        <v/>
      </c>
      <c r="H208" s="49" t="str">
        <f>IFERROR(INDEX(Registro!$Q$2:$Q$500,MATCH(207,Registro!$T$2:$T$500,0)),"")</f>
        <v/>
      </c>
    </row>
    <row r="209" spans="1:8" x14ac:dyDescent="0.25">
      <c r="A209" s="49" t="str">
        <f>IFERROR(INDEX(Registro!$E$2:$E$500,MATCH(208,Registro!$T$2:$T$500,0)),"")</f>
        <v/>
      </c>
      <c r="B209" s="49" t="str">
        <f>IFERROR(INDEX(Registro!$F$2:$F$500,MATCH(208,Registro!$T$2:$T$500,0)),"")</f>
        <v/>
      </c>
      <c r="C209" s="49" t="str">
        <f>IFERROR(INDEX(Registro!$G$2:$G$500,MATCH(208,Registro!$T$2:$T$500,0)),"")</f>
        <v/>
      </c>
      <c r="D209" s="49" t="str">
        <f>IFERROR(INDEX(Registro!$H$2:$H$500,MATCH(208,Registro!$T$2:$T$500,0)),"")</f>
        <v/>
      </c>
      <c r="E209" s="50" t="str">
        <f>IFERROR(INDEX(Registro!$C$2:$C$500,MATCH(208,Registro!$T$2:$T$500,0)),"")</f>
        <v/>
      </c>
      <c r="F209" s="49" t="str">
        <f>IFERROR(INDEX(Registro!$B$2:$B$500,MATCH(208,Registro!$T$2:$T$500,0)),"")</f>
        <v/>
      </c>
      <c r="G209" s="49" t="str">
        <f>IFERROR(INDEX(Registro!$P$2:$P$500,MATCH(208,Registro!$T$2:$T$500,0)),"")</f>
        <v/>
      </c>
      <c r="H209" s="49" t="str">
        <f>IFERROR(INDEX(Registro!$Q$2:$Q$500,MATCH(208,Registro!$T$2:$T$500,0)),"")</f>
        <v/>
      </c>
    </row>
    <row r="210" spans="1:8" x14ac:dyDescent="0.25">
      <c r="A210" s="49" t="str">
        <f>IFERROR(INDEX(Registro!$E$2:$E$500,MATCH(209,Registro!$T$2:$T$500,0)),"")</f>
        <v/>
      </c>
      <c r="B210" s="49" t="str">
        <f>IFERROR(INDEX(Registro!$F$2:$F$500,MATCH(209,Registro!$T$2:$T$500,0)),"")</f>
        <v/>
      </c>
      <c r="C210" s="49" t="str">
        <f>IFERROR(INDEX(Registro!$G$2:$G$500,MATCH(209,Registro!$T$2:$T$500,0)),"")</f>
        <v/>
      </c>
      <c r="D210" s="49" t="str">
        <f>IFERROR(INDEX(Registro!$H$2:$H$500,MATCH(209,Registro!$T$2:$T$500,0)),"")</f>
        <v/>
      </c>
      <c r="E210" s="50" t="str">
        <f>IFERROR(INDEX(Registro!$C$2:$C$500,MATCH(209,Registro!$T$2:$T$500,0)),"")</f>
        <v/>
      </c>
      <c r="F210" s="49" t="str">
        <f>IFERROR(INDEX(Registro!$B$2:$B$500,MATCH(209,Registro!$T$2:$T$500,0)),"")</f>
        <v/>
      </c>
      <c r="G210" s="49" t="str">
        <f>IFERROR(INDEX(Registro!$P$2:$P$500,MATCH(209,Registro!$T$2:$T$500,0)),"")</f>
        <v/>
      </c>
      <c r="H210" s="49" t="str">
        <f>IFERROR(INDEX(Registro!$Q$2:$Q$500,MATCH(209,Registro!$T$2:$T$500,0)),"")</f>
        <v/>
      </c>
    </row>
    <row r="211" spans="1:8" x14ac:dyDescent="0.25">
      <c r="A211" s="49" t="str">
        <f>IFERROR(INDEX(Registro!$E$2:$E$500,MATCH(210,Registro!$T$2:$T$500,0)),"")</f>
        <v/>
      </c>
      <c r="B211" s="49" t="str">
        <f>IFERROR(INDEX(Registro!$F$2:$F$500,MATCH(210,Registro!$T$2:$T$500,0)),"")</f>
        <v/>
      </c>
      <c r="C211" s="49" t="str">
        <f>IFERROR(INDEX(Registro!$G$2:$G$500,MATCH(210,Registro!$T$2:$T$500,0)),"")</f>
        <v/>
      </c>
      <c r="D211" s="49" t="str">
        <f>IFERROR(INDEX(Registro!$H$2:$H$500,MATCH(210,Registro!$T$2:$T$500,0)),"")</f>
        <v/>
      </c>
      <c r="E211" s="50" t="str">
        <f>IFERROR(INDEX(Registro!$C$2:$C$500,MATCH(210,Registro!$T$2:$T$500,0)),"")</f>
        <v/>
      </c>
      <c r="F211" s="49" t="str">
        <f>IFERROR(INDEX(Registro!$B$2:$B$500,MATCH(210,Registro!$T$2:$T$500,0)),"")</f>
        <v/>
      </c>
      <c r="G211" s="49" t="str">
        <f>IFERROR(INDEX(Registro!$P$2:$P$500,MATCH(210,Registro!$T$2:$T$500,0)),"")</f>
        <v/>
      </c>
      <c r="H211" s="49" t="str">
        <f>IFERROR(INDEX(Registro!$Q$2:$Q$500,MATCH(210,Registro!$T$2:$T$500,0)),"")</f>
        <v/>
      </c>
    </row>
    <row r="212" spans="1:8" x14ac:dyDescent="0.25">
      <c r="A212" s="49" t="str">
        <f>IFERROR(INDEX(Registro!$E$2:$E$500,MATCH(211,Registro!$T$2:$T$500,0)),"")</f>
        <v/>
      </c>
      <c r="B212" s="49" t="str">
        <f>IFERROR(INDEX(Registro!$F$2:$F$500,MATCH(211,Registro!$T$2:$T$500,0)),"")</f>
        <v/>
      </c>
      <c r="C212" s="49" t="str">
        <f>IFERROR(INDEX(Registro!$G$2:$G$500,MATCH(211,Registro!$T$2:$T$500,0)),"")</f>
        <v/>
      </c>
      <c r="D212" s="49" t="str">
        <f>IFERROR(INDEX(Registro!$H$2:$H$500,MATCH(211,Registro!$T$2:$T$500,0)),"")</f>
        <v/>
      </c>
      <c r="E212" s="50" t="str">
        <f>IFERROR(INDEX(Registro!$C$2:$C$500,MATCH(211,Registro!$T$2:$T$500,0)),"")</f>
        <v/>
      </c>
      <c r="F212" s="49" t="str">
        <f>IFERROR(INDEX(Registro!$B$2:$B$500,MATCH(211,Registro!$T$2:$T$500,0)),"")</f>
        <v/>
      </c>
      <c r="G212" s="49" t="str">
        <f>IFERROR(INDEX(Registro!$P$2:$P$500,MATCH(211,Registro!$T$2:$T$500,0)),"")</f>
        <v/>
      </c>
      <c r="H212" s="49" t="str">
        <f>IFERROR(INDEX(Registro!$Q$2:$Q$500,MATCH(211,Registro!$T$2:$T$500,0)),"")</f>
        <v/>
      </c>
    </row>
    <row r="213" spans="1:8" x14ac:dyDescent="0.25">
      <c r="A213" s="49" t="str">
        <f>IFERROR(INDEX(Registro!$E$2:$E$500,MATCH(212,Registro!$T$2:$T$500,0)),"")</f>
        <v/>
      </c>
      <c r="B213" s="49" t="str">
        <f>IFERROR(INDEX(Registro!$F$2:$F$500,MATCH(212,Registro!$T$2:$T$500,0)),"")</f>
        <v/>
      </c>
      <c r="C213" s="49" t="str">
        <f>IFERROR(INDEX(Registro!$G$2:$G$500,MATCH(212,Registro!$T$2:$T$500,0)),"")</f>
        <v/>
      </c>
      <c r="D213" s="49" t="str">
        <f>IFERROR(INDEX(Registro!$H$2:$H$500,MATCH(212,Registro!$T$2:$T$500,0)),"")</f>
        <v/>
      </c>
      <c r="E213" s="50" t="str">
        <f>IFERROR(INDEX(Registro!$C$2:$C$500,MATCH(212,Registro!$T$2:$T$500,0)),"")</f>
        <v/>
      </c>
      <c r="F213" s="49" t="str">
        <f>IFERROR(INDEX(Registro!$B$2:$B$500,MATCH(212,Registro!$T$2:$T$500,0)),"")</f>
        <v/>
      </c>
      <c r="G213" s="49" t="str">
        <f>IFERROR(INDEX(Registro!$P$2:$P$500,MATCH(212,Registro!$T$2:$T$500,0)),"")</f>
        <v/>
      </c>
      <c r="H213" s="49" t="str">
        <f>IFERROR(INDEX(Registro!$Q$2:$Q$500,MATCH(212,Registro!$T$2:$T$500,0)),"")</f>
        <v/>
      </c>
    </row>
    <row r="214" spans="1:8" x14ac:dyDescent="0.25">
      <c r="A214" s="49" t="str">
        <f>IFERROR(INDEX(Registro!$E$2:$E$500,MATCH(213,Registro!$T$2:$T$500,0)),"")</f>
        <v/>
      </c>
      <c r="B214" s="49" t="str">
        <f>IFERROR(INDEX(Registro!$F$2:$F$500,MATCH(213,Registro!$T$2:$T$500,0)),"")</f>
        <v/>
      </c>
      <c r="C214" s="49" t="str">
        <f>IFERROR(INDEX(Registro!$G$2:$G$500,MATCH(213,Registro!$T$2:$T$500,0)),"")</f>
        <v/>
      </c>
      <c r="D214" s="49" t="str">
        <f>IFERROR(INDEX(Registro!$H$2:$H$500,MATCH(213,Registro!$T$2:$T$500,0)),"")</f>
        <v/>
      </c>
      <c r="E214" s="50" t="str">
        <f>IFERROR(INDEX(Registro!$C$2:$C$500,MATCH(213,Registro!$T$2:$T$500,0)),"")</f>
        <v/>
      </c>
      <c r="F214" s="49" t="str">
        <f>IFERROR(INDEX(Registro!$B$2:$B$500,MATCH(213,Registro!$T$2:$T$500,0)),"")</f>
        <v/>
      </c>
      <c r="G214" s="49" t="str">
        <f>IFERROR(INDEX(Registro!$P$2:$P$500,MATCH(213,Registro!$T$2:$T$500,0)),"")</f>
        <v/>
      </c>
      <c r="H214" s="49" t="str">
        <f>IFERROR(INDEX(Registro!$Q$2:$Q$500,MATCH(213,Registro!$T$2:$T$500,0)),"")</f>
        <v/>
      </c>
    </row>
    <row r="215" spans="1:8" x14ac:dyDescent="0.25">
      <c r="A215" s="49" t="str">
        <f>IFERROR(INDEX(Registro!$E$2:$E$500,MATCH(214,Registro!$T$2:$T$500,0)),"")</f>
        <v/>
      </c>
      <c r="B215" s="49" t="str">
        <f>IFERROR(INDEX(Registro!$F$2:$F$500,MATCH(214,Registro!$T$2:$T$500,0)),"")</f>
        <v/>
      </c>
      <c r="C215" s="49" t="str">
        <f>IFERROR(INDEX(Registro!$G$2:$G$500,MATCH(214,Registro!$T$2:$T$500,0)),"")</f>
        <v/>
      </c>
      <c r="D215" s="49" t="str">
        <f>IFERROR(INDEX(Registro!$H$2:$H$500,MATCH(214,Registro!$T$2:$T$500,0)),"")</f>
        <v/>
      </c>
      <c r="E215" s="50" t="str">
        <f>IFERROR(INDEX(Registro!$C$2:$C$500,MATCH(214,Registro!$T$2:$T$500,0)),"")</f>
        <v/>
      </c>
      <c r="F215" s="49" t="str">
        <f>IFERROR(INDEX(Registro!$B$2:$B$500,MATCH(214,Registro!$T$2:$T$500,0)),"")</f>
        <v/>
      </c>
      <c r="G215" s="49" t="str">
        <f>IFERROR(INDEX(Registro!$P$2:$P$500,MATCH(214,Registro!$T$2:$T$500,0)),"")</f>
        <v/>
      </c>
      <c r="H215" s="49" t="str">
        <f>IFERROR(INDEX(Registro!$Q$2:$Q$500,MATCH(214,Registro!$T$2:$T$500,0)),"")</f>
        <v/>
      </c>
    </row>
    <row r="216" spans="1:8" x14ac:dyDescent="0.25">
      <c r="A216" s="49" t="str">
        <f>IFERROR(INDEX(Registro!$E$2:$E$500,MATCH(215,Registro!$T$2:$T$500,0)),"")</f>
        <v/>
      </c>
      <c r="B216" s="49" t="str">
        <f>IFERROR(INDEX(Registro!$F$2:$F$500,MATCH(215,Registro!$T$2:$T$500,0)),"")</f>
        <v/>
      </c>
      <c r="C216" s="49" t="str">
        <f>IFERROR(INDEX(Registro!$G$2:$G$500,MATCH(215,Registro!$T$2:$T$500,0)),"")</f>
        <v/>
      </c>
      <c r="D216" s="49" t="str">
        <f>IFERROR(INDEX(Registro!$H$2:$H$500,MATCH(215,Registro!$T$2:$T$500,0)),"")</f>
        <v/>
      </c>
      <c r="E216" s="50" t="str">
        <f>IFERROR(INDEX(Registro!$C$2:$C$500,MATCH(215,Registro!$T$2:$T$500,0)),"")</f>
        <v/>
      </c>
      <c r="F216" s="49" t="str">
        <f>IFERROR(INDEX(Registro!$B$2:$B$500,MATCH(215,Registro!$T$2:$T$500,0)),"")</f>
        <v/>
      </c>
      <c r="G216" s="49" t="str">
        <f>IFERROR(INDEX(Registro!$P$2:$P$500,MATCH(215,Registro!$T$2:$T$500,0)),"")</f>
        <v/>
      </c>
      <c r="H216" s="49" t="str">
        <f>IFERROR(INDEX(Registro!$Q$2:$Q$500,MATCH(215,Registro!$T$2:$T$500,0)),"")</f>
        <v/>
      </c>
    </row>
    <row r="217" spans="1:8" x14ac:dyDescent="0.25">
      <c r="A217" s="49" t="str">
        <f>IFERROR(INDEX(Registro!$E$2:$E$500,MATCH(216,Registro!$T$2:$T$500,0)),"")</f>
        <v/>
      </c>
      <c r="B217" s="49" t="str">
        <f>IFERROR(INDEX(Registro!$F$2:$F$500,MATCH(216,Registro!$T$2:$T$500,0)),"")</f>
        <v/>
      </c>
      <c r="C217" s="49" t="str">
        <f>IFERROR(INDEX(Registro!$G$2:$G$500,MATCH(216,Registro!$T$2:$T$500,0)),"")</f>
        <v/>
      </c>
      <c r="D217" s="49" t="str">
        <f>IFERROR(INDEX(Registro!$H$2:$H$500,MATCH(216,Registro!$T$2:$T$500,0)),"")</f>
        <v/>
      </c>
      <c r="E217" s="50" t="str">
        <f>IFERROR(INDEX(Registro!$C$2:$C$500,MATCH(216,Registro!$T$2:$T$500,0)),"")</f>
        <v/>
      </c>
      <c r="F217" s="49" t="str">
        <f>IFERROR(INDEX(Registro!$B$2:$B$500,MATCH(216,Registro!$T$2:$T$500,0)),"")</f>
        <v/>
      </c>
      <c r="G217" s="49" t="str">
        <f>IFERROR(INDEX(Registro!$P$2:$P$500,MATCH(216,Registro!$T$2:$T$500,0)),"")</f>
        <v/>
      </c>
      <c r="H217" s="49" t="str">
        <f>IFERROR(INDEX(Registro!$Q$2:$Q$500,MATCH(216,Registro!$T$2:$T$500,0)),"")</f>
        <v/>
      </c>
    </row>
    <row r="218" spans="1:8" x14ac:dyDescent="0.25">
      <c r="A218" s="49" t="str">
        <f>IFERROR(INDEX(Registro!$E$2:$E$500,MATCH(217,Registro!$T$2:$T$500,0)),"")</f>
        <v/>
      </c>
      <c r="B218" s="49" t="str">
        <f>IFERROR(INDEX(Registro!$F$2:$F$500,MATCH(217,Registro!$T$2:$T$500,0)),"")</f>
        <v/>
      </c>
      <c r="C218" s="49" t="str">
        <f>IFERROR(INDEX(Registro!$G$2:$G$500,MATCH(217,Registro!$T$2:$T$500,0)),"")</f>
        <v/>
      </c>
      <c r="D218" s="49" t="str">
        <f>IFERROR(INDEX(Registro!$H$2:$H$500,MATCH(217,Registro!$T$2:$T$500,0)),"")</f>
        <v/>
      </c>
      <c r="E218" s="50" t="str">
        <f>IFERROR(INDEX(Registro!$C$2:$C$500,MATCH(217,Registro!$T$2:$T$500,0)),"")</f>
        <v/>
      </c>
      <c r="F218" s="49" t="str">
        <f>IFERROR(INDEX(Registro!$B$2:$B$500,MATCH(217,Registro!$T$2:$T$500,0)),"")</f>
        <v/>
      </c>
      <c r="G218" s="49" t="str">
        <f>IFERROR(INDEX(Registro!$P$2:$P$500,MATCH(217,Registro!$T$2:$T$500,0)),"")</f>
        <v/>
      </c>
      <c r="H218" s="49" t="str">
        <f>IFERROR(INDEX(Registro!$Q$2:$Q$500,MATCH(217,Registro!$T$2:$T$500,0)),"")</f>
        <v/>
      </c>
    </row>
    <row r="219" spans="1:8" x14ac:dyDescent="0.25">
      <c r="A219" s="49" t="str">
        <f>IFERROR(INDEX(Registro!$E$2:$E$500,MATCH(218,Registro!$T$2:$T$500,0)),"")</f>
        <v/>
      </c>
      <c r="B219" s="49" t="str">
        <f>IFERROR(INDEX(Registro!$F$2:$F$500,MATCH(218,Registro!$T$2:$T$500,0)),"")</f>
        <v/>
      </c>
      <c r="C219" s="49" t="str">
        <f>IFERROR(INDEX(Registro!$G$2:$G$500,MATCH(218,Registro!$T$2:$T$500,0)),"")</f>
        <v/>
      </c>
      <c r="D219" s="49" t="str">
        <f>IFERROR(INDEX(Registro!$H$2:$H$500,MATCH(218,Registro!$T$2:$T$500,0)),"")</f>
        <v/>
      </c>
      <c r="E219" s="50" t="str">
        <f>IFERROR(INDEX(Registro!$C$2:$C$500,MATCH(218,Registro!$T$2:$T$500,0)),"")</f>
        <v/>
      </c>
      <c r="F219" s="49" t="str">
        <f>IFERROR(INDEX(Registro!$B$2:$B$500,MATCH(218,Registro!$T$2:$T$500,0)),"")</f>
        <v/>
      </c>
      <c r="G219" s="49" t="str">
        <f>IFERROR(INDEX(Registro!$P$2:$P$500,MATCH(218,Registro!$T$2:$T$500,0)),"")</f>
        <v/>
      </c>
      <c r="H219" s="49" t="str">
        <f>IFERROR(INDEX(Registro!$Q$2:$Q$500,MATCH(218,Registro!$T$2:$T$500,0)),"")</f>
        <v/>
      </c>
    </row>
    <row r="220" spans="1:8" x14ac:dyDescent="0.25">
      <c r="A220" s="49" t="str">
        <f>IFERROR(INDEX(Registro!$E$2:$E$500,MATCH(219,Registro!$T$2:$T$500,0)),"")</f>
        <v/>
      </c>
      <c r="B220" s="49" t="str">
        <f>IFERROR(INDEX(Registro!$F$2:$F$500,MATCH(219,Registro!$T$2:$T$500,0)),"")</f>
        <v/>
      </c>
      <c r="C220" s="49" t="str">
        <f>IFERROR(INDEX(Registro!$G$2:$G$500,MATCH(219,Registro!$T$2:$T$500,0)),"")</f>
        <v/>
      </c>
      <c r="D220" s="49" t="str">
        <f>IFERROR(INDEX(Registro!$H$2:$H$500,MATCH(219,Registro!$T$2:$T$500,0)),"")</f>
        <v/>
      </c>
      <c r="E220" s="50" t="str">
        <f>IFERROR(INDEX(Registro!$C$2:$C$500,MATCH(219,Registro!$T$2:$T$500,0)),"")</f>
        <v/>
      </c>
      <c r="F220" s="49" t="str">
        <f>IFERROR(INDEX(Registro!$B$2:$B$500,MATCH(219,Registro!$T$2:$T$500,0)),"")</f>
        <v/>
      </c>
      <c r="G220" s="49" t="str">
        <f>IFERROR(INDEX(Registro!$P$2:$P$500,MATCH(219,Registro!$T$2:$T$500,0)),"")</f>
        <v/>
      </c>
      <c r="H220" s="49" t="str">
        <f>IFERROR(INDEX(Registro!$Q$2:$Q$500,MATCH(219,Registro!$T$2:$T$500,0)),"")</f>
        <v/>
      </c>
    </row>
    <row r="221" spans="1:8" x14ac:dyDescent="0.25">
      <c r="A221" s="49" t="str">
        <f>IFERROR(INDEX(Registro!$E$2:$E$500,MATCH(220,Registro!$T$2:$T$500,0)),"")</f>
        <v/>
      </c>
      <c r="B221" s="49" t="str">
        <f>IFERROR(INDEX(Registro!$F$2:$F$500,MATCH(220,Registro!$T$2:$T$500,0)),"")</f>
        <v/>
      </c>
      <c r="C221" s="49" t="str">
        <f>IFERROR(INDEX(Registro!$G$2:$G$500,MATCH(220,Registro!$T$2:$T$500,0)),"")</f>
        <v/>
      </c>
      <c r="D221" s="49" t="str">
        <f>IFERROR(INDEX(Registro!$H$2:$H$500,MATCH(220,Registro!$T$2:$T$500,0)),"")</f>
        <v/>
      </c>
      <c r="E221" s="50" t="str">
        <f>IFERROR(INDEX(Registro!$C$2:$C$500,MATCH(220,Registro!$T$2:$T$500,0)),"")</f>
        <v/>
      </c>
      <c r="F221" s="49" t="str">
        <f>IFERROR(INDEX(Registro!$B$2:$B$500,MATCH(220,Registro!$T$2:$T$500,0)),"")</f>
        <v/>
      </c>
      <c r="G221" s="49" t="str">
        <f>IFERROR(INDEX(Registro!$P$2:$P$500,MATCH(220,Registro!$T$2:$T$500,0)),"")</f>
        <v/>
      </c>
      <c r="H221" s="49" t="str">
        <f>IFERROR(INDEX(Registro!$Q$2:$Q$500,MATCH(220,Registro!$T$2:$T$500,0)),"")</f>
        <v/>
      </c>
    </row>
    <row r="222" spans="1:8" x14ac:dyDescent="0.25">
      <c r="A222" s="49" t="str">
        <f>IFERROR(INDEX(Registro!$E$2:$E$500,MATCH(221,Registro!$T$2:$T$500,0)),"")</f>
        <v/>
      </c>
      <c r="B222" s="49" t="str">
        <f>IFERROR(INDEX(Registro!$F$2:$F$500,MATCH(221,Registro!$T$2:$T$500,0)),"")</f>
        <v/>
      </c>
      <c r="C222" s="49" t="str">
        <f>IFERROR(INDEX(Registro!$G$2:$G$500,MATCH(221,Registro!$T$2:$T$500,0)),"")</f>
        <v/>
      </c>
      <c r="D222" s="49" t="str">
        <f>IFERROR(INDEX(Registro!$H$2:$H$500,MATCH(221,Registro!$T$2:$T$500,0)),"")</f>
        <v/>
      </c>
      <c r="E222" s="50" t="str">
        <f>IFERROR(INDEX(Registro!$C$2:$C$500,MATCH(221,Registro!$T$2:$T$500,0)),"")</f>
        <v/>
      </c>
      <c r="F222" s="49" t="str">
        <f>IFERROR(INDEX(Registro!$B$2:$B$500,MATCH(221,Registro!$T$2:$T$500,0)),"")</f>
        <v/>
      </c>
      <c r="G222" s="49" t="str">
        <f>IFERROR(INDEX(Registro!$P$2:$P$500,MATCH(221,Registro!$T$2:$T$500,0)),"")</f>
        <v/>
      </c>
      <c r="H222" s="49" t="str">
        <f>IFERROR(INDEX(Registro!$Q$2:$Q$500,MATCH(221,Registro!$T$2:$T$500,0)),"")</f>
        <v/>
      </c>
    </row>
    <row r="223" spans="1:8" x14ac:dyDescent="0.25">
      <c r="A223" s="49" t="str">
        <f>IFERROR(INDEX(Registro!$E$2:$E$500,MATCH(222,Registro!$T$2:$T$500,0)),"")</f>
        <v/>
      </c>
      <c r="B223" s="49" t="str">
        <f>IFERROR(INDEX(Registro!$F$2:$F$500,MATCH(222,Registro!$T$2:$T$500,0)),"")</f>
        <v/>
      </c>
      <c r="C223" s="49" t="str">
        <f>IFERROR(INDEX(Registro!$G$2:$G$500,MATCH(222,Registro!$T$2:$T$500,0)),"")</f>
        <v/>
      </c>
      <c r="D223" s="49" t="str">
        <f>IFERROR(INDEX(Registro!$H$2:$H$500,MATCH(222,Registro!$T$2:$T$500,0)),"")</f>
        <v/>
      </c>
      <c r="E223" s="50" t="str">
        <f>IFERROR(INDEX(Registro!$C$2:$C$500,MATCH(222,Registro!$T$2:$T$500,0)),"")</f>
        <v/>
      </c>
      <c r="F223" s="49" t="str">
        <f>IFERROR(INDEX(Registro!$B$2:$B$500,MATCH(222,Registro!$T$2:$T$500,0)),"")</f>
        <v/>
      </c>
      <c r="G223" s="49" t="str">
        <f>IFERROR(INDEX(Registro!$P$2:$P$500,MATCH(222,Registro!$T$2:$T$500,0)),"")</f>
        <v/>
      </c>
      <c r="H223" s="49" t="str">
        <f>IFERROR(INDEX(Registro!$Q$2:$Q$500,MATCH(222,Registro!$T$2:$T$500,0)),"")</f>
        <v/>
      </c>
    </row>
    <row r="224" spans="1:8" x14ac:dyDescent="0.25">
      <c r="A224" s="49" t="str">
        <f>IFERROR(INDEX(Registro!$E$2:$E$500,MATCH(223,Registro!$T$2:$T$500,0)),"")</f>
        <v/>
      </c>
      <c r="B224" s="49" t="str">
        <f>IFERROR(INDEX(Registro!$F$2:$F$500,MATCH(223,Registro!$T$2:$T$500,0)),"")</f>
        <v/>
      </c>
      <c r="C224" s="49" t="str">
        <f>IFERROR(INDEX(Registro!$G$2:$G$500,MATCH(223,Registro!$T$2:$T$500,0)),"")</f>
        <v/>
      </c>
      <c r="D224" s="49" t="str">
        <f>IFERROR(INDEX(Registro!$H$2:$H$500,MATCH(223,Registro!$T$2:$T$500,0)),"")</f>
        <v/>
      </c>
      <c r="E224" s="50" t="str">
        <f>IFERROR(INDEX(Registro!$C$2:$C$500,MATCH(223,Registro!$T$2:$T$500,0)),"")</f>
        <v/>
      </c>
      <c r="F224" s="49" t="str">
        <f>IFERROR(INDEX(Registro!$B$2:$B$500,MATCH(223,Registro!$T$2:$T$500,0)),"")</f>
        <v/>
      </c>
      <c r="G224" s="49" t="str">
        <f>IFERROR(INDEX(Registro!$P$2:$P$500,MATCH(223,Registro!$T$2:$T$500,0)),"")</f>
        <v/>
      </c>
      <c r="H224" s="49" t="str">
        <f>IFERROR(INDEX(Registro!$Q$2:$Q$500,MATCH(223,Registro!$T$2:$T$500,0)),"")</f>
        <v/>
      </c>
    </row>
    <row r="225" spans="1:8" x14ac:dyDescent="0.25">
      <c r="A225" s="49" t="str">
        <f>IFERROR(INDEX(Registro!$E$2:$E$500,MATCH(224,Registro!$T$2:$T$500,0)),"")</f>
        <v/>
      </c>
      <c r="B225" s="49" t="str">
        <f>IFERROR(INDEX(Registro!$F$2:$F$500,MATCH(224,Registro!$T$2:$T$500,0)),"")</f>
        <v/>
      </c>
      <c r="C225" s="49" t="str">
        <f>IFERROR(INDEX(Registro!$G$2:$G$500,MATCH(224,Registro!$T$2:$T$500,0)),"")</f>
        <v/>
      </c>
      <c r="D225" s="49" t="str">
        <f>IFERROR(INDEX(Registro!$H$2:$H$500,MATCH(224,Registro!$T$2:$T$500,0)),"")</f>
        <v/>
      </c>
      <c r="E225" s="50" t="str">
        <f>IFERROR(INDEX(Registro!$C$2:$C$500,MATCH(224,Registro!$T$2:$T$500,0)),"")</f>
        <v/>
      </c>
      <c r="F225" s="49" t="str">
        <f>IFERROR(INDEX(Registro!$B$2:$B$500,MATCH(224,Registro!$T$2:$T$500,0)),"")</f>
        <v/>
      </c>
      <c r="G225" s="49" t="str">
        <f>IFERROR(INDEX(Registro!$P$2:$P$500,MATCH(224,Registro!$T$2:$T$500,0)),"")</f>
        <v/>
      </c>
      <c r="H225" s="49" t="str">
        <f>IFERROR(INDEX(Registro!$Q$2:$Q$500,MATCH(224,Registro!$T$2:$T$500,0)),"")</f>
        <v/>
      </c>
    </row>
    <row r="226" spans="1:8" x14ac:dyDescent="0.25">
      <c r="A226" s="49" t="str">
        <f>IFERROR(INDEX(Registro!$E$2:$E$500,MATCH(225,Registro!$T$2:$T$500,0)),"")</f>
        <v/>
      </c>
      <c r="B226" s="49" t="str">
        <f>IFERROR(INDEX(Registro!$F$2:$F$500,MATCH(225,Registro!$T$2:$T$500,0)),"")</f>
        <v/>
      </c>
      <c r="C226" s="49" t="str">
        <f>IFERROR(INDEX(Registro!$G$2:$G$500,MATCH(225,Registro!$T$2:$T$500,0)),"")</f>
        <v/>
      </c>
      <c r="D226" s="49" t="str">
        <f>IFERROR(INDEX(Registro!$H$2:$H$500,MATCH(225,Registro!$T$2:$T$500,0)),"")</f>
        <v/>
      </c>
      <c r="E226" s="50" t="str">
        <f>IFERROR(INDEX(Registro!$C$2:$C$500,MATCH(225,Registro!$T$2:$T$500,0)),"")</f>
        <v/>
      </c>
      <c r="F226" s="49" t="str">
        <f>IFERROR(INDEX(Registro!$B$2:$B$500,MATCH(225,Registro!$T$2:$T$500,0)),"")</f>
        <v/>
      </c>
      <c r="G226" s="49" t="str">
        <f>IFERROR(INDEX(Registro!$P$2:$P$500,MATCH(225,Registro!$T$2:$T$500,0)),"")</f>
        <v/>
      </c>
      <c r="H226" s="49" t="str">
        <f>IFERROR(INDEX(Registro!$Q$2:$Q$500,MATCH(225,Registro!$T$2:$T$500,0)),"")</f>
        <v/>
      </c>
    </row>
    <row r="227" spans="1:8" x14ac:dyDescent="0.25">
      <c r="A227" s="49" t="str">
        <f>IFERROR(INDEX(Registro!$E$2:$E$500,MATCH(226,Registro!$T$2:$T$500,0)),"")</f>
        <v/>
      </c>
      <c r="B227" s="49" t="str">
        <f>IFERROR(INDEX(Registro!$F$2:$F$500,MATCH(226,Registro!$T$2:$T$500,0)),"")</f>
        <v/>
      </c>
      <c r="C227" s="49" t="str">
        <f>IFERROR(INDEX(Registro!$G$2:$G$500,MATCH(226,Registro!$T$2:$T$500,0)),"")</f>
        <v/>
      </c>
      <c r="D227" s="49" t="str">
        <f>IFERROR(INDEX(Registro!$H$2:$H$500,MATCH(226,Registro!$T$2:$T$500,0)),"")</f>
        <v/>
      </c>
      <c r="E227" s="50" t="str">
        <f>IFERROR(INDEX(Registro!$C$2:$C$500,MATCH(226,Registro!$T$2:$T$500,0)),"")</f>
        <v/>
      </c>
      <c r="F227" s="49" t="str">
        <f>IFERROR(INDEX(Registro!$B$2:$B$500,MATCH(226,Registro!$T$2:$T$500,0)),"")</f>
        <v/>
      </c>
      <c r="G227" s="49" t="str">
        <f>IFERROR(INDEX(Registro!$P$2:$P$500,MATCH(226,Registro!$T$2:$T$500,0)),"")</f>
        <v/>
      </c>
      <c r="H227" s="49" t="str">
        <f>IFERROR(INDEX(Registro!$Q$2:$Q$500,MATCH(226,Registro!$T$2:$T$500,0)),"")</f>
        <v/>
      </c>
    </row>
    <row r="228" spans="1:8" x14ac:dyDescent="0.25">
      <c r="A228" s="49" t="str">
        <f>IFERROR(INDEX(Registro!$E$2:$E$500,MATCH(227,Registro!$T$2:$T$500,0)),"")</f>
        <v/>
      </c>
      <c r="B228" s="49" t="str">
        <f>IFERROR(INDEX(Registro!$F$2:$F$500,MATCH(227,Registro!$T$2:$T$500,0)),"")</f>
        <v/>
      </c>
      <c r="C228" s="49" t="str">
        <f>IFERROR(INDEX(Registro!$G$2:$G$500,MATCH(227,Registro!$T$2:$T$500,0)),"")</f>
        <v/>
      </c>
      <c r="D228" s="49" t="str">
        <f>IFERROR(INDEX(Registro!$H$2:$H$500,MATCH(227,Registro!$T$2:$T$500,0)),"")</f>
        <v/>
      </c>
      <c r="E228" s="50" t="str">
        <f>IFERROR(INDEX(Registro!$C$2:$C$500,MATCH(227,Registro!$T$2:$T$500,0)),"")</f>
        <v/>
      </c>
      <c r="F228" s="49" t="str">
        <f>IFERROR(INDEX(Registro!$B$2:$B$500,MATCH(227,Registro!$T$2:$T$500,0)),"")</f>
        <v/>
      </c>
      <c r="G228" s="49" t="str">
        <f>IFERROR(INDEX(Registro!$P$2:$P$500,MATCH(227,Registro!$T$2:$T$500,0)),"")</f>
        <v/>
      </c>
      <c r="H228" s="49" t="str">
        <f>IFERROR(INDEX(Registro!$Q$2:$Q$500,MATCH(227,Registro!$T$2:$T$500,0)),"")</f>
        <v/>
      </c>
    </row>
    <row r="229" spans="1:8" x14ac:dyDescent="0.25">
      <c r="A229" s="49" t="str">
        <f>IFERROR(INDEX(Registro!$E$2:$E$500,MATCH(228,Registro!$T$2:$T$500,0)),"")</f>
        <v/>
      </c>
      <c r="B229" s="49" t="str">
        <f>IFERROR(INDEX(Registro!$F$2:$F$500,MATCH(228,Registro!$T$2:$T$500,0)),"")</f>
        <v/>
      </c>
      <c r="C229" s="49" t="str">
        <f>IFERROR(INDEX(Registro!$G$2:$G$500,MATCH(228,Registro!$T$2:$T$500,0)),"")</f>
        <v/>
      </c>
      <c r="D229" s="49" t="str">
        <f>IFERROR(INDEX(Registro!$H$2:$H$500,MATCH(228,Registro!$T$2:$T$500,0)),"")</f>
        <v/>
      </c>
      <c r="E229" s="50" t="str">
        <f>IFERROR(INDEX(Registro!$C$2:$C$500,MATCH(228,Registro!$T$2:$T$500,0)),"")</f>
        <v/>
      </c>
      <c r="F229" s="49" t="str">
        <f>IFERROR(INDEX(Registro!$B$2:$B$500,MATCH(228,Registro!$T$2:$T$500,0)),"")</f>
        <v/>
      </c>
      <c r="G229" s="49" t="str">
        <f>IFERROR(INDEX(Registro!$P$2:$P$500,MATCH(228,Registro!$T$2:$T$500,0)),"")</f>
        <v/>
      </c>
      <c r="H229" s="49" t="str">
        <f>IFERROR(INDEX(Registro!$Q$2:$Q$500,MATCH(228,Registro!$T$2:$T$500,0)),"")</f>
        <v/>
      </c>
    </row>
    <row r="230" spans="1:8" x14ac:dyDescent="0.25">
      <c r="A230" s="49" t="str">
        <f>IFERROR(INDEX(Registro!$E$2:$E$500,MATCH(229,Registro!$T$2:$T$500,0)),"")</f>
        <v/>
      </c>
      <c r="B230" s="49" t="str">
        <f>IFERROR(INDEX(Registro!$F$2:$F$500,MATCH(229,Registro!$T$2:$T$500,0)),"")</f>
        <v/>
      </c>
      <c r="C230" s="49" t="str">
        <f>IFERROR(INDEX(Registro!$G$2:$G$500,MATCH(229,Registro!$T$2:$T$500,0)),"")</f>
        <v/>
      </c>
      <c r="D230" s="49" t="str">
        <f>IFERROR(INDEX(Registro!$H$2:$H$500,MATCH(229,Registro!$T$2:$T$500,0)),"")</f>
        <v/>
      </c>
      <c r="E230" s="50" t="str">
        <f>IFERROR(INDEX(Registro!$C$2:$C$500,MATCH(229,Registro!$T$2:$T$500,0)),"")</f>
        <v/>
      </c>
      <c r="F230" s="49" t="str">
        <f>IFERROR(INDEX(Registro!$B$2:$B$500,MATCH(229,Registro!$T$2:$T$500,0)),"")</f>
        <v/>
      </c>
      <c r="G230" s="49" t="str">
        <f>IFERROR(INDEX(Registro!$P$2:$P$500,MATCH(229,Registro!$T$2:$T$500,0)),"")</f>
        <v/>
      </c>
      <c r="H230" s="49" t="str">
        <f>IFERROR(INDEX(Registro!$Q$2:$Q$500,MATCH(229,Registro!$T$2:$T$500,0)),"")</f>
        <v/>
      </c>
    </row>
    <row r="231" spans="1:8" x14ac:dyDescent="0.25">
      <c r="A231" s="49" t="str">
        <f>IFERROR(INDEX(Registro!$E$2:$E$500,MATCH(230,Registro!$T$2:$T$500,0)),"")</f>
        <v/>
      </c>
      <c r="B231" s="49" t="str">
        <f>IFERROR(INDEX(Registro!$F$2:$F$500,MATCH(230,Registro!$T$2:$T$500,0)),"")</f>
        <v/>
      </c>
      <c r="C231" s="49" t="str">
        <f>IFERROR(INDEX(Registro!$G$2:$G$500,MATCH(230,Registro!$T$2:$T$500,0)),"")</f>
        <v/>
      </c>
      <c r="D231" s="49" t="str">
        <f>IFERROR(INDEX(Registro!$H$2:$H$500,MATCH(230,Registro!$T$2:$T$500,0)),"")</f>
        <v/>
      </c>
      <c r="E231" s="50" t="str">
        <f>IFERROR(INDEX(Registro!$C$2:$C$500,MATCH(230,Registro!$T$2:$T$500,0)),"")</f>
        <v/>
      </c>
      <c r="F231" s="49" t="str">
        <f>IFERROR(INDEX(Registro!$B$2:$B$500,MATCH(230,Registro!$T$2:$T$500,0)),"")</f>
        <v/>
      </c>
      <c r="G231" s="49" t="str">
        <f>IFERROR(INDEX(Registro!$P$2:$P$500,MATCH(230,Registro!$T$2:$T$500,0)),"")</f>
        <v/>
      </c>
      <c r="H231" s="49" t="str">
        <f>IFERROR(INDEX(Registro!$Q$2:$Q$500,MATCH(230,Registro!$T$2:$T$500,0)),"")</f>
        <v/>
      </c>
    </row>
    <row r="232" spans="1:8" x14ac:dyDescent="0.25">
      <c r="A232" s="49" t="str">
        <f>IFERROR(INDEX(Registro!$E$2:$E$500,MATCH(231,Registro!$T$2:$T$500,0)),"")</f>
        <v/>
      </c>
      <c r="B232" s="49" t="str">
        <f>IFERROR(INDEX(Registro!$F$2:$F$500,MATCH(231,Registro!$T$2:$T$500,0)),"")</f>
        <v/>
      </c>
      <c r="C232" s="49" t="str">
        <f>IFERROR(INDEX(Registro!$G$2:$G$500,MATCH(231,Registro!$T$2:$T$500,0)),"")</f>
        <v/>
      </c>
      <c r="D232" s="49" t="str">
        <f>IFERROR(INDEX(Registro!$H$2:$H$500,MATCH(231,Registro!$T$2:$T$500,0)),"")</f>
        <v/>
      </c>
      <c r="E232" s="50" t="str">
        <f>IFERROR(INDEX(Registro!$C$2:$C$500,MATCH(231,Registro!$T$2:$T$500,0)),"")</f>
        <v/>
      </c>
      <c r="F232" s="49" t="str">
        <f>IFERROR(INDEX(Registro!$B$2:$B$500,MATCH(231,Registro!$T$2:$T$500,0)),"")</f>
        <v/>
      </c>
      <c r="G232" s="49" t="str">
        <f>IFERROR(INDEX(Registro!$P$2:$P$500,MATCH(231,Registro!$T$2:$T$500,0)),"")</f>
        <v/>
      </c>
      <c r="H232" s="49" t="str">
        <f>IFERROR(INDEX(Registro!$Q$2:$Q$500,MATCH(231,Registro!$T$2:$T$500,0)),"")</f>
        <v/>
      </c>
    </row>
    <row r="233" spans="1:8" x14ac:dyDescent="0.25">
      <c r="A233" s="49" t="str">
        <f>IFERROR(INDEX(Registro!$E$2:$E$500,MATCH(232,Registro!$T$2:$T$500,0)),"")</f>
        <v/>
      </c>
      <c r="B233" s="49" t="str">
        <f>IFERROR(INDEX(Registro!$F$2:$F$500,MATCH(232,Registro!$T$2:$T$500,0)),"")</f>
        <v/>
      </c>
      <c r="C233" s="49" t="str">
        <f>IFERROR(INDEX(Registro!$G$2:$G$500,MATCH(232,Registro!$T$2:$T$500,0)),"")</f>
        <v/>
      </c>
      <c r="D233" s="49" t="str">
        <f>IFERROR(INDEX(Registro!$H$2:$H$500,MATCH(232,Registro!$T$2:$T$500,0)),"")</f>
        <v/>
      </c>
      <c r="E233" s="50" t="str">
        <f>IFERROR(INDEX(Registro!$C$2:$C$500,MATCH(232,Registro!$T$2:$T$500,0)),"")</f>
        <v/>
      </c>
      <c r="F233" s="49" t="str">
        <f>IFERROR(INDEX(Registro!$B$2:$B$500,MATCH(232,Registro!$T$2:$T$500,0)),"")</f>
        <v/>
      </c>
      <c r="G233" s="49" t="str">
        <f>IFERROR(INDEX(Registro!$P$2:$P$500,MATCH(232,Registro!$T$2:$T$500,0)),"")</f>
        <v/>
      </c>
      <c r="H233" s="49" t="str">
        <f>IFERROR(INDEX(Registro!$Q$2:$Q$500,MATCH(232,Registro!$T$2:$T$500,0)),"")</f>
        <v/>
      </c>
    </row>
    <row r="234" spans="1:8" x14ac:dyDescent="0.25">
      <c r="A234" s="49" t="str">
        <f>IFERROR(INDEX(Registro!$E$2:$E$500,MATCH(233,Registro!$T$2:$T$500,0)),"")</f>
        <v/>
      </c>
      <c r="B234" s="49" t="str">
        <f>IFERROR(INDEX(Registro!$F$2:$F$500,MATCH(233,Registro!$T$2:$T$500,0)),"")</f>
        <v/>
      </c>
      <c r="C234" s="49" t="str">
        <f>IFERROR(INDEX(Registro!$G$2:$G$500,MATCH(233,Registro!$T$2:$T$500,0)),"")</f>
        <v/>
      </c>
      <c r="D234" s="49" t="str">
        <f>IFERROR(INDEX(Registro!$H$2:$H$500,MATCH(233,Registro!$T$2:$T$500,0)),"")</f>
        <v/>
      </c>
      <c r="E234" s="50" t="str">
        <f>IFERROR(INDEX(Registro!$C$2:$C$500,MATCH(233,Registro!$T$2:$T$500,0)),"")</f>
        <v/>
      </c>
      <c r="F234" s="49" t="str">
        <f>IFERROR(INDEX(Registro!$B$2:$B$500,MATCH(233,Registro!$T$2:$T$500,0)),"")</f>
        <v/>
      </c>
      <c r="G234" s="49" t="str">
        <f>IFERROR(INDEX(Registro!$P$2:$P$500,MATCH(233,Registro!$T$2:$T$500,0)),"")</f>
        <v/>
      </c>
      <c r="H234" s="49" t="str">
        <f>IFERROR(INDEX(Registro!$Q$2:$Q$500,MATCH(233,Registro!$T$2:$T$500,0)),"")</f>
        <v/>
      </c>
    </row>
    <row r="235" spans="1:8" x14ac:dyDescent="0.25">
      <c r="A235" s="49" t="str">
        <f>IFERROR(INDEX(Registro!$E$2:$E$500,MATCH(234,Registro!$T$2:$T$500,0)),"")</f>
        <v/>
      </c>
      <c r="B235" s="49" t="str">
        <f>IFERROR(INDEX(Registro!$F$2:$F$500,MATCH(234,Registro!$T$2:$T$500,0)),"")</f>
        <v/>
      </c>
      <c r="C235" s="49" t="str">
        <f>IFERROR(INDEX(Registro!$G$2:$G$500,MATCH(234,Registro!$T$2:$T$500,0)),"")</f>
        <v/>
      </c>
      <c r="D235" s="49" t="str">
        <f>IFERROR(INDEX(Registro!$H$2:$H$500,MATCH(234,Registro!$T$2:$T$500,0)),"")</f>
        <v/>
      </c>
      <c r="E235" s="50" t="str">
        <f>IFERROR(INDEX(Registro!$C$2:$C$500,MATCH(234,Registro!$T$2:$T$500,0)),"")</f>
        <v/>
      </c>
      <c r="F235" s="49" t="str">
        <f>IFERROR(INDEX(Registro!$B$2:$B$500,MATCH(234,Registro!$T$2:$T$500,0)),"")</f>
        <v/>
      </c>
      <c r="G235" s="49" t="str">
        <f>IFERROR(INDEX(Registro!$P$2:$P$500,MATCH(234,Registro!$T$2:$T$500,0)),"")</f>
        <v/>
      </c>
      <c r="H235" s="49" t="str">
        <f>IFERROR(INDEX(Registro!$Q$2:$Q$500,MATCH(234,Registro!$T$2:$T$500,0)),"")</f>
        <v/>
      </c>
    </row>
    <row r="236" spans="1:8" x14ac:dyDescent="0.25">
      <c r="A236" s="49" t="str">
        <f>IFERROR(INDEX(Registro!$E$2:$E$500,MATCH(235,Registro!$T$2:$T$500,0)),"")</f>
        <v/>
      </c>
      <c r="B236" s="49" t="str">
        <f>IFERROR(INDEX(Registro!$F$2:$F$500,MATCH(235,Registro!$T$2:$T$500,0)),"")</f>
        <v/>
      </c>
      <c r="C236" s="49" t="str">
        <f>IFERROR(INDEX(Registro!$G$2:$G$500,MATCH(235,Registro!$T$2:$T$500,0)),"")</f>
        <v/>
      </c>
      <c r="D236" s="49" t="str">
        <f>IFERROR(INDEX(Registro!$H$2:$H$500,MATCH(235,Registro!$T$2:$T$500,0)),"")</f>
        <v/>
      </c>
      <c r="E236" s="50" t="str">
        <f>IFERROR(INDEX(Registro!$C$2:$C$500,MATCH(235,Registro!$T$2:$T$500,0)),"")</f>
        <v/>
      </c>
      <c r="F236" s="49" t="str">
        <f>IFERROR(INDEX(Registro!$B$2:$B$500,MATCH(235,Registro!$T$2:$T$500,0)),"")</f>
        <v/>
      </c>
      <c r="G236" s="49" t="str">
        <f>IFERROR(INDEX(Registro!$P$2:$P$500,MATCH(235,Registro!$T$2:$T$500,0)),"")</f>
        <v/>
      </c>
      <c r="H236" s="49" t="str">
        <f>IFERROR(INDEX(Registro!$Q$2:$Q$500,MATCH(235,Registro!$T$2:$T$500,0)),"")</f>
        <v/>
      </c>
    </row>
    <row r="237" spans="1:8" x14ac:dyDescent="0.25">
      <c r="A237" s="49" t="str">
        <f>IFERROR(INDEX(Registro!$E$2:$E$500,MATCH(236,Registro!$T$2:$T$500,0)),"")</f>
        <v/>
      </c>
      <c r="B237" s="49" t="str">
        <f>IFERROR(INDEX(Registro!$F$2:$F$500,MATCH(236,Registro!$T$2:$T$500,0)),"")</f>
        <v/>
      </c>
      <c r="C237" s="49" t="str">
        <f>IFERROR(INDEX(Registro!$G$2:$G$500,MATCH(236,Registro!$T$2:$T$500,0)),"")</f>
        <v/>
      </c>
      <c r="D237" s="49" t="str">
        <f>IFERROR(INDEX(Registro!$H$2:$H$500,MATCH(236,Registro!$T$2:$T$500,0)),"")</f>
        <v/>
      </c>
      <c r="E237" s="50" t="str">
        <f>IFERROR(INDEX(Registro!$C$2:$C$500,MATCH(236,Registro!$T$2:$T$500,0)),"")</f>
        <v/>
      </c>
      <c r="F237" s="49" t="str">
        <f>IFERROR(INDEX(Registro!$B$2:$B$500,MATCH(236,Registro!$T$2:$T$500,0)),"")</f>
        <v/>
      </c>
      <c r="G237" s="49" t="str">
        <f>IFERROR(INDEX(Registro!$P$2:$P$500,MATCH(236,Registro!$T$2:$T$500,0)),"")</f>
        <v/>
      </c>
      <c r="H237" s="49" t="str">
        <f>IFERROR(INDEX(Registro!$Q$2:$Q$500,MATCH(236,Registro!$T$2:$T$500,0)),"")</f>
        <v/>
      </c>
    </row>
    <row r="238" spans="1:8" x14ac:dyDescent="0.25">
      <c r="A238" s="49" t="str">
        <f>IFERROR(INDEX(Registro!$E$2:$E$500,MATCH(237,Registro!$T$2:$T$500,0)),"")</f>
        <v/>
      </c>
      <c r="B238" s="49" t="str">
        <f>IFERROR(INDEX(Registro!$F$2:$F$500,MATCH(237,Registro!$T$2:$T$500,0)),"")</f>
        <v/>
      </c>
      <c r="C238" s="49" t="str">
        <f>IFERROR(INDEX(Registro!$G$2:$G$500,MATCH(237,Registro!$T$2:$T$500,0)),"")</f>
        <v/>
      </c>
      <c r="D238" s="49" t="str">
        <f>IFERROR(INDEX(Registro!$H$2:$H$500,MATCH(237,Registro!$T$2:$T$500,0)),"")</f>
        <v/>
      </c>
      <c r="E238" s="50" t="str">
        <f>IFERROR(INDEX(Registro!$C$2:$C$500,MATCH(237,Registro!$T$2:$T$500,0)),"")</f>
        <v/>
      </c>
      <c r="F238" s="49" t="str">
        <f>IFERROR(INDEX(Registro!$B$2:$B$500,MATCH(237,Registro!$T$2:$T$500,0)),"")</f>
        <v/>
      </c>
      <c r="G238" s="49" t="str">
        <f>IFERROR(INDEX(Registro!$P$2:$P$500,MATCH(237,Registro!$T$2:$T$500,0)),"")</f>
        <v/>
      </c>
      <c r="H238" s="49" t="str">
        <f>IFERROR(INDEX(Registro!$Q$2:$Q$500,MATCH(237,Registro!$T$2:$T$500,0)),"")</f>
        <v/>
      </c>
    </row>
    <row r="239" spans="1:8" x14ac:dyDescent="0.25">
      <c r="A239" s="49" t="str">
        <f>IFERROR(INDEX(Registro!$E$2:$E$500,MATCH(238,Registro!$T$2:$T$500,0)),"")</f>
        <v/>
      </c>
      <c r="B239" s="49" t="str">
        <f>IFERROR(INDEX(Registro!$F$2:$F$500,MATCH(238,Registro!$T$2:$T$500,0)),"")</f>
        <v/>
      </c>
      <c r="C239" s="49" t="str">
        <f>IFERROR(INDEX(Registro!$G$2:$G$500,MATCH(238,Registro!$T$2:$T$500,0)),"")</f>
        <v/>
      </c>
      <c r="D239" s="49" t="str">
        <f>IFERROR(INDEX(Registro!$H$2:$H$500,MATCH(238,Registro!$T$2:$T$500,0)),"")</f>
        <v/>
      </c>
      <c r="E239" s="50" t="str">
        <f>IFERROR(INDEX(Registro!$C$2:$C$500,MATCH(238,Registro!$T$2:$T$500,0)),"")</f>
        <v/>
      </c>
      <c r="F239" s="49" t="str">
        <f>IFERROR(INDEX(Registro!$B$2:$B$500,MATCH(238,Registro!$T$2:$T$500,0)),"")</f>
        <v/>
      </c>
      <c r="G239" s="49" t="str">
        <f>IFERROR(INDEX(Registro!$P$2:$P$500,MATCH(238,Registro!$T$2:$T$500,0)),"")</f>
        <v/>
      </c>
      <c r="H239" s="49" t="str">
        <f>IFERROR(INDEX(Registro!$Q$2:$Q$500,MATCH(238,Registro!$T$2:$T$500,0)),"")</f>
        <v/>
      </c>
    </row>
    <row r="240" spans="1:8" x14ac:dyDescent="0.25">
      <c r="A240" s="49" t="str">
        <f>IFERROR(INDEX(Registro!$E$2:$E$500,MATCH(239,Registro!$T$2:$T$500,0)),"")</f>
        <v/>
      </c>
      <c r="B240" s="49" t="str">
        <f>IFERROR(INDEX(Registro!$F$2:$F$500,MATCH(239,Registro!$T$2:$T$500,0)),"")</f>
        <v/>
      </c>
      <c r="C240" s="49" t="str">
        <f>IFERROR(INDEX(Registro!$G$2:$G$500,MATCH(239,Registro!$T$2:$T$500,0)),"")</f>
        <v/>
      </c>
      <c r="D240" s="49" t="str">
        <f>IFERROR(INDEX(Registro!$H$2:$H$500,MATCH(239,Registro!$T$2:$T$500,0)),"")</f>
        <v/>
      </c>
      <c r="E240" s="50" t="str">
        <f>IFERROR(INDEX(Registro!$C$2:$C$500,MATCH(239,Registro!$T$2:$T$500,0)),"")</f>
        <v/>
      </c>
      <c r="F240" s="49" t="str">
        <f>IFERROR(INDEX(Registro!$B$2:$B$500,MATCH(239,Registro!$T$2:$T$500,0)),"")</f>
        <v/>
      </c>
      <c r="G240" s="49" t="str">
        <f>IFERROR(INDEX(Registro!$P$2:$P$500,MATCH(239,Registro!$T$2:$T$500,0)),"")</f>
        <v/>
      </c>
      <c r="H240" s="49" t="str">
        <f>IFERROR(INDEX(Registro!$Q$2:$Q$500,MATCH(239,Registro!$T$2:$T$500,0)),"")</f>
        <v/>
      </c>
    </row>
    <row r="241" spans="1:8" x14ac:dyDescent="0.25">
      <c r="A241" s="49" t="str">
        <f>IFERROR(INDEX(Registro!$E$2:$E$500,MATCH(240,Registro!$T$2:$T$500,0)),"")</f>
        <v/>
      </c>
      <c r="B241" s="49" t="str">
        <f>IFERROR(INDEX(Registro!$F$2:$F$500,MATCH(240,Registro!$T$2:$T$500,0)),"")</f>
        <v/>
      </c>
      <c r="C241" s="49" t="str">
        <f>IFERROR(INDEX(Registro!$G$2:$G$500,MATCH(240,Registro!$T$2:$T$500,0)),"")</f>
        <v/>
      </c>
      <c r="D241" s="49" t="str">
        <f>IFERROR(INDEX(Registro!$H$2:$H$500,MATCH(240,Registro!$T$2:$T$500,0)),"")</f>
        <v/>
      </c>
      <c r="E241" s="50" t="str">
        <f>IFERROR(INDEX(Registro!$C$2:$C$500,MATCH(240,Registro!$T$2:$T$500,0)),"")</f>
        <v/>
      </c>
      <c r="F241" s="49" t="str">
        <f>IFERROR(INDEX(Registro!$B$2:$B$500,MATCH(240,Registro!$T$2:$T$500,0)),"")</f>
        <v/>
      </c>
      <c r="G241" s="49" t="str">
        <f>IFERROR(INDEX(Registro!$P$2:$P$500,MATCH(240,Registro!$T$2:$T$500,0)),"")</f>
        <v/>
      </c>
      <c r="H241" s="49" t="str">
        <f>IFERROR(INDEX(Registro!$Q$2:$Q$500,MATCH(240,Registro!$T$2:$T$500,0)),"")</f>
        <v/>
      </c>
    </row>
    <row r="242" spans="1:8" x14ac:dyDescent="0.25">
      <c r="A242" s="49" t="str">
        <f>IFERROR(INDEX(Registro!$E$2:$E$500,MATCH(241,Registro!$T$2:$T$500,0)),"")</f>
        <v/>
      </c>
      <c r="B242" s="49" t="str">
        <f>IFERROR(INDEX(Registro!$F$2:$F$500,MATCH(241,Registro!$T$2:$T$500,0)),"")</f>
        <v/>
      </c>
      <c r="C242" s="49" t="str">
        <f>IFERROR(INDEX(Registro!$G$2:$G$500,MATCH(241,Registro!$T$2:$T$500,0)),"")</f>
        <v/>
      </c>
      <c r="D242" s="49" t="str">
        <f>IFERROR(INDEX(Registro!$H$2:$H$500,MATCH(241,Registro!$T$2:$T$500,0)),"")</f>
        <v/>
      </c>
      <c r="E242" s="50" t="str">
        <f>IFERROR(INDEX(Registro!$C$2:$C$500,MATCH(241,Registro!$T$2:$T$500,0)),"")</f>
        <v/>
      </c>
      <c r="F242" s="49" t="str">
        <f>IFERROR(INDEX(Registro!$B$2:$B$500,MATCH(241,Registro!$T$2:$T$500,0)),"")</f>
        <v/>
      </c>
      <c r="G242" s="49" t="str">
        <f>IFERROR(INDEX(Registro!$P$2:$P$500,MATCH(241,Registro!$T$2:$T$500,0)),"")</f>
        <v/>
      </c>
      <c r="H242" s="49" t="str">
        <f>IFERROR(INDEX(Registro!$Q$2:$Q$500,MATCH(241,Registro!$T$2:$T$500,0)),"")</f>
        <v/>
      </c>
    </row>
    <row r="243" spans="1:8" x14ac:dyDescent="0.25">
      <c r="A243" s="49" t="str">
        <f>IFERROR(INDEX(Registro!$E$2:$E$500,MATCH(242,Registro!$T$2:$T$500,0)),"")</f>
        <v/>
      </c>
      <c r="B243" s="49" t="str">
        <f>IFERROR(INDEX(Registro!$F$2:$F$500,MATCH(242,Registro!$T$2:$T$500,0)),"")</f>
        <v/>
      </c>
      <c r="C243" s="49" t="str">
        <f>IFERROR(INDEX(Registro!$G$2:$G$500,MATCH(242,Registro!$T$2:$T$500,0)),"")</f>
        <v/>
      </c>
      <c r="D243" s="49" t="str">
        <f>IFERROR(INDEX(Registro!$H$2:$H$500,MATCH(242,Registro!$T$2:$T$500,0)),"")</f>
        <v/>
      </c>
      <c r="E243" s="50" t="str">
        <f>IFERROR(INDEX(Registro!$C$2:$C$500,MATCH(242,Registro!$T$2:$T$500,0)),"")</f>
        <v/>
      </c>
      <c r="F243" s="49" t="str">
        <f>IFERROR(INDEX(Registro!$B$2:$B$500,MATCH(242,Registro!$T$2:$T$500,0)),"")</f>
        <v/>
      </c>
      <c r="G243" s="49" t="str">
        <f>IFERROR(INDEX(Registro!$P$2:$P$500,MATCH(242,Registro!$T$2:$T$500,0)),"")</f>
        <v/>
      </c>
      <c r="H243" s="49" t="str">
        <f>IFERROR(INDEX(Registro!$Q$2:$Q$500,MATCH(242,Registro!$T$2:$T$500,0)),"")</f>
        <v/>
      </c>
    </row>
    <row r="244" spans="1:8" x14ac:dyDescent="0.25">
      <c r="A244" s="49" t="str">
        <f>IFERROR(INDEX(Registro!$E$2:$E$500,MATCH(243,Registro!$T$2:$T$500,0)),"")</f>
        <v/>
      </c>
      <c r="B244" s="49" t="str">
        <f>IFERROR(INDEX(Registro!$F$2:$F$500,MATCH(243,Registro!$T$2:$T$500,0)),"")</f>
        <v/>
      </c>
      <c r="C244" s="49" t="str">
        <f>IFERROR(INDEX(Registro!$G$2:$G$500,MATCH(243,Registro!$T$2:$T$500,0)),"")</f>
        <v/>
      </c>
      <c r="D244" s="49" t="str">
        <f>IFERROR(INDEX(Registro!$H$2:$H$500,MATCH(243,Registro!$T$2:$T$500,0)),"")</f>
        <v/>
      </c>
      <c r="E244" s="50" t="str">
        <f>IFERROR(INDEX(Registro!$C$2:$C$500,MATCH(243,Registro!$T$2:$T$500,0)),"")</f>
        <v/>
      </c>
      <c r="F244" s="49" t="str">
        <f>IFERROR(INDEX(Registro!$B$2:$B$500,MATCH(243,Registro!$T$2:$T$500,0)),"")</f>
        <v/>
      </c>
      <c r="G244" s="49" t="str">
        <f>IFERROR(INDEX(Registro!$P$2:$P$500,MATCH(243,Registro!$T$2:$T$500,0)),"")</f>
        <v/>
      </c>
      <c r="H244" s="49" t="str">
        <f>IFERROR(INDEX(Registro!$Q$2:$Q$500,MATCH(243,Registro!$T$2:$T$500,0)),"")</f>
        <v/>
      </c>
    </row>
    <row r="245" spans="1:8" x14ac:dyDescent="0.25">
      <c r="A245" s="49" t="str">
        <f>IFERROR(INDEX(Registro!$E$2:$E$500,MATCH(244,Registro!$T$2:$T$500,0)),"")</f>
        <v/>
      </c>
      <c r="B245" s="49" t="str">
        <f>IFERROR(INDEX(Registro!$F$2:$F$500,MATCH(244,Registro!$T$2:$T$500,0)),"")</f>
        <v/>
      </c>
      <c r="C245" s="49" t="str">
        <f>IFERROR(INDEX(Registro!$G$2:$G$500,MATCH(244,Registro!$T$2:$T$500,0)),"")</f>
        <v/>
      </c>
      <c r="D245" s="49" t="str">
        <f>IFERROR(INDEX(Registro!$H$2:$H$500,MATCH(244,Registro!$T$2:$T$500,0)),"")</f>
        <v/>
      </c>
      <c r="E245" s="50" t="str">
        <f>IFERROR(INDEX(Registro!$C$2:$C$500,MATCH(244,Registro!$T$2:$T$500,0)),"")</f>
        <v/>
      </c>
      <c r="F245" s="49" t="str">
        <f>IFERROR(INDEX(Registro!$B$2:$B$500,MATCH(244,Registro!$T$2:$T$500,0)),"")</f>
        <v/>
      </c>
      <c r="G245" s="49" t="str">
        <f>IFERROR(INDEX(Registro!$P$2:$P$500,MATCH(244,Registro!$T$2:$T$500,0)),"")</f>
        <v/>
      </c>
      <c r="H245" s="49" t="str">
        <f>IFERROR(INDEX(Registro!$Q$2:$Q$500,MATCH(244,Registro!$T$2:$T$500,0)),"")</f>
        <v/>
      </c>
    </row>
    <row r="246" spans="1:8" x14ac:dyDescent="0.25">
      <c r="A246" s="49" t="str">
        <f>IFERROR(INDEX(Registro!$E$2:$E$500,MATCH(245,Registro!$T$2:$T$500,0)),"")</f>
        <v/>
      </c>
      <c r="B246" s="49" t="str">
        <f>IFERROR(INDEX(Registro!$F$2:$F$500,MATCH(245,Registro!$T$2:$T$500,0)),"")</f>
        <v/>
      </c>
      <c r="C246" s="49" t="str">
        <f>IFERROR(INDEX(Registro!$G$2:$G$500,MATCH(245,Registro!$T$2:$T$500,0)),"")</f>
        <v/>
      </c>
      <c r="D246" s="49" t="str">
        <f>IFERROR(INDEX(Registro!$H$2:$H$500,MATCH(245,Registro!$T$2:$T$500,0)),"")</f>
        <v/>
      </c>
      <c r="E246" s="50" t="str">
        <f>IFERROR(INDEX(Registro!$C$2:$C$500,MATCH(245,Registro!$T$2:$T$500,0)),"")</f>
        <v/>
      </c>
      <c r="F246" s="49" t="str">
        <f>IFERROR(INDEX(Registro!$B$2:$B$500,MATCH(245,Registro!$T$2:$T$500,0)),"")</f>
        <v/>
      </c>
      <c r="G246" s="49" t="str">
        <f>IFERROR(INDEX(Registro!$P$2:$P$500,MATCH(245,Registro!$T$2:$T$500,0)),"")</f>
        <v/>
      </c>
      <c r="H246" s="49" t="str">
        <f>IFERROR(INDEX(Registro!$Q$2:$Q$500,MATCH(245,Registro!$T$2:$T$500,0)),"")</f>
        <v/>
      </c>
    </row>
    <row r="247" spans="1:8" x14ac:dyDescent="0.25">
      <c r="A247" s="49" t="str">
        <f>IFERROR(INDEX(Registro!$E$2:$E$500,MATCH(246,Registro!$T$2:$T$500,0)),"")</f>
        <v/>
      </c>
      <c r="B247" s="49" t="str">
        <f>IFERROR(INDEX(Registro!$F$2:$F$500,MATCH(246,Registro!$T$2:$T$500,0)),"")</f>
        <v/>
      </c>
      <c r="C247" s="49" t="str">
        <f>IFERROR(INDEX(Registro!$G$2:$G$500,MATCH(246,Registro!$T$2:$T$500,0)),"")</f>
        <v/>
      </c>
      <c r="D247" s="49" t="str">
        <f>IFERROR(INDEX(Registro!$H$2:$H$500,MATCH(246,Registro!$T$2:$T$500,0)),"")</f>
        <v/>
      </c>
      <c r="E247" s="50" t="str">
        <f>IFERROR(INDEX(Registro!$C$2:$C$500,MATCH(246,Registro!$T$2:$T$500,0)),"")</f>
        <v/>
      </c>
      <c r="F247" s="49" t="str">
        <f>IFERROR(INDEX(Registro!$B$2:$B$500,MATCH(246,Registro!$T$2:$T$500,0)),"")</f>
        <v/>
      </c>
      <c r="G247" s="49" t="str">
        <f>IFERROR(INDEX(Registro!$P$2:$P$500,MATCH(246,Registro!$T$2:$T$500,0)),"")</f>
        <v/>
      </c>
      <c r="H247" s="49" t="str">
        <f>IFERROR(INDEX(Registro!$Q$2:$Q$500,MATCH(246,Registro!$T$2:$T$500,0)),"")</f>
        <v/>
      </c>
    </row>
    <row r="248" spans="1:8" x14ac:dyDescent="0.25">
      <c r="A248" s="49" t="str">
        <f>IFERROR(INDEX(Registro!$E$2:$E$500,MATCH(247,Registro!$T$2:$T$500,0)),"")</f>
        <v/>
      </c>
      <c r="B248" s="49" t="str">
        <f>IFERROR(INDEX(Registro!$F$2:$F$500,MATCH(247,Registro!$T$2:$T$500,0)),"")</f>
        <v/>
      </c>
      <c r="C248" s="49" t="str">
        <f>IFERROR(INDEX(Registro!$G$2:$G$500,MATCH(247,Registro!$T$2:$T$500,0)),"")</f>
        <v/>
      </c>
      <c r="D248" s="49" t="str">
        <f>IFERROR(INDEX(Registro!$H$2:$H$500,MATCH(247,Registro!$T$2:$T$500,0)),"")</f>
        <v/>
      </c>
      <c r="E248" s="50" t="str">
        <f>IFERROR(INDEX(Registro!$C$2:$C$500,MATCH(247,Registro!$T$2:$T$500,0)),"")</f>
        <v/>
      </c>
      <c r="F248" s="49" t="str">
        <f>IFERROR(INDEX(Registro!$B$2:$B$500,MATCH(247,Registro!$T$2:$T$500,0)),"")</f>
        <v/>
      </c>
      <c r="G248" s="49" t="str">
        <f>IFERROR(INDEX(Registro!$P$2:$P$500,MATCH(247,Registro!$T$2:$T$500,0)),"")</f>
        <v/>
      </c>
      <c r="H248" s="49" t="str">
        <f>IFERROR(INDEX(Registro!$Q$2:$Q$500,MATCH(247,Registro!$T$2:$T$500,0)),"")</f>
        <v/>
      </c>
    </row>
    <row r="249" spans="1:8" x14ac:dyDescent="0.25">
      <c r="A249" s="49" t="str">
        <f>IFERROR(INDEX(Registro!$E$2:$E$500,MATCH(248,Registro!$T$2:$T$500,0)),"")</f>
        <v/>
      </c>
      <c r="B249" s="49" t="str">
        <f>IFERROR(INDEX(Registro!$F$2:$F$500,MATCH(248,Registro!$T$2:$T$500,0)),"")</f>
        <v/>
      </c>
      <c r="C249" s="49" t="str">
        <f>IFERROR(INDEX(Registro!$G$2:$G$500,MATCH(248,Registro!$T$2:$T$500,0)),"")</f>
        <v/>
      </c>
      <c r="D249" s="49" t="str">
        <f>IFERROR(INDEX(Registro!$H$2:$H$500,MATCH(248,Registro!$T$2:$T$500,0)),"")</f>
        <v/>
      </c>
      <c r="E249" s="50" t="str">
        <f>IFERROR(INDEX(Registro!$C$2:$C$500,MATCH(248,Registro!$T$2:$T$500,0)),"")</f>
        <v/>
      </c>
      <c r="F249" s="49" t="str">
        <f>IFERROR(INDEX(Registro!$B$2:$B$500,MATCH(248,Registro!$T$2:$T$500,0)),"")</f>
        <v/>
      </c>
      <c r="G249" s="49" t="str">
        <f>IFERROR(INDEX(Registro!$P$2:$P$500,MATCH(248,Registro!$T$2:$T$500,0)),"")</f>
        <v/>
      </c>
      <c r="H249" s="49" t="str">
        <f>IFERROR(INDEX(Registro!$Q$2:$Q$500,MATCH(248,Registro!$T$2:$T$500,0)),"")</f>
        <v/>
      </c>
    </row>
    <row r="250" spans="1:8" x14ac:dyDescent="0.25">
      <c r="A250" s="49" t="str">
        <f>IFERROR(INDEX(Registro!$E$2:$E$500,MATCH(249,Registro!$T$2:$T$500,0)),"")</f>
        <v/>
      </c>
      <c r="B250" s="49" t="str">
        <f>IFERROR(INDEX(Registro!$F$2:$F$500,MATCH(249,Registro!$T$2:$T$500,0)),"")</f>
        <v/>
      </c>
      <c r="C250" s="49" t="str">
        <f>IFERROR(INDEX(Registro!$G$2:$G$500,MATCH(249,Registro!$T$2:$T$500,0)),"")</f>
        <v/>
      </c>
      <c r="D250" s="49" t="str">
        <f>IFERROR(INDEX(Registro!$H$2:$H$500,MATCH(249,Registro!$T$2:$T$500,0)),"")</f>
        <v/>
      </c>
      <c r="E250" s="50" t="str">
        <f>IFERROR(INDEX(Registro!$C$2:$C$500,MATCH(249,Registro!$T$2:$T$500,0)),"")</f>
        <v/>
      </c>
      <c r="F250" s="49" t="str">
        <f>IFERROR(INDEX(Registro!$B$2:$B$500,MATCH(249,Registro!$T$2:$T$500,0)),"")</f>
        <v/>
      </c>
      <c r="G250" s="49" t="str">
        <f>IFERROR(INDEX(Registro!$P$2:$P$500,MATCH(249,Registro!$T$2:$T$500,0)),"")</f>
        <v/>
      </c>
      <c r="H250" s="49" t="str">
        <f>IFERROR(INDEX(Registro!$Q$2:$Q$500,MATCH(249,Registro!$T$2:$T$500,0)),"")</f>
        <v/>
      </c>
    </row>
    <row r="251" spans="1:8" x14ac:dyDescent="0.25">
      <c r="A251" s="49" t="str">
        <f>IFERROR(INDEX(Registro!$E$2:$E$500,MATCH(250,Registro!$T$2:$T$500,0)),"")</f>
        <v/>
      </c>
      <c r="B251" s="49" t="str">
        <f>IFERROR(INDEX(Registro!$F$2:$F$500,MATCH(250,Registro!$T$2:$T$500,0)),"")</f>
        <v/>
      </c>
      <c r="C251" s="49" t="str">
        <f>IFERROR(INDEX(Registro!$G$2:$G$500,MATCH(250,Registro!$T$2:$T$500,0)),"")</f>
        <v/>
      </c>
      <c r="D251" s="49" t="str">
        <f>IFERROR(INDEX(Registro!$H$2:$H$500,MATCH(250,Registro!$T$2:$T$500,0)),"")</f>
        <v/>
      </c>
      <c r="E251" s="50" t="str">
        <f>IFERROR(INDEX(Registro!$C$2:$C$500,MATCH(250,Registro!$T$2:$T$500,0)),"")</f>
        <v/>
      </c>
      <c r="F251" s="49" t="str">
        <f>IFERROR(INDEX(Registro!$B$2:$B$500,MATCH(250,Registro!$T$2:$T$500,0)),"")</f>
        <v/>
      </c>
      <c r="G251" s="49" t="str">
        <f>IFERROR(INDEX(Registro!$P$2:$P$500,MATCH(250,Registro!$T$2:$T$500,0)),"")</f>
        <v/>
      </c>
      <c r="H251" s="49" t="str">
        <f>IFERROR(INDEX(Registro!$Q$2:$Q$500,MATCH(250,Registro!$T$2:$T$500,0)),"")</f>
        <v/>
      </c>
    </row>
    <row r="252" spans="1:8" x14ac:dyDescent="0.25">
      <c r="A252" s="49" t="str">
        <f>IFERROR(INDEX(Registro!$E$2:$E$500,MATCH(251,Registro!$T$2:$T$500,0)),"")</f>
        <v/>
      </c>
      <c r="B252" s="49" t="str">
        <f>IFERROR(INDEX(Registro!$F$2:$F$500,MATCH(251,Registro!$T$2:$T$500,0)),"")</f>
        <v/>
      </c>
      <c r="C252" s="49" t="str">
        <f>IFERROR(INDEX(Registro!$G$2:$G$500,MATCH(251,Registro!$T$2:$T$500,0)),"")</f>
        <v/>
      </c>
      <c r="D252" s="49" t="str">
        <f>IFERROR(INDEX(Registro!$H$2:$H$500,MATCH(251,Registro!$T$2:$T$500,0)),"")</f>
        <v/>
      </c>
      <c r="E252" s="50" t="str">
        <f>IFERROR(INDEX(Registro!$C$2:$C$500,MATCH(251,Registro!$T$2:$T$500,0)),"")</f>
        <v/>
      </c>
      <c r="F252" s="49" t="str">
        <f>IFERROR(INDEX(Registro!$B$2:$B$500,MATCH(251,Registro!$T$2:$T$500,0)),"")</f>
        <v/>
      </c>
      <c r="G252" s="49" t="str">
        <f>IFERROR(INDEX(Registro!$P$2:$P$500,MATCH(251,Registro!$T$2:$T$500,0)),"")</f>
        <v/>
      </c>
      <c r="H252" s="49" t="str">
        <f>IFERROR(INDEX(Registro!$Q$2:$Q$500,MATCH(251,Registro!$T$2:$T$500,0)),"")</f>
        <v/>
      </c>
    </row>
    <row r="253" spans="1:8" x14ac:dyDescent="0.25">
      <c r="A253" s="49" t="str">
        <f>IFERROR(INDEX(Registro!$E$2:$E$500,MATCH(252,Registro!$T$2:$T$500,0)),"")</f>
        <v/>
      </c>
      <c r="B253" s="49" t="str">
        <f>IFERROR(INDEX(Registro!$F$2:$F$500,MATCH(252,Registro!$T$2:$T$500,0)),"")</f>
        <v/>
      </c>
      <c r="C253" s="49" t="str">
        <f>IFERROR(INDEX(Registro!$G$2:$G$500,MATCH(252,Registro!$T$2:$T$500,0)),"")</f>
        <v/>
      </c>
      <c r="D253" s="49" t="str">
        <f>IFERROR(INDEX(Registro!$H$2:$H$500,MATCH(252,Registro!$T$2:$T$500,0)),"")</f>
        <v/>
      </c>
      <c r="E253" s="50" t="str">
        <f>IFERROR(INDEX(Registro!$C$2:$C$500,MATCH(252,Registro!$T$2:$T$500,0)),"")</f>
        <v/>
      </c>
      <c r="F253" s="49" t="str">
        <f>IFERROR(INDEX(Registro!$B$2:$B$500,MATCH(252,Registro!$T$2:$T$500,0)),"")</f>
        <v/>
      </c>
      <c r="G253" s="49" t="str">
        <f>IFERROR(INDEX(Registro!$P$2:$P$500,MATCH(252,Registro!$T$2:$T$500,0)),"")</f>
        <v/>
      </c>
      <c r="H253" s="49" t="str">
        <f>IFERROR(INDEX(Registro!$Q$2:$Q$500,MATCH(252,Registro!$T$2:$T$500,0)),"")</f>
        <v/>
      </c>
    </row>
    <row r="254" spans="1:8" x14ac:dyDescent="0.25">
      <c r="A254" s="49" t="str">
        <f>IFERROR(INDEX(Registro!$E$2:$E$500,MATCH(253,Registro!$T$2:$T$500,0)),"")</f>
        <v/>
      </c>
      <c r="B254" s="49" t="str">
        <f>IFERROR(INDEX(Registro!$F$2:$F$500,MATCH(253,Registro!$T$2:$T$500,0)),"")</f>
        <v/>
      </c>
      <c r="C254" s="49" t="str">
        <f>IFERROR(INDEX(Registro!$G$2:$G$500,MATCH(253,Registro!$T$2:$T$500,0)),"")</f>
        <v/>
      </c>
      <c r="D254" s="49" t="str">
        <f>IFERROR(INDEX(Registro!$H$2:$H$500,MATCH(253,Registro!$T$2:$T$500,0)),"")</f>
        <v/>
      </c>
      <c r="E254" s="50" t="str">
        <f>IFERROR(INDEX(Registro!$C$2:$C$500,MATCH(253,Registro!$T$2:$T$500,0)),"")</f>
        <v/>
      </c>
      <c r="F254" s="49" t="str">
        <f>IFERROR(INDEX(Registro!$B$2:$B$500,MATCH(253,Registro!$T$2:$T$500,0)),"")</f>
        <v/>
      </c>
      <c r="G254" s="49" t="str">
        <f>IFERROR(INDEX(Registro!$P$2:$P$500,MATCH(253,Registro!$T$2:$T$500,0)),"")</f>
        <v/>
      </c>
      <c r="H254" s="49" t="str">
        <f>IFERROR(INDEX(Registro!$Q$2:$Q$500,MATCH(253,Registro!$T$2:$T$500,0)),"")</f>
        <v/>
      </c>
    </row>
    <row r="255" spans="1:8" x14ac:dyDescent="0.25">
      <c r="A255" s="49" t="str">
        <f>IFERROR(INDEX(Registro!$E$2:$E$500,MATCH(254,Registro!$T$2:$T$500,0)),"")</f>
        <v/>
      </c>
      <c r="B255" s="49" t="str">
        <f>IFERROR(INDEX(Registro!$F$2:$F$500,MATCH(254,Registro!$T$2:$T$500,0)),"")</f>
        <v/>
      </c>
      <c r="C255" s="49" t="str">
        <f>IFERROR(INDEX(Registro!$G$2:$G$500,MATCH(254,Registro!$T$2:$T$500,0)),"")</f>
        <v/>
      </c>
      <c r="D255" s="49" t="str">
        <f>IFERROR(INDEX(Registro!$H$2:$H$500,MATCH(254,Registro!$T$2:$T$500,0)),"")</f>
        <v/>
      </c>
      <c r="E255" s="50" t="str">
        <f>IFERROR(INDEX(Registro!$C$2:$C$500,MATCH(254,Registro!$T$2:$T$500,0)),"")</f>
        <v/>
      </c>
      <c r="F255" s="49" t="str">
        <f>IFERROR(INDEX(Registro!$B$2:$B$500,MATCH(254,Registro!$T$2:$T$500,0)),"")</f>
        <v/>
      </c>
      <c r="G255" s="49" t="str">
        <f>IFERROR(INDEX(Registro!$P$2:$P$500,MATCH(254,Registro!$T$2:$T$500,0)),"")</f>
        <v/>
      </c>
      <c r="H255" s="49" t="str">
        <f>IFERROR(INDEX(Registro!$Q$2:$Q$500,MATCH(254,Registro!$T$2:$T$500,0)),"")</f>
        <v/>
      </c>
    </row>
    <row r="256" spans="1:8" x14ac:dyDescent="0.25">
      <c r="A256" s="49" t="str">
        <f>IFERROR(INDEX(Registro!$E$2:$E$500,MATCH(255,Registro!$T$2:$T$500,0)),"")</f>
        <v/>
      </c>
      <c r="B256" s="49" t="str">
        <f>IFERROR(INDEX(Registro!$F$2:$F$500,MATCH(255,Registro!$T$2:$T$500,0)),"")</f>
        <v/>
      </c>
      <c r="C256" s="49" t="str">
        <f>IFERROR(INDEX(Registro!$G$2:$G$500,MATCH(255,Registro!$T$2:$T$500,0)),"")</f>
        <v/>
      </c>
      <c r="D256" s="49" t="str">
        <f>IFERROR(INDEX(Registro!$H$2:$H$500,MATCH(255,Registro!$T$2:$T$500,0)),"")</f>
        <v/>
      </c>
      <c r="E256" s="50" t="str">
        <f>IFERROR(INDEX(Registro!$C$2:$C$500,MATCH(255,Registro!$T$2:$T$500,0)),"")</f>
        <v/>
      </c>
      <c r="F256" s="49" t="str">
        <f>IFERROR(INDEX(Registro!$B$2:$B$500,MATCH(255,Registro!$T$2:$T$500,0)),"")</f>
        <v/>
      </c>
      <c r="G256" s="49" t="str">
        <f>IFERROR(INDEX(Registro!$P$2:$P$500,MATCH(255,Registro!$T$2:$T$500,0)),"")</f>
        <v/>
      </c>
      <c r="H256" s="49" t="str">
        <f>IFERROR(INDEX(Registro!$Q$2:$Q$500,MATCH(255,Registro!$T$2:$T$500,0)),"")</f>
        <v/>
      </c>
    </row>
    <row r="257" spans="1:8" x14ac:dyDescent="0.25">
      <c r="A257" s="49" t="str">
        <f>IFERROR(INDEX(Registro!$E$2:$E$500,MATCH(256,Registro!$T$2:$T$500,0)),"")</f>
        <v/>
      </c>
      <c r="B257" s="49" t="str">
        <f>IFERROR(INDEX(Registro!$F$2:$F$500,MATCH(256,Registro!$T$2:$T$500,0)),"")</f>
        <v/>
      </c>
      <c r="C257" s="49" t="str">
        <f>IFERROR(INDEX(Registro!$G$2:$G$500,MATCH(256,Registro!$T$2:$T$500,0)),"")</f>
        <v/>
      </c>
      <c r="D257" s="49" t="str">
        <f>IFERROR(INDEX(Registro!$H$2:$H$500,MATCH(256,Registro!$T$2:$T$500,0)),"")</f>
        <v/>
      </c>
      <c r="E257" s="50" t="str">
        <f>IFERROR(INDEX(Registro!$C$2:$C$500,MATCH(256,Registro!$T$2:$T$500,0)),"")</f>
        <v/>
      </c>
      <c r="F257" s="49" t="str">
        <f>IFERROR(INDEX(Registro!$B$2:$B$500,MATCH(256,Registro!$T$2:$T$500,0)),"")</f>
        <v/>
      </c>
      <c r="G257" s="49" t="str">
        <f>IFERROR(INDEX(Registro!$P$2:$P$500,MATCH(256,Registro!$T$2:$T$500,0)),"")</f>
        <v/>
      </c>
      <c r="H257" s="49" t="str">
        <f>IFERROR(INDEX(Registro!$Q$2:$Q$500,MATCH(256,Registro!$T$2:$T$500,0)),"")</f>
        <v/>
      </c>
    </row>
    <row r="258" spans="1:8" x14ac:dyDescent="0.25">
      <c r="A258" s="49" t="str">
        <f>IFERROR(INDEX(Registro!$E$2:$E$500,MATCH(257,Registro!$T$2:$T$500,0)),"")</f>
        <v/>
      </c>
      <c r="B258" s="49" t="str">
        <f>IFERROR(INDEX(Registro!$F$2:$F$500,MATCH(257,Registro!$T$2:$T$500,0)),"")</f>
        <v/>
      </c>
      <c r="C258" s="49" t="str">
        <f>IFERROR(INDEX(Registro!$G$2:$G$500,MATCH(257,Registro!$T$2:$T$500,0)),"")</f>
        <v/>
      </c>
      <c r="D258" s="49" t="str">
        <f>IFERROR(INDEX(Registro!$H$2:$H$500,MATCH(257,Registro!$T$2:$T$500,0)),"")</f>
        <v/>
      </c>
      <c r="E258" s="50" t="str">
        <f>IFERROR(INDEX(Registro!$C$2:$C$500,MATCH(257,Registro!$T$2:$T$500,0)),"")</f>
        <v/>
      </c>
      <c r="F258" s="49" t="str">
        <f>IFERROR(INDEX(Registro!$B$2:$B$500,MATCH(257,Registro!$T$2:$T$500,0)),"")</f>
        <v/>
      </c>
      <c r="G258" s="49" t="str">
        <f>IFERROR(INDEX(Registro!$P$2:$P$500,MATCH(257,Registro!$T$2:$T$500,0)),"")</f>
        <v/>
      </c>
      <c r="H258" s="49" t="str">
        <f>IFERROR(INDEX(Registro!$Q$2:$Q$500,MATCH(257,Registro!$T$2:$T$500,0)),"")</f>
        <v/>
      </c>
    </row>
    <row r="259" spans="1:8" x14ac:dyDescent="0.25">
      <c r="A259" s="49" t="str">
        <f>IFERROR(INDEX(Registro!$E$2:$E$500,MATCH(258,Registro!$T$2:$T$500,0)),"")</f>
        <v/>
      </c>
      <c r="B259" s="49" t="str">
        <f>IFERROR(INDEX(Registro!$F$2:$F$500,MATCH(258,Registro!$T$2:$T$500,0)),"")</f>
        <v/>
      </c>
      <c r="C259" s="49" t="str">
        <f>IFERROR(INDEX(Registro!$G$2:$G$500,MATCH(258,Registro!$T$2:$T$500,0)),"")</f>
        <v/>
      </c>
      <c r="D259" s="49" t="str">
        <f>IFERROR(INDEX(Registro!$H$2:$H$500,MATCH(258,Registro!$T$2:$T$500,0)),"")</f>
        <v/>
      </c>
      <c r="E259" s="50" t="str">
        <f>IFERROR(INDEX(Registro!$C$2:$C$500,MATCH(258,Registro!$T$2:$T$500,0)),"")</f>
        <v/>
      </c>
      <c r="F259" s="49" t="str">
        <f>IFERROR(INDEX(Registro!$B$2:$B$500,MATCH(258,Registro!$T$2:$T$500,0)),"")</f>
        <v/>
      </c>
      <c r="G259" s="49" t="str">
        <f>IFERROR(INDEX(Registro!$P$2:$P$500,MATCH(258,Registro!$T$2:$T$500,0)),"")</f>
        <v/>
      </c>
      <c r="H259" s="49" t="str">
        <f>IFERROR(INDEX(Registro!$Q$2:$Q$500,MATCH(258,Registro!$T$2:$T$500,0)),"")</f>
        <v/>
      </c>
    </row>
    <row r="260" spans="1:8" x14ac:dyDescent="0.25">
      <c r="A260" s="49" t="str">
        <f>IFERROR(INDEX(Registro!$E$2:$E$500,MATCH(259,Registro!$T$2:$T$500,0)),"")</f>
        <v/>
      </c>
      <c r="B260" s="49" t="str">
        <f>IFERROR(INDEX(Registro!$F$2:$F$500,MATCH(259,Registro!$T$2:$T$500,0)),"")</f>
        <v/>
      </c>
      <c r="C260" s="49" t="str">
        <f>IFERROR(INDEX(Registro!$G$2:$G$500,MATCH(259,Registro!$T$2:$T$500,0)),"")</f>
        <v/>
      </c>
      <c r="D260" s="49" t="str">
        <f>IFERROR(INDEX(Registro!$H$2:$H$500,MATCH(259,Registro!$T$2:$T$500,0)),"")</f>
        <v/>
      </c>
      <c r="E260" s="50" t="str">
        <f>IFERROR(INDEX(Registro!$C$2:$C$500,MATCH(259,Registro!$T$2:$T$500,0)),"")</f>
        <v/>
      </c>
      <c r="F260" s="49" t="str">
        <f>IFERROR(INDEX(Registro!$B$2:$B$500,MATCH(259,Registro!$T$2:$T$500,0)),"")</f>
        <v/>
      </c>
      <c r="G260" s="49" t="str">
        <f>IFERROR(INDEX(Registro!$P$2:$P$500,MATCH(259,Registro!$T$2:$T$500,0)),"")</f>
        <v/>
      </c>
      <c r="H260" s="49" t="str">
        <f>IFERROR(INDEX(Registro!$Q$2:$Q$500,MATCH(259,Registro!$T$2:$T$500,0)),"")</f>
        <v/>
      </c>
    </row>
    <row r="261" spans="1:8" x14ac:dyDescent="0.25">
      <c r="A261" s="49" t="str">
        <f>IFERROR(INDEX(Registro!$E$2:$E$500,MATCH(260,Registro!$T$2:$T$500,0)),"")</f>
        <v/>
      </c>
      <c r="B261" s="49" t="str">
        <f>IFERROR(INDEX(Registro!$F$2:$F$500,MATCH(260,Registro!$T$2:$T$500,0)),"")</f>
        <v/>
      </c>
      <c r="C261" s="49" t="str">
        <f>IFERROR(INDEX(Registro!$G$2:$G$500,MATCH(260,Registro!$T$2:$T$500,0)),"")</f>
        <v/>
      </c>
      <c r="D261" s="49" t="str">
        <f>IFERROR(INDEX(Registro!$H$2:$H$500,MATCH(260,Registro!$T$2:$T$500,0)),"")</f>
        <v/>
      </c>
      <c r="E261" s="50" t="str">
        <f>IFERROR(INDEX(Registro!$C$2:$C$500,MATCH(260,Registro!$T$2:$T$500,0)),"")</f>
        <v/>
      </c>
      <c r="F261" s="49" t="str">
        <f>IFERROR(INDEX(Registro!$B$2:$B$500,MATCH(260,Registro!$T$2:$T$500,0)),"")</f>
        <v/>
      </c>
      <c r="G261" s="49" t="str">
        <f>IFERROR(INDEX(Registro!$P$2:$P$500,MATCH(260,Registro!$T$2:$T$500,0)),"")</f>
        <v/>
      </c>
      <c r="H261" s="49" t="str">
        <f>IFERROR(INDEX(Registro!$Q$2:$Q$500,MATCH(260,Registro!$T$2:$T$500,0)),"")</f>
        <v/>
      </c>
    </row>
    <row r="262" spans="1:8" x14ac:dyDescent="0.25">
      <c r="A262" s="49" t="str">
        <f>IFERROR(INDEX(Registro!$E$2:$E$500,MATCH(261,Registro!$T$2:$T$500,0)),"")</f>
        <v/>
      </c>
      <c r="B262" s="49" t="str">
        <f>IFERROR(INDEX(Registro!$F$2:$F$500,MATCH(261,Registro!$T$2:$T$500,0)),"")</f>
        <v/>
      </c>
      <c r="C262" s="49" t="str">
        <f>IFERROR(INDEX(Registro!$G$2:$G$500,MATCH(261,Registro!$T$2:$T$500,0)),"")</f>
        <v/>
      </c>
      <c r="D262" s="49" t="str">
        <f>IFERROR(INDEX(Registro!$H$2:$H$500,MATCH(261,Registro!$T$2:$T$500,0)),"")</f>
        <v/>
      </c>
      <c r="E262" s="50" t="str">
        <f>IFERROR(INDEX(Registro!$C$2:$C$500,MATCH(261,Registro!$T$2:$T$500,0)),"")</f>
        <v/>
      </c>
      <c r="F262" s="49" t="str">
        <f>IFERROR(INDEX(Registro!$B$2:$B$500,MATCH(261,Registro!$T$2:$T$500,0)),"")</f>
        <v/>
      </c>
      <c r="G262" s="49" t="str">
        <f>IFERROR(INDEX(Registro!$P$2:$P$500,MATCH(261,Registro!$T$2:$T$500,0)),"")</f>
        <v/>
      </c>
      <c r="H262" s="49" t="str">
        <f>IFERROR(INDEX(Registro!$Q$2:$Q$500,MATCH(261,Registro!$T$2:$T$500,0)),"")</f>
        <v/>
      </c>
    </row>
    <row r="263" spans="1:8" x14ac:dyDescent="0.25">
      <c r="A263" s="49" t="str">
        <f>IFERROR(INDEX(Registro!$E$2:$E$500,MATCH(262,Registro!$T$2:$T$500,0)),"")</f>
        <v/>
      </c>
      <c r="B263" s="49" t="str">
        <f>IFERROR(INDEX(Registro!$F$2:$F$500,MATCH(262,Registro!$T$2:$T$500,0)),"")</f>
        <v/>
      </c>
      <c r="C263" s="49" t="str">
        <f>IFERROR(INDEX(Registro!$G$2:$G$500,MATCH(262,Registro!$T$2:$T$500,0)),"")</f>
        <v/>
      </c>
      <c r="D263" s="49" t="str">
        <f>IFERROR(INDEX(Registro!$H$2:$H$500,MATCH(262,Registro!$T$2:$T$500,0)),"")</f>
        <v/>
      </c>
      <c r="E263" s="50" t="str">
        <f>IFERROR(INDEX(Registro!$C$2:$C$500,MATCH(262,Registro!$T$2:$T$500,0)),"")</f>
        <v/>
      </c>
      <c r="F263" s="49" t="str">
        <f>IFERROR(INDEX(Registro!$B$2:$B$500,MATCH(262,Registro!$T$2:$T$500,0)),"")</f>
        <v/>
      </c>
      <c r="G263" s="49" t="str">
        <f>IFERROR(INDEX(Registro!$P$2:$P$500,MATCH(262,Registro!$T$2:$T$500,0)),"")</f>
        <v/>
      </c>
      <c r="H263" s="49" t="str">
        <f>IFERROR(INDEX(Registro!$Q$2:$Q$500,MATCH(262,Registro!$T$2:$T$500,0)),"")</f>
        <v/>
      </c>
    </row>
    <row r="264" spans="1:8" x14ac:dyDescent="0.25">
      <c r="A264" s="49" t="str">
        <f>IFERROR(INDEX(Registro!$E$2:$E$500,MATCH(263,Registro!$T$2:$T$500,0)),"")</f>
        <v/>
      </c>
      <c r="B264" s="49" t="str">
        <f>IFERROR(INDEX(Registro!$F$2:$F$500,MATCH(263,Registro!$T$2:$T$500,0)),"")</f>
        <v/>
      </c>
      <c r="C264" s="49" t="str">
        <f>IFERROR(INDEX(Registro!$G$2:$G$500,MATCH(263,Registro!$T$2:$T$500,0)),"")</f>
        <v/>
      </c>
      <c r="D264" s="49" t="str">
        <f>IFERROR(INDEX(Registro!$H$2:$H$500,MATCH(263,Registro!$T$2:$T$500,0)),"")</f>
        <v/>
      </c>
      <c r="E264" s="50" t="str">
        <f>IFERROR(INDEX(Registro!$C$2:$C$500,MATCH(263,Registro!$T$2:$T$500,0)),"")</f>
        <v/>
      </c>
      <c r="F264" s="49" t="str">
        <f>IFERROR(INDEX(Registro!$B$2:$B$500,MATCH(263,Registro!$T$2:$T$500,0)),"")</f>
        <v/>
      </c>
      <c r="G264" s="49" t="str">
        <f>IFERROR(INDEX(Registro!$P$2:$P$500,MATCH(263,Registro!$T$2:$T$500,0)),"")</f>
        <v/>
      </c>
      <c r="H264" s="49" t="str">
        <f>IFERROR(INDEX(Registro!$Q$2:$Q$500,MATCH(263,Registro!$T$2:$T$500,0)),"")</f>
        <v/>
      </c>
    </row>
    <row r="265" spans="1:8" x14ac:dyDescent="0.25">
      <c r="A265" s="49" t="str">
        <f>IFERROR(INDEX(Registro!$E$2:$E$500,MATCH(264,Registro!$T$2:$T$500,0)),"")</f>
        <v/>
      </c>
      <c r="B265" s="49" t="str">
        <f>IFERROR(INDEX(Registro!$F$2:$F$500,MATCH(264,Registro!$T$2:$T$500,0)),"")</f>
        <v/>
      </c>
      <c r="C265" s="49" t="str">
        <f>IFERROR(INDEX(Registro!$G$2:$G$500,MATCH(264,Registro!$T$2:$T$500,0)),"")</f>
        <v/>
      </c>
      <c r="D265" s="49" t="str">
        <f>IFERROR(INDEX(Registro!$H$2:$H$500,MATCH(264,Registro!$T$2:$T$500,0)),"")</f>
        <v/>
      </c>
      <c r="E265" s="50" t="str">
        <f>IFERROR(INDEX(Registro!$C$2:$C$500,MATCH(264,Registro!$T$2:$T$500,0)),"")</f>
        <v/>
      </c>
      <c r="F265" s="49" t="str">
        <f>IFERROR(INDEX(Registro!$B$2:$B$500,MATCH(264,Registro!$T$2:$T$500,0)),"")</f>
        <v/>
      </c>
      <c r="G265" s="49" t="str">
        <f>IFERROR(INDEX(Registro!$P$2:$P$500,MATCH(264,Registro!$T$2:$T$500,0)),"")</f>
        <v/>
      </c>
      <c r="H265" s="49" t="str">
        <f>IFERROR(INDEX(Registro!$Q$2:$Q$500,MATCH(264,Registro!$T$2:$T$500,0)),"")</f>
        <v/>
      </c>
    </row>
    <row r="266" spans="1:8" x14ac:dyDescent="0.25">
      <c r="A266" s="49" t="str">
        <f>IFERROR(INDEX(Registro!$E$2:$E$500,MATCH(265,Registro!$T$2:$T$500,0)),"")</f>
        <v/>
      </c>
      <c r="B266" s="49" t="str">
        <f>IFERROR(INDEX(Registro!$F$2:$F$500,MATCH(265,Registro!$T$2:$T$500,0)),"")</f>
        <v/>
      </c>
      <c r="C266" s="49" t="str">
        <f>IFERROR(INDEX(Registro!$G$2:$G$500,MATCH(265,Registro!$T$2:$T$500,0)),"")</f>
        <v/>
      </c>
      <c r="D266" s="49" t="str">
        <f>IFERROR(INDEX(Registro!$H$2:$H$500,MATCH(265,Registro!$T$2:$T$500,0)),"")</f>
        <v/>
      </c>
      <c r="E266" s="50" t="str">
        <f>IFERROR(INDEX(Registro!$C$2:$C$500,MATCH(265,Registro!$T$2:$T$500,0)),"")</f>
        <v/>
      </c>
      <c r="F266" s="49" t="str">
        <f>IFERROR(INDEX(Registro!$B$2:$B$500,MATCH(265,Registro!$T$2:$T$500,0)),"")</f>
        <v/>
      </c>
      <c r="G266" s="49" t="str">
        <f>IFERROR(INDEX(Registro!$P$2:$P$500,MATCH(265,Registro!$T$2:$T$500,0)),"")</f>
        <v/>
      </c>
      <c r="H266" s="49" t="str">
        <f>IFERROR(INDEX(Registro!$Q$2:$Q$500,MATCH(265,Registro!$T$2:$T$500,0)),"")</f>
        <v/>
      </c>
    </row>
    <row r="267" spans="1:8" x14ac:dyDescent="0.25">
      <c r="A267" s="49" t="str">
        <f>IFERROR(INDEX(Registro!$E$2:$E$500,MATCH(266,Registro!$T$2:$T$500,0)),"")</f>
        <v/>
      </c>
      <c r="B267" s="49" t="str">
        <f>IFERROR(INDEX(Registro!$F$2:$F$500,MATCH(266,Registro!$T$2:$T$500,0)),"")</f>
        <v/>
      </c>
      <c r="C267" s="49" t="str">
        <f>IFERROR(INDEX(Registro!$G$2:$G$500,MATCH(266,Registro!$T$2:$T$500,0)),"")</f>
        <v/>
      </c>
      <c r="D267" s="49" t="str">
        <f>IFERROR(INDEX(Registro!$H$2:$H$500,MATCH(266,Registro!$T$2:$T$500,0)),"")</f>
        <v/>
      </c>
      <c r="E267" s="50" t="str">
        <f>IFERROR(INDEX(Registro!$C$2:$C$500,MATCH(266,Registro!$T$2:$T$500,0)),"")</f>
        <v/>
      </c>
      <c r="F267" s="49" t="str">
        <f>IFERROR(INDEX(Registro!$B$2:$B$500,MATCH(266,Registro!$T$2:$T$500,0)),"")</f>
        <v/>
      </c>
      <c r="G267" s="49" t="str">
        <f>IFERROR(INDEX(Registro!$P$2:$P$500,MATCH(266,Registro!$T$2:$T$500,0)),"")</f>
        <v/>
      </c>
      <c r="H267" s="49" t="str">
        <f>IFERROR(INDEX(Registro!$Q$2:$Q$500,MATCH(266,Registro!$T$2:$T$500,0)),"")</f>
        <v/>
      </c>
    </row>
    <row r="268" spans="1:8" x14ac:dyDescent="0.25">
      <c r="A268" s="49" t="str">
        <f>IFERROR(INDEX(Registro!$E$2:$E$500,MATCH(267,Registro!$T$2:$T$500,0)),"")</f>
        <v/>
      </c>
      <c r="B268" s="49" t="str">
        <f>IFERROR(INDEX(Registro!$F$2:$F$500,MATCH(267,Registro!$T$2:$T$500,0)),"")</f>
        <v/>
      </c>
      <c r="C268" s="49" t="str">
        <f>IFERROR(INDEX(Registro!$G$2:$G$500,MATCH(267,Registro!$T$2:$T$500,0)),"")</f>
        <v/>
      </c>
      <c r="D268" s="49" t="str">
        <f>IFERROR(INDEX(Registro!$H$2:$H$500,MATCH(267,Registro!$T$2:$T$500,0)),"")</f>
        <v/>
      </c>
      <c r="E268" s="50" t="str">
        <f>IFERROR(INDEX(Registro!$C$2:$C$500,MATCH(267,Registro!$T$2:$T$500,0)),"")</f>
        <v/>
      </c>
      <c r="F268" s="49" t="str">
        <f>IFERROR(INDEX(Registro!$B$2:$B$500,MATCH(267,Registro!$T$2:$T$500,0)),"")</f>
        <v/>
      </c>
      <c r="G268" s="49" t="str">
        <f>IFERROR(INDEX(Registro!$P$2:$P$500,MATCH(267,Registro!$T$2:$T$500,0)),"")</f>
        <v/>
      </c>
      <c r="H268" s="49" t="str">
        <f>IFERROR(INDEX(Registro!$Q$2:$Q$500,MATCH(267,Registro!$T$2:$T$500,0)),"")</f>
        <v/>
      </c>
    </row>
    <row r="269" spans="1:8" x14ac:dyDescent="0.25">
      <c r="A269" s="49" t="str">
        <f>IFERROR(INDEX(Registro!$E$2:$E$500,MATCH(268,Registro!$T$2:$T$500,0)),"")</f>
        <v/>
      </c>
      <c r="B269" s="49" t="str">
        <f>IFERROR(INDEX(Registro!$F$2:$F$500,MATCH(268,Registro!$T$2:$T$500,0)),"")</f>
        <v/>
      </c>
      <c r="C269" s="49" t="str">
        <f>IFERROR(INDEX(Registro!$G$2:$G$500,MATCH(268,Registro!$T$2:$T$500,0)),"")</f>
        <v/>
      </c>
      <c r="D269" s="49" t="str">
        <f>IFERROR(INDEX(Registro!$H$2:$H$500,MATCH(268,Registro!$T$2:$T$500,0)),"")</f>
        <v/>
      </c>
      <c r="E269" s="50" t="str">
        <f>IFERROR(INDEX(Registro!$C$2:$C$500,MATCH(268,Registro!$T$2:$T$500,0)),"")</f>
        <v/>
      </c>
      <c r="F269" s="49" t="str">
        <f>IFERROR(INDEX(Registro!$B$2:$B$500,MATCH(268,Registro!$T$2:$T$500,0)),"")</f>
        <v/>
      </c>
      <c r="G269" s="49" t="str">
        <f>IFERROR(INDEX(Registro!$P$2:$P$500,MATCH(268,Registro!$T$2:$T$500,0)),"")</f>
        <v/>
      </c>
      <c r="H269" s="49" t="str">
        <f>IFERROR(INDEX(Registro!$Q$2:$Q$500,MATCH(268,Registro!$T$2:$T$500,0)),"")</f>
        <v/>
      </c>
    </row>
    <row r="270" spans="1:8" x14ac:dyDescent="0.25">
      <c r="A270" s="49" t="str">
        <f>IFERROR(INDEX(Registro!$E$2:$E$500,MATCH(269,Registro!$T$2:$T$500,0)),"")</f>
        <v/>
      </c>
      <c r="B270" s="49" t="str">
        <f>IFERROR(INDEX(Registro!$F$2:$F$500,MATCH(269,Registro!$T$2:$T$500,0)),"")</f>
        <v/>
      </c>
      <c r="C270" s="49" t="str">
        <f>IFERROR(INDEX(Registro!$G$2:$G$500,MATCH(269,Registro!$T$2:$T$500,0)),"")</f>
        <v/>
      </c>
      <c r="D270" s="49" t="str">
        <f>IFERROR(INDEX(Registro!$H$2:$H$500,MATCH(269,Registro!$T$2:$T$500,0)),"")</f>
        <v/>
      </c>
      <c r="E270" s="50" t="str">
        <f>IFERROR(INDEX(Registro!$C$2:$C$500,MATCH(269,Registro!$T$2:$T$500,0)),"")</f>
        <v/>
      </c>
      <c r="F270" s="49" t="str">
        <f>IFERROR(INDEX(Registro!$B$2:$B$500,MATCH(269,Registro!$T$2:$T$500,0)),"")</f>
        <v/>
      </c>
      <c r="G270" s="49" t="str">
        <f>IFERROR(INDEX(Registro!$P$2:$P$500,MATCH(269,Registro!$T$2:$T$500,0)),"")</f>
        <v/>
      </c>
      <c r="H270" s="49" t="str">
        <f>IFERROR(INDEX(Registro!$Q$2:$Q$500,MATCH(269,Registro!$T$2:$T$500,0)),"")</f>
        <v/>
      </c>
    </row>
    <row r="271" spans="1:8" x14ac:dyDescent="0.25">
      <c r="A271" s="49" t="str">
        <f>IFERROR(INDEX(Registro!$E$2:$E$500,MATCH(270,Registro!$T$2:$T$500,0)),"")</f>
        <v/>
      </c>
      <c r="B271" s="49" t="str">
        <f>IFERROR(INDEX(Registro!$F$2:$F$500,MATCH(270,Registro!$T$2:$T$500,0)),"")</f>
        <v/>
      </c>
      <c r="C271" s="49" t="str">
        <f>IFERROR(INDEX(Registro!$G$2:$G$500,MATCH(270,Registro!$T$2:$T$500,0)),"")</f>
        <v/>
      </c>
      <c r="D271" s="49" t="str">
        <f>IFERROR(INDEX(Registro!$H$2:$H$500,MATCH(270,Registro!$T$2:$T$500,0)),"")</f>
        <v/>
      </c>
      <c r="E271" s="50" t="str">
        <f>IFERROR(INDEX(Registro!$C$2:$C$500,MATCH(270,Registro!$T$2:$T$500,0)),"")</f>
        <v/>
      </c>
      <c r="F271" s="49" t="str">
        <f>IFERROR(INDEX(Registro!$B$2:$B$500,MATCH(270,Registro!$T$2:$T$500,0)),"")</f>
        <v/>
      </c>
      <c r="G271" s="49" t="str">
        <f>IFERROR(INDEX(Registro!$P$2:$P$500,MATCH(270,Registro!$T$2:$T$500,0)),"")</f>
        <v/>
      </c>
      <c r="H271" s="49" t="str">
        <f>IFERROR(INDEX(Registro!$Q$2:$Q$500,MATCH(270,Registro!$T$2:$T$500,0)),"")</f>
        <v/>
      </c>
    </row>
    <row r="272" spans="1:8" x14ac:dyDescent="0.25">
      <c r="A272" s="49" t="str">
        <f>IFERROR(INDEX(Registro!$E$2:$E$500,MATCH(271,Registro!$T$2:$T$500,0)),"")</f>
        <v/>
      </c>
      <c r="B272" s="49" t="str">
        <f>IFERROR(INDEX(Registro!$F$2:$F$500,MATCH(271,Registro!$T$2:$T$500,0)),"")</f>
        <v/>
      </c>
      <c r="C272" s="49" t="str">
        <f>IFERROR(INDEX(Registro!$G$2:$G$500,MATCH(271,Registro!$T$2:$T$500,0)),"")</f>
        <v/>
      </c>
      <c r="D272" s="49" t="str">
        <f>IFERROR(INDEX(Registro!$H$2:$H$500,MATCH(271,Registro!$T$2:$T$500,0)),"")</f>
        <v/>
      </c>
      <c r="E272" s="50" t="str">
        <f>IFERROR(INDEX(Registro!$C$2:$C$500,MATCH(271,Registro!$T$2:$T$500,0)),"")</f>
        <v/>
      </c>
      <c r="F272" s="49" t="str">
        <f>IFERROR(INDEX(Registro!$B$2:$B$500,MATCH(271,Registro!$T$2:$T$500,0)),"")</f>
        <v/>
      </c>
      <c r="G272" s="49" t="str">
        <f>IFERROR(INDEX(Registro!$P$2:$P$500,MATCH(271,Registro!$T$2:$T$500,0)),"")</f>
        <v/>
      </c>
      <c r="H272" s="49" t="str">
        <f>IFERROR(INDEX(Registro!$Q$2:$Q$500,MATCH(271,Registro!$T$2:$T$500,0)),"")</f>
        <v/>
      </c>
    </row>
    <row r="273" spans="1:8" x14ac:dyDescent="0.25">
      <c r="A273" s="49" t="str">
        <f>IFERROR(INDEX(Registro!$E$2:$E$500,MATCH(272,Registro!$T$2:$T$500,0)),"")</f>
        <v/>
      </c>
      <c r="B273" s="49" t="str">
        <f>IFERROR(INDEX(Registro!$F$2:$F$500,MATCH(272,Registro!$T$2:$T$500,0)),"")</f>
        <v/>
      </c>
      <c r="C273" s="49" t="str">
        <f>IFERROR(INDEX(Registro!$G$2:$G$500,MATCH(272,Registro!$T$2:$T$500,0)),"")</f>
        <v/>
      </c>
      <c r="D273" s="49" t="str">
        <f>IFERROR(INDEX(Registro!$H$2:$H$500,MATCH(272,Registro!$T$2:$T$500,0)),"")</f>
        <v/>
      </c>
      <c r="E273" s="50" t="str">
        <f>IFERROR(INDEX(Registro!$C$2:$C$500,MATCH(272,Registro!$T$2:$T$500,0)),"")</f>
        <v/>
      </c>
      <c r="F273" s="49" t="str">
        <f>IFERROR(INDEX(Registro!$B$2:$B$500,MATCH(272,Registro!$T$2:$T$500,0)),"")</f>
        <v/>
      </c>
      <c r="G273" s="49" t="str">
        <f>IFERROR(INDEX(Registro!$P$2:$P$500,MATCH(272,Registro!$T$2:$T$500,0)),"")</f>
        <v/>
      </c>
      <c r="H273" s="49" t="str">
        <f>IFERROR(INDEX(Registro!$Q$2:$Q$500,MATCH(272,Registro!$T$2:$T$500,0)),"")</f>
        <v/>
      </c>
    </row>
    <row r="274" spans="1:8" x14ac:dyDescent="0.25">
      <c r="A274" s="49" t="str">
        <f>IFERROR(INDEX(Registro!$E$2:$E$500,MATCH(273,Registro!$T$2:$T$500,0)),"")</f>
        <v/>
      </c>
      <c r="B274" s="49" t="str">
        <f>IFERROR(INDEX(Registro!$F$2:$F$500,MATCH(273,Registro!$T$2:$T$500,0)),"")</f>
        <v/>
      </c>
      <c r="C274" s="49" t="str">
        <f>IFERROR(INDEX(Registro!$G$2:$G$500,MATCH(273,Registro!$T$2:$T$500,0)),"")</f>
        <v/>
      </c>
      <c r="D274" s="49" t="str">
        <f>IFERROR(INDEX(Registro!$H$2:$H$500,MATCH(273,Registro!$T$2:$T$500,0)),"")</f>
        <v/>
      </c>
      <c r="E274" s="50" t="str">
        <f>IFERROR(INDEX(Registro!$C$2:$C$500,MATCH(273,Registro!$T$2:$T$500,0)),"")</f>
        <v/>
      </c>
      <c r="F274" s="49" t="str">
        <f>IFERROR(INDEX(Registro!$B$2:$B$500,MATCH(273,Registro!$T$2:$T$500,0)),"")</f>
        <v/>
      </c>
      <c r="G274" s="49" t="str">
        <f>IFERROR(INDEX(Registro!$P$2:$P$500,MATCH(273,Registro!$T$2:$T$500,0)),"")</f>
        <v/>
      </c>
      <c r="H274" s="49" t="str">
        <f>IFERROR(INDEX(Registro!$Q$2:$Q$500,MATCH(273,Registro!$T$2:$T$500,0)),"")</f>
        <v/>
      </c>
    </row>
    <row r="275" spans="1:8" x14ac:dyDescent="0.25">
      <c r="A275" s="49" t="str">
        <f>IFERROR(INDEX(Registro!$E$2:$E$500,MATCH(274,Registro!$T$2:$T$500,0)),"")</f>
        <v/>
      </c>
      <c r="B275" s="49" t="str">
        <f>IFERROR(INDEX(Registro!$F$2:$F$500,MATCH(274,Registro!$T$2:$T$500,0)),"")</f>
        <v/>
      </c>
      <c r="C275" s="49" t="str">
        <f>IFERROR(INDEX(Registro!$G$2:$G$500,MATCH(274,Registro!$T$2:$T$500,0)),"")</f>
        <v/>
      </c>
      <c r="D275" s="49" t="str">
        <f>IFERROR(INDEX(Registro!$H$2:$H$500,MATCH(274,Registro!$T$2:$T$500,0)),"")</f>
        <v/>
      </c>
      <c r="E275" s="50" t="str">
        <f>IFERROR(INDEX(Registro!$C$2:$C$500,MATCH(274,Registro!$T$2:$T$500,0)),"")</f>
        <v/>
      </c>
      <c r="F275" s="49" t="str">
        <f>IFERROR(INDEX(Registro!$B$2:$B$500,MATCH(274,Registro!$T$2:$T$500,0)),"")</f>
        <v/>
      </c>
      <c r="G275" s="49" t="str">
        <f>IFERROR(INDEX(Registro!$P$2:$P$500,MATCH(274,Registro!$T$2:$T$500,0)),"")</f>
        <v/>
      </c>
      <c r="H275" s="49" t="str">
        <f>IFERROR(INDEX(Registro!$Q$2:$Q$500,MATCH(274,Registro!$T$2:$T$500,0)),"")</f>
        <v/>
      </c>
    </row>
    <row r="276" spans="1:8" x14ac:dyDescent="0.25">
      <c r="A276" s="49" t="str">
        <f>IFERROR(INDEX(Registro!$E$2:$E$500,MATCH(275,Registro!$T$2:$T$500,0)),"")</f>
        <v/>
      </c>
      <c r="B276" s="49" t="str">
        <f>IFERROR(INDEX(Registro!$F$2:$F$500,MATCH(275,Registro!$T$2:$T$500,0)),"")</f>
        <v/>
      </c>
      <c r="C276" s="49" t="str">
        <f>IFERROR(INDEX(Registro!$G$2:$G$500,MATCH(275,Registro!$T$2:$T$500,0)),"")</f>
        <v/>
      </c>
      <c r="D276" s="49" t="str">
        <f>IFERROR(INDEX(Registro!$H$2:$H$500,MATCH(275,Registro!$T$2:$T$500,0)),"")</f>
        <v/>
      </c>
      <c r="E276" s="50" t="str">
        <f>IFERROR(INDEX(Registro!$C$2:$C$500,MATCH(275,Registro!$T$2:$T$500,0)),"")</f>
        <v/>
      </c>
      <c r="F276" s="49" t="str">
        <f>IFERROR(INDEX(Registro!$B$2:$B$500,MATCH(275,Registro!$T$2:$T$500,0)),"")</f>
        <v/>
      </c>
      <c r="G276" s="49" t="str">
        <f>IFERROR(INDEX(Registro!$P$2:$P$500,MATCH(275,Registro!$T$2:$T$500,0)),"")</f>
        <v/>
      </c>
      <c r="H276" s="49" t="str">
        <f>IFERROR(INDEX(Registro!$Q$2:$Q$500,MATCH(275,Registro!$T$2:$T$500,0)),"")</f>
        <v/>
      </c>
    </row>
    <row r="277" spans="1:8" x14ac:dyDescent="0.25">
      <c r="A277" s="49" t="str">
        <f>IFERROR(INDEX(Registro!$E$2:$E$500,MATCH(276,Registro!$T$2:$T$500,0)),"")</f>
        <v/>
      </c>
      <c r="B277" s="49" t="str">
        <f>IFERROR(INDEX(Registro!$F$2:$F$500,MATCH(276,Registro!$T$2:$T$500,0)),"")</f>
        <v/>
      </c>
      <c r="C277" s="49" t="str">
        <f>IFERROR(INDEX(Registro!$G$2:$G$500,MATCH(276,Registro!$T$2:$T$500,0)),"")</f>
        <v/>
      </c>
      <c r="D277" s="49" t="str">
        <f>IFERROR(INDEX(Registro!$H$2:$H$500,MATCH(276,Registro!$T$2:$T$500,0)),"")</f>
        <v/>
      </c>
      <c r="E277" s="50" t="str">
        <f>IFERROR(INDEX(Registro!$C$2:$C$500,MATCH(276,Registro!$T$2:$T$500,0)),"")</f>
        <v/>
      </c>
      <c r="F277" s="49" t="str">
        <f>IFERROR(INDEX(Registro!$B$2:$B$500,MATCH(276,Registro!$T$2:$T$500,0)),"")</f>
        <v/>
      </c>
      <c r="G277" s="49" t="str">
        <f>IFERROR(INDEX(Registro!$P$2:$P$500,MATCH(276,Registro!$T$2:$T$500,0)),"")</f>
        <v/>
      </c>
      <c r="H277" s="49" t="str">
        <f>IFERROR(INDEX(Registro!$Q$2:$Q$500,MATCH(276,Registro!$T$2:$T$500,0)),"")</f>
        <v/>
      </c>
    </row>
    <row r="278" spans="1:8" x14ac:dyDescent="0.25">
      <c r="A278" s="49" t="str">
        <f>IFERROR(INDEX(Registro!$E$2:$E$500,MATCH(277,Registro!$T$2:$T$500,0)),"")</f>
        <v/>
      </c>
      <c r="B278" s="49" t="str">
        <f>IFERROR(INDEX(Registro!$F$2:$F$500,MATCH(277,Registro!$T$2:$T$500,0)),"")</f>
        <v/>
      </c>
      <c r="C278" s="49" t="str">
        <f>IFERROR(INDEX(Registro!$G$2:$G$500,MATCH(277,Registro!$T$2:$T$500,0)),"")</f>
        <v/>
      </c>
      <c r="D278" s="49" t="str">
        <f>IFERROR(INDEX(Registro!$H$2:$H$500,MATCH(277,Registro!$T$2:$T$500,0)),"")</f>
        <v/>
      </c>
      <c r="E278" s="50" t="str">
        <f>IFERROR(INDEX(Registro!$C$2:$C$500,MATCH(277,Registro!$T$2:$T$500,0)),"")</f>
        <v/>
      </c>
      <c r="F278" s="49" t="str">
        <f>IFERROR(INDEX(Registro!$B$2:$B$500,MATCH(277,Registro!$T$2:$T$500,0)),"")</f>
        <v/>
      </c>
      <c r="G278" s="49" t="str">
        <f>IFERROR(INDEX(Registro!$P$2:$P$500,MATCH(277,Registro!$T$2:$T$500,0)),"")</f>
        <v/>
      </c>
      <c r="H278" s="49" t="str">
        <f>IFERROR(INDEX(Registro!$Q$2:$Q$500,MATCH(277,Registro!$T$2:$T$500,0)),"")</f>
        <v/>
      </c>
    </row>
    <row r="279" spans="1:8" x14ac:dyDescent="0.25">
      <c r="A279" s="49" t="str">
        <f>IFERROR(INDEX(Registro!$E$2:$E$500,MATCH(278,Registro!$T$2:$T$500,0)),"")</f>
        <v/>
      </c>
      <c r="B279" s="49" t="str">
        <f>IFERROR(INDEX(Registro!$F$2:$F$500,MATCH(278,Registro!$T$2:$T$500,0)),"")</f>
        <v/>
      </c>
      <c r="C279" s="49" t="str">
        <f>IFERROR(INDEX(Registro!$G$2:$G$500,MATCH(278,Registro!$T$2:$T$500,0)),"")</f>
        <v/>
      </c>
      <c r="D279" s="49" t="str">
        <f>IFERROR(INDEX(Registro!$H$2:$H$500,MATCH(278,Registro!$T$2:$T$500,0)),"")</f>
        <v/>
      </c>
      <c r="E279" s="50" t="str">
        <f>IFERROR(INDEX(Registro!$C$2:$C$500,MATCH(278,Registro!$T$2:$T$500,0)),"")</f>
        <v/>
      </c>
      <c r="F279" s="49" t="str">
        <f>IFERROR(INDEX(Registro!$B$2:$B$500,MATCH(278,Registro!$T$2:$T$500,0)),"")</f>
        <v/>
      </c>
      <c r="G279" s="49" t="str">
        <f>IFERROR(INDEX(Registro!$P$2:$P$500,MATCH(278,Registro!$T$2:$T$500,0)),"")</f>
        <v/>
      </c>
      <c r="H279" s="49" t="str">
        <f>IFERROR(INDEX(Registro!$Q$2:$Q$500,MATCH(278,Registro!$T$2:$T$500,0)),"")</f>
        <v/>
      </c>
    </row>
    <row r="280" spans="1:8" x14ac:dyDescent="0.25">
      <c r="A280" s="49" t="str">
        <f>IFERROR(INDEX(Registro!$E$2:$E$500,MATCH(279,Registro!$T$2:$T$500,0)),"")</f>
        <v/>
      </c>
      <c r="B280" s="49" t="str">
        <f>IFERROR(INDEX(Registro!$F$2:$F$500,MATCH(279,Registro!$T$2:$T$500,0)),"")</f>
        <v/>
      </c>
      <c r="C280" s="49" t="str">
        <f>IFERROR(INDEX(Registro!$G$2:$G$500,MATCH(279,Registro!$T$2:$T$500,0)),"")</f>
        <v/>
      </c>
      <c r="D280" s="49" t="str">
        <f>IFERROR(INDEX(Registro!$H$2:$H$500,MATCH(279,Registro!$T$2:$T$500,0)),"")</f>
        <v/>
      </c>
      <c r="E280" s="50" t="str">
        <f>IFERROR(INDEX(Registro!$C$2:$C$500,MATCH(279,Registro!$T$2:$T$500,0)),"")</f>
        <v/>
      </c>
      <c r="F280" s="49" t="str">
        <f>IFERROR(INDEX(Registro!$B$2:$B$500,MATCH(279,Registro!$T$2:$T$500,0)),"")</f>
        <v/>
      </c>
      <c r="G280" s="49" t="str">
        <f>IFERROR(INDEX(Registro!$P$2:$P$500,MATCH(279,Registro!$T$2:$T$500,0)),"")</f>
        <v/>
      </c>
      <c r="H280" s="49" t="str">
        <f>IFERROR(INDEX(Registro!$Q$2:$Q$500,MATCH(279,Registro!$T$2:$T$500,0)),"")</f>
        <v/>
      </c>
    </row>
    <row r="281" spans="1:8" x14ac:dyDescent="0.25">
      <c r="A281" s="49" t="str">
        <f>IFERROR(INDEX(Registro!$E$2:$E$500,MATCH(280,Registro!$T$2:$T$500,0)),"")</f>
        <v/>
      </c>
      <c r="B281" s="49" t="str">
        <f>IFERROR(INDEX(Registro!$F$2:$F$500,MATCH(280,Registro!$T$2:$T$500,0)),"")</f>
        <v/>
      </c>
      <c r="C281" s="49" t="str">
        <f>IFERROR(INDEX(Registro!$G$2:$G$500,MATCH(280,Registro!$T$2:$T$500,0)),"")</f>
        <v/>
      </c>
      <c r="D281" s="49" t="str">
        <f>IFERROR(INDEX(Registro!$H$2:$H$500,MATCH(280,Registro!$T$2:$T$500,0)),"")</f>
        <v/>
      </c>
      <c r="E281" s="50" t="str">
        <f>IFERROR(INDEX(Registro!$C$2:$C$500,MATCH(280,Registro!$T$2:$T$500,0)),"")</f>
        <v/>
      </c>
      <c r="F281" s="49" t="str">
        <f>IFERROR(INDEX(Registro!$B$2:$B$500,MATCH(280,Registro!$T$2:$T$500,0)),"")</f>
        <v/>
      </c>
      <c r="G281" s="49" t="str">
        <f>IFERROR(INDEX(Registro!$P$2:$P$500,MATCH(280,Registro!$T$2:$T$500,0)),"")</f>
        <v/>
      </c>
      <c r="H281" s="49" t="str">
        <f>IFERROR(INDEX(Registro!$Q$2:$Q$500,MATCH(280,Registro!$T$2:$T$500,0)),"")</f>
        <v/>
      </c>
    </row>
    <row r="282" spans="1:8" x14ac:dyDescent="0.25">
      <c r="A282" s="49" t="str">
        <f>IFERROR(INDEX(Registro!$E$2:$E$500,MATCH(281,Registro!$T$2:$T$500,0)),"")</f>
        <v/>
      </c>
      <c r="B282" s="49" t="str">
        <f>IFERROR(INDEX(Registro!$F$2:$F$500,MATCH(281,Registro!$T$2:$T$500,0)),"")</f>
        <v/>
      </c>
      <c r="C282" s="49" t="str">
        <f>IFERROR(INDEX(Registro!$G$2:$G$500,MATCH(281,Registro!$T$2:$T$500,0)),"")</f>
        <v/>
      </c>
      <c r="D282" s="49" t="str">
        <f>IFERROR(INDEX(Registro!$H$2:$H$500,MATCH(281,Registro!$T$2:$T$500,0)),"")</f>
        <v/>
      </c>
      <c r="E282" s="50" t="str">
        <f>IFERROR(INDEX(Registro!$C$2:$C$500,MATCH(281,Registro!$T$2:$T$500,0)),"")</f>
        <v/>
      </c>
      <c r="F282" s="49" t="str">
        <f>IFERROR(INDEX(Registro!$B$2:$B$500,MATCH(281,Registro!$T$2:$T$500,0)),"")</f>
        <v/>
      </c>
      <c r="G282" s="49" t="str">
        <f>IFERROR(INDEX(Registro!$P$2:$P$500,MATCH(281,Registro!$T$2:$T$500,0)),"")</f>
        <v/>
      </c>
      <c r="H282" s="49" t="str">
        <f>IFERROR(INDEX(Registro!$Q$2:$Q$500,MATCH(281,Registro!$T$2:$T$500,0)),"")</f>
        <v/>
      </c>
    </row>
    <row r="283" spans="1:8" x14ac:dyDescent="0.25">
      <c r="A283" s="49" t="str">
        <f>IFERROR(INDEX(Registro!$E$2:$E$500,MATCH(282,Registro!$T$2:$T$500,0)),"")</f>
        <v/>
      </c>
      <c r="B283" s="49" t="str">
        <f>IFERROR(INDEX(Registro!$F$2:$F$500,MATCH(282,Registro!$T$2:$T$500,0)),"")</f>
        <v/>
      </c>
      <c r="C283" s="49" t="str">
        <f>IFERROR(INDEX(Registro!$G$2:$G$500,MATCH(282,Registro!$T$2:$T$500,0)),"")</f>
        <v/>
      </c>
      <c r="D283" s="49" t="str">
        <f>IFERROR(INDEX(Registro!$H$2:$H$500,MATCH(282,Registro!$T$2:$T$500,0)),"")</f>
        <v/>
      </c>
      <c r="E283" s="50" t="str">
        <f>IFERROR(INDEX(Registro!$C$2:$C$500,MATCH(282,Registro!$T$2:$T$500,0)),"")</f>
        <v/>
      </c>
      <c r="F283" s="49" t="str">
        <f>IFERROR(INDEX(Registro!$B$2:$B$500,MATCH(282,Registro!$T$2:$T$500,0)),"")</f>
        <v/>
      </c>
      <c r="G283" s="49" t="str">
        <f>IFERROR(INDEX(Registro!$P$2:$P$500,MATCH(282,Registro!$T$2:$T$500,0)),"")</f>
        <v/>
      </c>
      <c r="H283" s="49" t="str">
        <f>IFERROR(INDEX(Registro!$Q$2:$Q$500,MATCH(282,Registro!$T$2:$T$500,0)),"")</f>
        <v/>
      </c>
    </row>
    <row r="284" spans="1:8" x14ac:dyDescent="0.25">
      <c r="A284" s="49" t="str">
        <f>IFERROR(INDEX(Registro!$E$2:$E$500,MATCH(283,Registro!$T$2:$T$500,0)),"")</f>
        <v/>
      </c>
      <c r="B284" s="49" t="str">
        <f>IFERROR(INDEX(Registro!$F$2:$F$500,MATCH(283,Registro!$T$2:$T$500,0)),"")</f>
        <v/>
      </c>
      <c r="C284" s="49" t="str">
        <f>IFERROR(INDEX(Registro!$G$2:$G$500,MATCH(283,Registro!$T$2:$T$500,0)),"")</f>
        <v/>
      </c>
      <c r="D284" s="49" t="str">
        <f>IFERROR(INDEX(Registro!$H$2:$H$500,MATCH(283,Registro!$T$2:$T$500,0)),"")</f>
        <v/>
      </c>
      <c r="E284" s="50" t="str">
        <f>IFERROR(INDEX(Registro!$C$2:$C$500,MATCH(283,Registro!$T$2:$T$500,0)),"")</f>
        <v/>
      </c>
      <c r="F284" s="49" t="str">
        <f>IFERROR(INDEX(Registro!$B$2:$B$500,MATCH(283,Registro!$T$2:$T$500,0)),"")</f>
        <v/>
      </c>
      <c r="G284" s="49" t="str">
        <f>IFERROR(INDEX(Registro!$P$2:$P$500,MATCH(283,Registro!$T$2:$T$500,0)),"")</f>
        <v/>
      </c>
      <c r="H284" s="49" t="str">
        <f>IFERROR(INDEX(Registro!$Q$2:$Q$500,MATCH(283,Registro!$T$2:$T$500,0)),"")</f>
        <v/>
      </c>
    </row>
    <row r="285" spans="1:8" x14ac:dyDescent="0.25">
      <c r="A285" s="49" t="str">
        <f>IFERROR(INDEX(Registro!$E$2:$E$500,MATCH(284,Registro!$T$2:$T$500,0)),"")</f>
        <v/>
      </c>
      <c r="B285" s="49" t="str">
        <f>IFERROR(INDEX(Registro!$F$2:$F$500,MATCH(284,Registro!$T$2:$T$500,0)),"")</f>
        <v/>
      </c>
      <c r="C285" s="49" t="str">
        <f>IFERROR(INDEX(Registro!$G$2:$G$500,MATCH(284,Registro!$T$2:$T$500,0)),"")</f>
        <v/>
      </c>
      <c r="D285" s="49" t="str">
        <f>IFERROR(INDEX(Registro!$H$2:$H$500,MATCH(284,Registro!$T$2:$T$500,0)),"")</f>
        <v/>
      </c>
      <c r="E285" s="50" t="str">
        <f>IFERROR(INDEX(Registro!$C$2:$C$500,MATCH(284,Registro!$T$2:$T$500,0)),"")</f>
        <v/>
      </c>
      <c r="F285" s="49" t="str">
        <f>IFERROR(INDEX(Registro!$B$2:$B$500,MATCH(284,Registro!$T$2:$T$500,0)),"")</f>
        <v/>
      </c>
      <c r="G285" s="49" t="str">
        <f>IFERROR(INDEX(Registro!$P$2:$P$500,MATCH(284,Registro!$T$2:$T$500,0)),"")</f>
        <v/>
      </c>
      <c r="H285" s="49" t="str">
        <f>IFERROR(INDEX(Registro!$Q$2:$Q$500,MATCH(284,Registro!$T$2:$T$500,0)),"")</f>
        <v/>
      </c>
    </row>
    <row r="286" spans="1:8" x14ac:dyDescent="0.25">
      <c r="A286" s="49" t="str">
        <f>IFERROR(INDEX(Registro!$E$2:$E$500,MATCH(285,Registro!$T$2:$T$500,0)),"")</f>
        <v/>
      </c>
      <c r="B286" s="49" t="str">
        <f>IFERROR(INDEX(Registro!$F$2:$F$500,MATCH(285,Registro!$T$2:$T$500,0)),"")</f>
        <v/>
      </c>
      <c r="C286" s="49" t="str">
        <f>IFERROR(INDEX(Registro!$G$2:$G$500,MATCH(285,Registro!$T$2:$T$500,0)),"")</f>
        <v/>
      </c>
      <c r="D286" s="49" t="str">
        <f>IFERROR(INDEX(Registro!$H$2:$H$500,MATCH(285,Registro!$T$2:$T$500,0)),"")</f>
        <v/>
      </c>
      <c r="E286" s="50" t="str">
        <f>IFERROR(INDEX(Registro!$C$2:$C$500,MATCH(285,Registro!$T$2:$T$500,0)),"")</f>
        <v/>
      </c>
      <c r="F286" s="49" t="str">
        <f>IFERROR(INDEX(Registro!$B$2:$B$500,MATCH(285,Registro!$T$2:$T$500,0)),"")</f>
        <v/>
      </c>
      <c r="G286" s="49" t="str">
        <f>IFERROR(INDEX(Registro!$P$2:$P$500,MATCH(285,Registro!$T$2:$T$500,0)),"")</f>
        <v/>
      </c>
      <c r="H286" s="49" t="str">
        <f>IFERROR(INDEX(Registro!$Q$2:$Q$500,MATCH(285,Registro!$T$2:$T$500,0)),"")</f>
        <v/>
      </c>
    </row>
    <row r="287" spans="1:8" x14ac:dyDescent="0.25">
      <c r="A287" s="49" t="str">
        <f>IFERROR(INDEX(Registro!$E$2:$E$500,MATCH(286,Registro!$T$2:$T$500,0)),"")</f>
        <v/>
      </c>
      <c r="B287" s="49" t="str">
        <f>IFERROR(INDEX(Registro!$F$2:$F$500,MATCH(286,Registro!$T$2:$T$500,0)),"")</f>
        <v/>
      </c>
      <c r="C287" s="49" t="str">
        <f>IFERROR(INDEX(Registro!$G$2:$G$500,MATCH(286,Registro!$T$2:$T$500,0)),"")</f>
        <v/>
      </c>
      <c r="D287" s="49" t="str">
        <f>IFERROR(INDEX(Registro!$H$2:$H$500,MATCH(286,Registro!$T$2:$T$500,0)),"")</f>
        <v/>
      </c>
      <c r="E287" s="50" t="str">
        <f>IFERROR(INDEX(Registro!$C$2:$C$500,MATCH(286,Registro!$T$2:$T$500,0)),"")</f>
        <v/>
      </c>
      <c r="F287" s="49" t="str">
        <f>IFERROR(INDEX(Registro!$B$2:$B$500,MATCH(286,Registro!$T$2:$T$500,0)),"")</f>
        <v/>
      </c>
      <c r="G287" s="49" t="str">
        <f>IFERROR(INDEX(Registro!$P$2:$P$500,MATCH(286,Registro!$T$2:$T$500,0)),"")</f>
        <v/>
      </c>
      <c r="H287" s="49" t="str">
        <f>IFERROR(INDEX(Registro!$Q$2:$Q$500,MATCH(286,Registro!$T$2:$T$500,0)),"")</f>
        <v/>
      </c>
    </row>
    <row r="288" spans="1:8" x14ac:dyDescent="0.25">
      <c r="A288" s="49" t="str">
        <f>IFERROR(INDEX(Registro!$E$2:$E$500,MATCH(287,Registro!$T$2:$T$500,0)),"")</f>
        <v/>
      </c>
      <c r="B288" s="49" t="str">
        <f>IFERROR(INDEX(Registro!$F$2:$F$500,MATCH(287,Registro!$T$2:$T$500,0)),"")</f>
        <v/>
      </c>
      <c r="C288" s="49" t="str">
        <f>IFERROR(INDEX(Registro!$G$2:$G$500,MATCH(287,Registro!$T$2:$T$500,0)),"")</f>
        <v/>
      </c>
      <c r="D288" s="49" t="str">
        <f>IFERROR(INDEX(Registro!$H$2:$H$500,MATCH(287,Registro!$T$2:$T$500,0)),"")</f>
        <v/>
      </c>
      <c r="E288" s="50" t="str">
        <f>IFERROR(INDEX(Registro!$C$2:$C$500,MATCH(287,Registro!$T$2:$T$500,0)),"")</f>
        <v/>
      </c>
      <c r="F288" s="49" t="str">
        <f>IFERROR(INDEX(Registro!$B$2:$B$500,MATCH(287,Registro!$T$2:$T$500,0)),"")</f>
        <v/>
      </c>
      <c r="G288" s="49" t="str">
        <f>IFERROR(INDEX(Registro!$P$2:$P$500,MATCH(287,Registro!$T$2:$T$500,0)),"")</f>
        <v/>
      </c>
      <c r="H288" s="49" t="str">
        <f>IFERROR(INDEX(Registro!$Q$2:$Q$500,MATCH(287,Registro!$T$2:$T$500,0)),"")</f>
        <v/>
      </c>
    </row>
    <row r="289" spans="1:8" x14ac:dyDescent="0.25">
      <c r="A289" s="49" t="str">
        <f>IFERROR(INDEX(Registro!$E$2:$E$500,MATCH(288,Registro!$T$2:$T$500,0)),"")</f>
        <v/>
      </c>
      <c r="B289" s="49" t="str">
        <f>IFERROR(INDEX(Registro!$F$2:$F$500,MATCH(288,Registro!$T$2:$T$500,0)),"")</f>
        <v/>
      </c>
      <c r="C289" s="49" t="str">
        <f>IFERROR(INDEX(Registro!$G$2:$G$500,MATCH(288,Registro!$T$2:$T$500,0)),"")</f>
        <v/>
      </c>
      <c r="D289" s="49" t="str">
        <f>IFERROR(INDEX(Registro!$H$2:$H$500,MATCH(288,Registro!$T$2:$T$500,0)),"")</f>
        <v/>
      </c>
      <c r="E289" s="50" t="str">
        <f>IFERROR(INDEX(Registro!$C$2:$C$500,MATCH(288,Registro!$T$2:$T$500,0)),"")</f>
        <v/>
      </c>
      <c r="F289" s="49" t="str">
        <f>IFERROR(INDEX(Registro!$B$2:$B$500,MATCH(288,Registro!$T$2:$T$500,0)),"")</f>
        <v/>
      </c>
      <c r="G289" s="49" t="str">
        <f>IFERROR(INDEX(Registro!$P$2:$P$500,MATCH(288,Registro!$T$2:$T$500,0)),"")</f>
        <v/>
      </c>
      <c r="H289" s="49" t="str">
        <f>IFERROR(INDEX(Registro!$Q$2:$Q$500,MATCH(288,Registro!$T$2:$T$500,0)),"")</f>
        <v/>
      </c>
    </row>
    <row r="290" spans="1:8" x14ac:dyDescent="0.25">
      <c r="A290" s="49" t="str">
        <f>IFERROR(INDEX(Registro!$E$2:$E$500,MATCH(289,Registro!$T$2:$T$500,0)),"")</f>
        <v/>
      </c>
      <c r="B290" s="49" t="str">
        <f>IFERROR(INDEX(Registro!$F$2:$F$500,MATCH(289,Registro!$T$2:$T$500,0)),"")</f>
        <v/>
      </c>
      <c r="C290" s="49" t="str">
        <f>IFERROR(INDEX(Registro!$G$2:$G$500,MATCH(289,Registro!$T$2:$T$500,0)),"")</f>
        <v/>
      </c>
      <c r="D290" s="49" t="str">
        <f>IFERROR(INDEX(Registro!$H$2:$H$500,MATCH(289,Registro!$T$2:$T$500,0)),"")</f>
        <v/>
      </c>
      <c r="E290" s="50" t="str">
        <f>IFERROR(INDEX(Registro!$C$2:$C$500,MATCH(289,Registro!$T$2:$T$500,0)),"")</f>
        <v/>
      </c>
      <c r="F290" s="49" t="str">
        <f>IFERROR(INDEX(Registro!$B$2:$B$500,MATCH(289,Registro!$T$2:$T$500,0)),"")</f>
        <v/>
      </c>
      <c r="G290" s="49" t="str">
        <f>IFERROR(INDEX(Registro!$P$2:$P$500,MATCH(289,Registro!$T$2:$T$500,0)),"")</f>
        <v/>
      </c>
      <c r="H290" s="49" t="str">
        <f>IFERROR(INDEX(Registro!$Q$2:$Q$500,MATCH(289,Registro!$T$2:$T$500,0)),"")</f>
        <v/>
      </c>
    </row>
    <row r="291" spans="1:8" x14ac:dyDescent="0.25">
      <c r="A291" s="49" t="str">
        <f>IFERROR(INDEX(Registro!$E$2:$E$500,MATCH(290,Registro!$T$2:$T$500,0)),"")</f>
        <v/>
      </c>
      <c r="B291" s="49" t="str">
        <f>IFERROR(INDEX(Registro!$F$2:$F$500,MATCH(290,Registro!$T$2:$T$500,0)),"")</f>
        <v/>
      </c>
      <c r="C291" s="49" t="str">
        <f>IFERROR(INDEX(Registro!$G$2:$G$500,MATCH(290,Registro!$T$2:$T$500,0)),"")</f>
        <v/>
      </c>
      <c r="D291" s="49" t="str">
        <f>IFERROR(INDEX(Registro!$H$2:$H$500,MATCH(290,Registro!$T$2:$T$500,0)),"")</f>
        <v/>
      </c>
      <c r="E291" s="50" t="str">
        <f>IFERROR(INDEX(Registro!$C$2:$C$500,MATCH(290,Registro!$T$2:$T$500,0)),"")</f>
        <v/>
      </c>
      <c r="F291" s="49" t="str">
        <f>IFERROR(INDEX(Registro!$B$2:$B$500,MATCH(290,Registro!$T$2:$T$500,0)),"")</f>
        <v/>
      </c>
      <c r="G291" s="49" t="str">
        <f>IFERROR(INDEX(Registro!$P$2:$P$500,MATCH(290,Registro!$T$2:$T$500,0)),"")</f>
        <v/>
      </c>
      <c r="H291" s="49" t="str">
        <f>IFERROR(INDEX(Registro!$Q$2:$Q$500,MATCH(290,Registro!$T$2:$T$500,0)),"")</f>
        <v/>
      </c>
    </row>
    <row r="292" spans="1:8" x14ac:dyDescent="0.25">
      <c r="A292" s="49" t="str">
        <f>IFERROR(INDEX(Registro!$E$2:$E$500,MATCH(291,Registro!$T$2:$T$500,0)),"")</f>
        <v/>
      </c>
      <c r="B292" s="49" t="str">
        <f>IFERROR(INDEX(Registro!$F$2:$F$500,MATCH(291,Registro!$T$2:$T$500,0)),"")</f>
        <v/>
      </c>
      <c r="C292" s="49" t="str">
        <f>IFERROR(INDEX(Registro!$G$2:$G$500,MATCH(291,Registro!$T$2:$T$500,0)),"")</f>
        <v/>
      </c>
      <c r="D292" s="49" t="str">
        <f>IFERROR(INDEX(Registro!$H$2:$H$500,MATCH(291,Registro!$T$2:$T$500,0)),"")</f>
        <v/>
      </c>
      <c r="E292" s="50" t="str">
        <f>IFERROR(INDEX(Registro!$C$2:$C$500,MATCH(291,Registro!$T$2:$T$500,0)),"")</f>
        <v/>
      </c>
      <c r="F292" s="49" t="str">
        <f>IFERROR(INDEX(Registro!$B$2:$B$500,MATCH(291,Registro!$T$2:$T$500,0)),"")</f>
        <v/>
      </c>
      <c r="G292" s="49" t="str">
        <f>IFERROR(INDEX(Registro!$P$2:$P$500,MATCH(291,Registro!$T$2:$T$500,0)),"")</f>
        <v/>
      </c>
      <c r="H292" s="49" t="str">
        <f>IFERROR(INDEX(Registro!$Q$2:$Q$500,MATCH(291,Registro!$T$2:$T$500,0)),"")</f>
        <v/>
      </c>
    </row>
    <row r="293" spans="1:8" x14ac:dyDescent="0.25">
      <c r="A293" s="49" t="str">
        <f>IFERROR(INDEX(Registro!$E$2:$E$500,MATCH(292,Registro!$T$2:$T$500,0)),"")</f>
        <v/>
      </c>
      <c r="B293" s="49" t="str">
        <f>IFERROR(INDEX(Registro!$F$2:$F$500,MATCH(292,Registro!$T$2:$T$500,0)),"")</f>
        <v/>
      </c>
      <c r="C293" s="49" t="str">
        <f>IFERROR(INDEX(Registro!$G$2:$G$500,MATCH(292,Registro!$T$2:$T$500,0)),"")</f>
        <v/>
      </c>
      <c r="D293" s="49" t="str">
        <f>IFERROR(INDEX(Registro!$H$2:$H$500,MATCH(292,Registro!$T$2:$T$500,0)),"")</f>
        <v/>
      </c>
      <c r="E293" s="50" t="str">
        <f>IFERROR(INDEX(Registro!$C$2:$C$500,MATCH(292,Registro!$T$2:$T$500,0)),"")</f>
        <v/>
      </c>
      <c r="F293" s="49" t="str">
        <f>IFERROR(INDEX(Registro!$B$2:$B$500,MATCH(292,Registro!$T$2:$T$500,0)),"")</f>
        <v/>
      </c>
      <c r="G293" s="49" t="str">
        <f>IFERROR(INDEX(Registro!$P$2:$P$500,MATCH(292,Registro!$T$2:$T$500,0)),"")</f>
        <v/>
      </c>
      <c r="H293" s="49" t="str">
        <f>IFERROR(INDEX(Registro!$Q$2:$Q$500,MATCH(292,Registro!$T$2:$T$500,0)),"")</f>
        <v/>
      </c>
    </row>
    <row r="294" spans="1:8" x14ac:dyDescent="0.25">
      <c r="A294" s="49" t="str">
        <f>IFERROR(INDEX(Registro!$E$2:$E$500,MATCH(293,Registro!$T$2:$T$500,0)),"")</f>
        <v/>
      </c>
      <c r="B294" s="49" t="str">
        <f>IFERROR(INDEX(Registro!$F$2:$F$500,MATCH(293,Registro!$T$2:$T$500,0)),"")</f>
        <v/>
      </c>
      <c r="C294" s="49" t="str">
        <f>IFERROR(INDEX(Registro!$G$2:$G$500,MATCH(293,Registro!$T$2:$T$500,0)),"")</f>
        <v/>
      </c>
      <c r="D294" s="49" t="str">
        <f>IFERROR(INDEX(Registro!$H$2:$H$500,MATCH(293,Registro!$T$2:$T$500,0)),"")</f>
        <v/>
      </c>
      <c r="E294" s="50" t="str">
        <f>IFERROR(INDEX(Registro!$C$2:$C$500,MATCH(293,Registro!$T$2:$T$500,0)),"")</f>
        <v/>
      </c>
      <c r="F294" s="49" t="str">
        <f>IFERROR(INDEX(Registro!$B$2:$B$500,MATCH(293,Registro!$T$2:$T$500,0)),"")</f>
        <v/>
      </c>
      <c r="G294" s="49" t="str">
        <f>IFERROR(INDEX(Registro!$P$2:$P$500,MATCH(293,Registro!$T$2:$T$500,0)),"")</f>
        <v/>
      </c>
      <c r="H294" s="49" t="str">
        <f>IFERROR(INDEX(Registro!$Q$2:$Q$500,MATCH(293,Registro!$T$2:$T$500,0)),"")</f>
        <v/>
      </c>
    </row>
    <row r="295" spans="1:8" x14ac:dyDescent="0.25">
      <c r="A295" s="49" t="str">
        <f>IFERROR(INDEX(Registro!$E$2:$E$500,MATCH(294,Registro!$T$2:$T$500,0)),"")</f>
        <v/>
      </c>
      <c r="B295" s="49" t="str">
        <f>IFERROR(INDEX(Registro!$F$2:$F$500,MATCH(294,Registro!$T$2:$T$500,0)),"")</f>
        <v/>
      </c>
      <c r="C295" s="49" t="str">
        <f>IFERROR(INDEX(Registro!$G$2:$G$500,MATCH(294,Registro!$T$2:$T$500,0)),"")</f>
        <v/>
      </c>
      <c r="D295" s="49" t="str">
        <f>IFERROR(INDEX(Registro!$H$2:$H$500,MATCH(294,Registro!$T$2:$T$500,0)),"")</f>
        <v/>
      </c>
      <c r="E295" s="50" t="str">
        <f>IFERROR(INDEX(Registro!$C$2:$C$500,MATCH(294,Registro!$T$2:$T$500,0)),"")</f>
        <v/>
      </c>
      <c r="F295" s="49" t="str">
        <f>IFERROR(INDEX(Registro!$B$2:$B$500,MATCH(294,Registro!$T$2:$T$500,0)),"")</f>
        <v/>
      </c>
      <c r="G295" s="49" t="str">
        <f>IFERROR(INDEX(Registro!$P$2:$P$500,MATCH(294,Registro!$T$2:$T$500,0)),"")</f>
        <v/>
      </c>
      <c r="H295" s="49" t="str">
        <f>IFERROR(INDEX(Registro!$Q$2:$Q$500,MATCH(294,Registro!$T$2:$T$500,0)),"")</f>
        <v/>
      </c>
    </row>
    <row r="296" spans="1:8" x14ac:dyDescent="0.25">
      <c r="A296" s="49" t="str">
        <f>IFERROR(INDEX(Registro!$E$2:$E$500,MATCH(295,Registro!$T$2:$T$500,0)),"")</f>
        <v/>
      </c>
      <c r="B296" s="49" t="str">
        <f>IFERROR(INDEX(Registro!$F$2:$F$500,MATCH(295,Registro!$T$2:$T$500,0)),"")</f>
        <v/>
      </c>
      <c r="C296" s="49" t="str">
        <f>IFERROR(INDEX(Registro!$G$2:$G$500,MATCH(295,Registro!$T$2:$T$500,0)),"")</f>
        <v/>
      </c>
      <c r="D296" s="49" t="str">
        <f>IFERROR(INDEX(Registro!$H$2:$H$500,MATCH(295,Registro!$T$2:$T$500,0)),"")</f>
        <v/>
      </c>
      <c r="E296" s="50" t="str">
        <f>IFERROR(INDEX(Registro!$C$2:$C$500,MATCH(295,Registro!$T$2:$T$500,0)),"")</f>
        <v/>
      </c>
      <c r="F296" s="49" t="str">
        <f>IFERROR(INDEX(Registro!$B$2:$B$500,MATCH(295,Registro!$T$2:$T$500,0)),"")</f>
        <v/>
      </c>
      <c r="G296" s="49" t="str">
        <f>IFERROR(INDEX(Registro!$P$2:$P$500,MATCH(295,Registro!$T$2:$T$500,0)),"")</f>
        <v/>
      </c>
      <c r="H296" s="49" t="str">
        <f>IFERROR(INDEX(Registro!$Q$2:$Q$500,MATCH(295,Registro!$T$2:$T$500,0)),"")</f>
        <v/>
      </c>
    </row>
    <row r="297" spans="1:8" x14ac:dyDescent="0.25">
      <c r="A297" s="49" t="str">
        <f>IFERROR(INDEX(Registro!$E$2:$E$500,MATCH(296,Registro!$T$2:$T$500,0)),"")</f>
        <v/>
      </c>
      <c r="B297" s="49" t="str">
        <f>IFERROR(INDEX(Registro!$F$2:$F$500,MATCH(296,Registro!$T$2:$T$500,0)),"")</f>
        <v/>
      </c>
      <c r="C297" s="49" t="str">
        <f>IFERROR(INDEX(Registro!$G$2:$G$500,MATCH(296,Registro!$T$2:$T$500,0)),"")</f>
        <v/>
      </c>
      <c r="D297" s="49" t="str">
        <f>IFERROR(INDEX(Registro!$H$2:$H$500,MATCH(296,Registro!$T$2:$T$500,0)),"")</f>
        <v/>
      </c>
      <c r="E297" s="50" t="str">
        <f>IFERROR(INDEX(Registro!$C$2:$C$500,MATCH(296,Registro!$T$2:$T$500,0)),"")</f>
        <v/>
      </c>
      <c r="F297" s="49" t="str">
        <f>IFERROR(INDEX(Registro!$B$2:$B$500,MATCH(296,Registro!$T$2:$T$500,0)),"")</f>
        <v/>
      </c>
      <c r="G297" s="49" t="str">
        <f>IFERROR(INDEX(Registro!$P$2:$P$500,MATCH(296,Registro!$T$2:$T$500,0)),"")</f>
        <v/>
      </c>
      <c r="H297" s="49" t="str">
        <f>IFERROR(INDEX(Registro!$Q$2:$Q$500,MATCH(296,Registro!$T$2:$T$500,0)),"")</f>
        <v/>
      </c>
    </row>
    <row r="298" spans="1:8" x14ac:dyDescent="0.25">
      <c r="A298" s="49" t="str">
        <f>IFERROR(INDEX(Registro!$E$2:$E$500,MATCH(297,Registro!$T$2:$T$500,0)),"")</f>
        <v/>
      </c>
      <c r="B298" s="49" t="str">
        <f>IFERROR(INDEX(Registro!$F$2:$F$500,MATCH(297,Registro!$T$2:$T$500,0)),"")</f>
        <v/>
      </c>
      <c r="C298" s="49" t="str">
        <f>IFERROR(INDEX(Registro!$G$2:$G$500,MATCH(297,Registro!$T$2:$T$500,0)),"")</f>
        <v/>
      </c>
      <c r="D298" s="49" t="str">
        <f>IFERROR(INDEX(Registro!$H$2:$H$500,MATCH(297,Registro!$T$2:$T$500,0)),"")</f>
        <v/>
      </c>
      <c r="E298" s="50" t="str">
        <f>IFERROR(INDEX(Registro!$C$2:$C$500,MATCH(297,Registro!$T$2:$T$500,0)),"")</f>
        <v/>
      </c>
      <c r="F298" s="49" t="str">
        <f>IFERROR(INDEX(Registro!$B$2:$B$500,MATCH(297,Registro!$T$2:$T$500,0)),"")</f>
        <v/>
      </c>
      <c r="G298" s="49" t="str">
        <f>IFERROR(INDEX(Registro!$P$2:$P$500,MATCH(297,Registro!$T$2:$T$500,0)),"")</f>
        <v/>
      </c>
      <c r="H298" s="49" t="str">
        <f>IFERROR(INDEX(Registro!$Q$2:$Q$500,MATCH(297,Registro!$T$2:$T$500,0)),"")</f>
        <v/>
      </c>
    </row>
    <row r="299" spans="1:8" x14ac:dyDescent="0.25">
      <c r="A299" s="49" t="str">
        <f>IFERROR(INDEX(Registro!$E$2:$E$500,MATCH(298,Registro!$T$2:$T$500,0)),"")</f>
        <v/>
      </c>
      <c r="B299" s="49" t="str">
        <f>IFERROR(INDEX(Registro!$F$2:$F$500,MATCH(298,Registro!$T$2:$T$500,0)),"")</f>
        <v/>
      </c>
      <c r="C299" s="49" t="str">
        <f>IFERROR(INDEX(Registro!$G$2:$G$500,MATCH(298,Registro!$T$2:$T$500,0)),"")</f>
        <v/>
      </c>
      <c r="D299" s="49" t="str">
        <f>IFERROR(INDEX(Registro!$H$2:$H$500,MATCH(298,Registro!$T$2:$T$500,0)),"")</f>
        <v/>
      </c>
      <c r="E299" s="50" t="str">
        <f>IFERROR(INDEX(Registro!$C$2:$C$500,MATCH(298,Registro!$T$2:$T$500,0)),"")</f>
        <v/>
      </c>
      <c r="F299" s="49" t="str">
        <f>IFERROR(INDEX(Registro!$B$2:$B$500,MATCH(298,Registro!$T$2:$T$500,0)),"")</f>
        <v/>
      </c>
      <c r="G299" s="49" t="str">
        <f>IFERROR(INDEX(Registro!$P$2:$P$500,MATCH(298,Registro!$T$2:$T$500,0)),"")</f>
        <v/>
      </c>
      <c r="H299" s="49" t="str">
        <f>IFERROR(INDEX(Registro!$Q$2:$Q$500,MATCH(298,Registro!$T$2:$T$500,0)),"")</f>
        <v/>
      </c>
    </row>
    <row r="300" spans="1:8" x14ac:dyDescent="0.25">
      <c r="A300" s="49" t="str">
        <f>IFERROR(INDEX(Registro!$E$2:$E$500,MATCH(299,Registro!$T$2:$T$500,0)),"")</f>
        <v/>
      </c>
      <c r="B300" s="49" t="str">
        <f>IFERROR(INDEX(Registro!$F$2:$F$500,MATCH(299,Registro!$T$2:$T$500,0)),"")</f>
        <v/>
      </c>
      <c r="C300" s="49" t="str">
        <f>IFERROR(INDEX(Registro!$G$2:$G$500,MATCH(299,Registro!$T$2:$T$500,0)),"")</f>
        <v/>
      </c>
      <c r="D300" s="49" t="str">
        <f>IFERROR(INDEX(Registro!$H$2:$H$500,MATCH(299,Registro!$T$2:$T$500,0)),"")</f>
        <v/>
      </c>
      <c r="E300" s="50" t="str">
        <f>IFERROR(INDEX(Registro!$C$2:$C$500,MATCH(299,Registro!$T$2:$T$500,0)),"")</f>
        <v/>
      </c>
      <c r="F300" s="49" t="str">
        <f>IFERROR(INDEX(Registro!$B$2:$B$500,MATCH(299,Registro!$T$2:$T$500,0)),"")</f>
        <v/>
      </c>
      <c r="G300" s="49" t="str">
        <f>IFERROR(INDEX(Registro!$P$2:$P$500,MATCH(299,Registro!$T$2:$T$500,0)),"")</f>
        <v/>
      </c>
      <c r="H300" s="49" t="str">
        <f>IFERROR(INDEX(Registro!$Q$2:$Q$500,MATCH(299,Registro!$T$2:$T$500,0)),"")</f>
        <v/>
      </c>
    </row>
    <row r="301" spans="1:8" x14ac:dyDescent="0.25">
      <c r="A301" s="49" t="str">
        <f>IFERROR(INDEX(Registro!$E$2:$E$500,MATCH(300,Registro!$T$2:$T$500,0)),"")</f>
        <v/>
      </c>
      <c r="B301" s="49" t="str">
        <f>IFERROR(INDEX(Registro!$F$2:$F$500,MATCH(300,Registro!$T$2:$T$500,0)),"")</f>
        <v/>
      </c>
      <c r="C301" s="49" t="str">
        <f>IFERROR(INDEX(Registro!$G$2:$G$500,MATCH(300,Registro!$T$2:$T$500,0)),"")</f>
        <v/>
      </c>
      <c r="D301" s="49" t="str">
        <f>IFERROR(INDEX(Registro!$H$2:$H$500,MATCH(300,Registro!$T$2:$T$500,0)),"")</f>
        <v/>
      </c>
      <c r="E301" s="50" t="str">
        <f>IFERROR(INDEX(Registro!$C$2:$C$500,MATCH(300,Registro!$T$2:$T$500,0)),"")</f>
        <v/>
      </c>
      <c r="F301" s="49" t="str">
        <f>IFERROR(INDEX(Registro!$B$2:$B$500,MATCH(300,Registro!$T$2:$T$500,0)),"")</f>
        <v/>
      </c>
      <c r="G301" s="49" t="str">
        <f>IFERROR(INDEX(Registro!$P$2:$P$500,MATCH(300,Registro!$T$2:$T$500,0)),"")</f>
        <v/>
      </c>
      <c r="H301" s="49" t="str">
        <f>IFERROR(INDEX(Registro!$Q$2:$Q$500,MATCH(300,Registro!$T$2:$T$500,0)),"")</f>
        <v/>
      </c>
    </row>
    <row r="302" spans="1:8" x14ac:dyDescent="0.25">
      <c r="A302" s="49" t="str">
        <f>IFERROR(INDEX(Registro!$E$2:$E$500,MATCH(301,Registro!$T$2:$T$500,0)),"")</f>
        <v/>
      </c>
      <c r="B302" s="49" t="str">
        <f>IFERROR(INDEX(Registro!$F$2:$F$500,MATCH(301,Registro!$T$2:$T$500,0)),"")</f>
        <v/>
      </c>
      <c r="C302" s="49" t="str">
        <f>IFERROR(INDEX(Registro!$G$2:$G$500,MATCH(301,Registro!$T$2:$T$500,0)),"")</f>
        <v/>
      </c>
      <c r="D302" s="49" t="str">
        <f>IFERROR(INDEX(Registro!$H$2:$H$500,MATCH(301,Registro!$T$2:$T$500,0)),"")</f>
        <v/>
      </c>
      <c r="E302" s="50" t="str">
        <f>IFERROR(INDEX(Registro!$C$2:$C$500,MATCH(301,Registro!$T$2:$T$500,0)),"")</f>
        <v/>
      </c>
      <c r="F302" s="49" t="str">
        <f>IFERROR(INDEX(Registro!$B$2:$B$500,MATCH(301,Registro!$T$2:$T$500,0)),"")</f>
        <v/>
      </c>
      <c r="G302" s="49" t="str">
        <f>IFERROR(INDEX(Registro!$P$2:$P$500,MATCH(301,Registro!$T$2:$T$500,0)),"")</f>
        <v/>
      </c>
      <c r="H302" s="49" t="str">
        <f>IFERROR(INDEX(Registro!$Q$2:$Q$500,MATCH(301,Registro!$T$2:$T$500,0)),"")</f>
        <v/>
      </c>
    </row>
    <row r="303" spans="1:8" x14ac:dyDescent="0.25">
      <c r="A303" s="49" t="str">
        <f>IFERROR(INDEX(Registro!$E$2:$E$500,MATCH(302,Registro!$T$2:$T$500,0)),"")</f>
        <v/>
      </c>
      <c r="B303" s="49" t="str">
        <f>IFERROR(INDEX(Registro!$F$2:$F$500,MATCH(302,Registro!$T$2:$T$500,0)),"")</f>
        <v/>
      </c>
      <c r="C303" s="49" t="str">
        <f>IFERROR(INDEX(Registro!$G$2:$G$500,MATCH(302,Registro!$T$2:$T$500,0)),"")</f>
        <v/>
      </c>
      <c r="D303" s="49" t="str">
        <f>IFERROR(INDEX(Registro!$H$2:$H$500,MATCH(302,Registro!$T$2:$T$500,0)),"")</f>
        <v/>
      </c>
      <c r="E303" s="50" t="str">
        <f>IFERROR(INDEX(Registro!$C$2:$C$500,MATCH(302,Registro!$T$2:$T$500,0)),"")</f>
        <v/>
      </c>
      <c r="F303" s="49" t="str">
        <f>IFERROR(INDEX(Registro!$B$2:$B$500,MATCH(302,Registro!$T$2:$T$500,0)),"")</f>
        <v/>
      </c>
      <c r="G303" s="49" t="str">
        <f>IFERROR(INDEX(Registro!$P$2:$P$500,MATCH(302,Registro!$T$2:$T$500,0)),"")</f>
        <v/>
      </c>
      <c r="H303" s="49" t="str">
        <f>IFERROR(INDEX(Registro!$Q$2:$Q$500,MATCH(302,Registro!$T$2:$T$500,0)),"")</f>
        <v/>
      </c>
    </row>
    <row r="304" spans="1:8" x14ac:dyDescent="0.25">
      <c r="A304" s="49" t="str">
        <f>IFERROR(INDEX(Registro!$E$2:$E$500,MATCH(303,Registro!$T$2:$T$500,0)),"")</f>
        <v/>
      </c>
      <c r="B304" s="49" t="str">
        <f>IFERROR(INDEX(Registro!$F$2:$F$500,MATCH(303,Registro!$T$2:$T$500,0)),"")</f>
        <v/>
      </c>
      <c r="C304" s="49" t="str">
        <f>IFERROR(INDEX(Registro!$G$2:$G$500,MATCH(303,Registro!$T$2:$T$500,0)),"")</f>
        <v/>
      </c>
      <c r="D304" s="49" t="str">
        <f>IFERROR(INDEX(Registro!$H$2:$H$500,MATCH(303,Registro!$T$2:$T$500,0)),"")</f>
        <v/>
      </c>
      <c r="E304" s="50" t="str">
        <f>IFERROR(INDEX(Registro!$C$2:$C$500,MATCH(303,Registro!$T$2:$T$500,0)),"")</f>
        <v/>
      </c>
      <c r="F304" s="49" t="str">
        <f>IFERROR(INDEX(Registro!$B$2:$B$500,MATCH(303,Registro!$T$2:$T$500,0)),"")</f>
        <v/>
      </c>
      <c r="G304" s="49" t="str">
        <f>IFERROR(INDEX(Registro!$P$2:$P$500,MATCH(303,Registro!$T$2:$T$500,0)),"")</f>
        <v/>
      </c>
      <c r="H304" s="49" t="str">
        <f>IFERROR(INDEX(Registro!$Q$2:$Q$500,MATCH(303,Registro!$T$2:$T$500,0)),"")</f>
        <v/>
      </c>
    </row>
    <row r="305" spans="1:8" x14ac:dyDescent="0.25">
      <c r="A305" s="49" t="str">
        <f>IFERROR(INDEX(Registro!$E$2:$E$500,MATCH(304,Registro!$T$2:$T$500,0)),"")</f>
        <v/>
      </c>
      <c r="B305" s="49" t="str">
        <f>IFERROR(INDEX(Registro!$F$2:$F$500,MATCH(304,Registro!$T$2:$T$500,0)),"")</f>
        <v/>
      </c>
      <c r="C305" s="49" t="str">
        <f>IFERROR(INDEX(Registro!$G$2:$G$500,MATCH(304,Registro!$T$2:$T$500,0)),"")</f>
        <v/>
      </c>
      <c r="D305" s="49" t="str">
        <f>IFERROR(INDEX(Registro!$H$2:$H$500,MATCH(304,Registro!$T$2:$T$500,0)),"")</f>
        <v/>
      </c>
      <c r="E305" s="50" t="str">
        <f>IFERROR(INDEX(Registro!$C$2:$C$500,MATCH(304,Registro!$T$2:$T$500,0)),"")</f>
        <v/>
      </c>
      <c r="F305" s="49" t="str">
        <f>IFERROR(INDEX(Registro!$B$2:$B$500,MATCH(304,Registro!$T$2:$T$500,0)),"")</f>
        <v/>
      </c>
      <c r="G305" s="49" t="str">
        <f>IFERROR(INDEX(Registro!$P$2:$P$500,MATCH(304,Registro!$T$2:$T$500,0)),"")</f>
        <v/>
      </c>
      <c r="H305" s="49" t="str">
        <f>IFERROR(INDEX(Registro!$Q$2:$Q$500,MATCH(304,Registro!$T$2:$T$500,0)),"")</f>
        <v/>
      </c>
    </row>
    <row r="306" spans="1:8" x14ac:dyDescent="0.25">
      <c r="A306" s="49" t="str">
        <f>IFERROR(INDEX(Registro!$E$2:$E$500,MATCH(305,Registro!$T$2:$T$500,0)),"")</f>
        <v/>
      </c>
      <c r="B306" s="49" t="str">
        <f>IFERROR(INDEX(Registro!$F$2:$F$500,MATCH(305,Registro!$T$2:$T$500,0)),"")</f>
        <v/>
      </c>
      <c r="C306" s="49" t="str">
        <f>IFERROR(INDEX(Registro!$G$2:$G$500,MATCH(305,Registro!$T$2:$T$500,0)),"")</f>
        <v/>
      </c>
      <c r="D306" s="49" t="str">
        <f>IFERROR(INDEX(Registro!$H$2:$H$500,MATCH(305,Registro!$T$2:$T$500,0)),"")</f>
        <v/>
      </c>
      <c r="E306" s="50" t="str">
        <f>IFERROR(INDEX(Registro!$C$2:$C$500,MATCH(305,Registro!$T$2:$T$500,0)),"")</f>
        <v/>
      </c>
      <c r="F306" s="49" t="str">
        <f>IFERROR(INDEX(Registro!$B$2:$B$500,MATCH(305,Registro!$T$2:$T$500,0)),"")</f>
        <v/>
      </c>
      <c r="G306" s="49" t="str">
        <f>IFERROR(INDEX(Registro!$P$2:$P$500,MATCH(305,Registro!$T$2:$T$500,0)),"")</f>
        <v/>
      </c>
      <c r="H306" s="49" t="str">
        <f>IFERROR(INDEX(Registro!$Q$2:$Q$500,MATCH(305,Registro!$T$2:$T$500,0)),"")</f>
        <v/>
      </c>
    </row>
    <row r="307" spans="1:8" x14ac:dyDescent="0.25">
      <c r="A307" s="49" t="str">
        <f>IFERROR(INDEX(Registro!$E$2:$E$500,MATCH(306,Registro!$T$2:$T$500,0)),"")</f>
        <v/>
      </c>
      <c r="B307" s="49" t="str">
        <f>IFERROR(INDEX(Registro!$F$2:$F$500,MATCH(306,Registro!$T$2:$T$500,0)),"")</f>
        <v/>
      </c>
      <c r="C307" s="49" t="str">
        <f>IFERROR(INDEX(Registro!$G$2:$G$500,MATCH(306,Registro!$T$2:$T$500,0)),"")</f>
        <v/>
      </c>
      <c r="D307" s="49" t="str">
        <f>IFERROR(INDEX(Registro!$H$2:$H$500,MATCH(306,Registro!$T$2:$T$500,0)),"")</f>
        <v/>
      </c>
      <c r="E307" s="50" t="str">
        <f>IFERROR(INDEX(Registro!$C$2:$C$500,MATCH(306,Registro!$T$2:$T$500,0)),"")</f>
        <v/>
      </c>
      <c r="F307" s="49" t="str">
        <f>IFERROR(INDEX(Registro!$B$2:$B$500,MATCH(306,Registro!$T$2:$T$500,0)),"")</f>
        <v/>
      </c>
      <c r="G307" s="49" t="str">
        <f>IFERROR(INDEX(Registro!$P$2:$P$500,MATCH(306,Registro!$T$2:$T$500,0)),"")</f>
        <v/>
      </c>
      <c r="H307" s="49" t="str">
        <f>IFERROR(INDEX(Registro!$Q$2:$Q$500,MATCH(306,Registro!$T$2:$T$500,0)),"")</f>
        <v/>
      </c>
    </row>
    <row r="308" spans="1:8" x14ac:dyDescent="0.25">
      <c r="A308" s="49" t="str">
        <f>IFERROR(INDEX(Registro!$E$2:$E$500,MATCH(307,Registro!$T$2:$T$500,0)),"")</f>
        <v/>
      </c>
      <c r="B308" s="49" t="str">
        <f>IFERROR(INDEX(Registro!$F$2:$F$500,MATCH(307,Registro!$T$2:$T$500,0)),"")</f>
        <v/>
      </c>
      <c r="C308" s="49" t="str">
        <f>IFERROR(INDEX(Registro!$G$2:$G$500,MATCH(307,Registro!$T$2:$T$500,0)),"")</f>
        <v/>
      </c>
      <c r="D308" s="49" t="str">
        <f>IFERROR(INDEX(Registro!$H$2:$H$500,MATCH(307,Registro!$T$2:$T$500,0)),"")</f>
        <v/>
      </c>
      <c r="E308" s="50" t="str">
        <f>IFERROR(INDEX(Registro!$C$2:$C$500,MATCH(307,Registro!$T$2:$T$500,0)),"")</f>
        <v/>
      </c>
      <c r="F308" s="49" t="str">
        <f>IFERROR(INDEX(Registro!$B$2:$B$500,MATCH(307,Registro!$T$2:$T$500,0)),"")</f>
        <v/>
      </c>
      <c r="G308" s="49" t="str">
        <f>IFERROR(INDEX(Registro!$P$2:$P$500,MATCH(307,Registro!$T$2:$T$500,0)),"")</f>
        <v/>
      </c>
      <c r="H308" s="49" t="str">
        <f>IFERROR(INDEX(Registro!$Q$2:$Q$500,MATCH(307,Registro!$T$2:$T$500,0)),"")</f>
        <v/>
      </c>
    </row>
    <row r="309" spans="1:8" x14ac:dyDescent="0.25">
      <c r="A309" s="49" t="str">
        <f>IFERROR(INDEX(Registro!$E$2:$E$500,MATCH(308,Registro!$T$2:$T$500,0)),"")</f>
        <v/>
      </c>
      <c r="B309" s="49" t="str">
        <f>IFERROR(INDEX(Registro!$F$2:$F$500,MATCH(308,Registro!$T$2:$T$500,0)),"")</f>
        <v/>
      </c>
      <c r="C309" s="49" t="str">
        <f>IFERROR(INDEX(Registro!$G$2:$G$500,MATCH(308,Registro!$T$2:$T$500,0)),"")</f>
        <v/>
      </c>
      <c r="D309" s="49" t="str">
        <f>IFERROR(INDEX(Registro!$H$2:$H$500,MATCH(308,Registro!$T$2:$T$500,0)),"")</f>
        <v/>
      </c>
      <c r="E309" s="50" t="str">
        <f>IFERROR(INDEX(Registro!$C$2:$C$500,MATCH(308,Registro!$T$2:$T$500,0)),"")</f>
        <v/>
      </c>
      <c r="F309" s="49" t="str">
        <f>IFERROR(INDEX(Registro!$B$2:$B$500,MATCH(308,Registro!$T$2:$T$500,0)),"")</f>
        <v/>
      </c>
      <c r="G309" s="49" t="str">
        <f>IFERROR(INDEX(Registro!$P$2:$P$500,MATCH(308,Registro!$T$2:$T$500,0)),"")</f>
        <v/>
      </c>
      <c r="H309" s="49" t="str">
        <f>IFERROR(INDEX(Registro!$Q$2:$Q$500,MATCH(308,Registro!$T$2:$T$500,0)),"")</f>
        <v/>
      </c>
    </row>
    <row r="310" spans="1:8" x14ac:dyDescent="0.25">
      <c r="A310" s="49" t="str">
        <f>IFERROR(INDEX(Registro!$E$2:$E$500,MATCH(309,Registro!$T$2:$T$500,0)),"")</f>
        <v/>
      </c>
      <c r="B310" s="49" t="str">
        <f>IFERROR(INDEX(Registro!$F$2:$F$500,MATCH(309,Registro!$T$2:$T$500,0)),"")</f>
        <v/>
      </c>
      <c r="C310" s="49" t="str">
        <f>IFERROR(INDEX(Registro!$G$2:$G$500,MATCH(309,Registro!$T$2:$T$500,0)),"")</f>
        <v/>
      </c>
      <c r="D310" s="49" t="str">
        <f>IFERROR(INDEX(Registro!$H$2:$H$500,MATCH(309,Registro!$T$2:$T$500,0)),"")</f>
        <v/>
      </c>
      <c r="E310" s="50" t="str">
        <f>IFERROR(INDEX(Registro!$C$2:$C$500,MATCH(309,Registro!$T$2:$T$500,0)),"")</f>
        <v/>
      </c>
      <c r="F310" s="49" t="str">
        <f>IFERROR(INDEX(Registro!$B$2:$B$500,MATCH(309,Registro!$T$2:$T$500,0)),"")</f>
        <v/>
      </c>
      <c r="G310" s="49" t="str">
        <f>IFERROR(INDEX(Registro!$P$2:$P$500,MATCH(309,Registro!$T$2:$T$500,0)),"")</f>
        <v/>
      </c>
      <c r="H310" s="49" t="str">
        <f>IFERROR(INDEX(Registro!$Q$2:$Q$500,MATCH(309,Registro!$T$2:$T$500,0)),"")</f>
        <v/>
      </c>
    </row>
    <row r="311" spans="1:8" x14ac:dyDescent="0.25">
      <c r="A311" s="49" t="str">
        <f>IFERROR(INDEX(Registro!$E$2:$E$500,MATCH(310,Registro!$T$2:$T$500,0)),"")</f>
        <v/>
      </c>
      <c r="B311" s="49" t="str">
        <f>IFERROR(INDEX(Registro!$F$2:$F$500,MATCH(310,Registro!$T$2:$T$500,0)),"")</f>
        <v/>
      </c>
      <c r="C311" s="49" t="str">
        <f>IFERROR(INDEX(Registro!$G$2:$G$500,MATCH(310,Registro!$T$2:$T$500,0)),"")</f>
        <v/>
      </c>
      <c r="D311" s="49" t="str">
        <f>IFERROR(INDEX(Registro!$H$2:$H$500,MATCH(310,Registro!$T$2:$T$500,0)),"")</f>
        <v/>
      </c>
      <c r="E311" s="50" t="str">
        <f>IFERROR(INDEX(Registro!$C$2:$C$500,MATCH(310,Registro!$T$2:$T$500,0)),"")</f>
        <v/>
      </c>
      <c r="F311" s="49" t="str">
        <f>IFERROR(INDEX(Registro!$B$2:$B$500,MATCH(310,Registro!$T$2:$T$500,0)),"")</f>
        <v/>
      </c>
      <c r="G311" s="49" t="str">
        <f>IFERROR(INDEX(Registro!$P$2:$P$500,MATCH(310,Registro!$T$2:$T$500,0)),"")</f>
        <v/>
      </c>
      <c r="H311" s="49" t="str">
        <f>IFERROR(INDEX(Registro!$Q$2:$Q$500,MATCH(310,Registro!$T$2:$T$500,0)),"")</f>
        <v/>
      </c>
    </row>
    <row r="312" spans="1:8" x14ac:dyDescent="0.25">
      <c r="A312" s="49" t="str">
        <f>IFERROR(INDEX(Registro!$E$2:$E$500,MATCH(311,Registro!$T$2:$T$500,0)),"")</f>
        <v/>
      </c>
      <c r="B312" s="49" t="str">
        <f>IFERROR(INDEX(Registro!$F$2:$F$500,MATCH(311,Registro!$T$2:$T$500,0)),"")</f>
        <v/>
      </c>
      <c r="C312" s="49" t="str">
        <f>IFERROR(INDEX(Registro!$G$2:$G$500,MATCH(311,Registro!$T$2:$T$500,0)),"")</f>
        <v/>
      </c>
      <c r="D312" s="49" t="str">
        <f>IFERROR(INDEX(Registro!$H$2:$H$500,MATCH(311,Registro!$T$2:$T$500,0)),"")</f>
        <v/>
      </c>
      <c r="E312" s="50" t="str">
        <f>IFERROR(INDEX(Registro!$C$2:$C$500,MATCH(311,Registro!$T$2:$T$500,0)),"")</f>
        <v/>
      </c>
      <c r="F312" s="49" t="str">
        <f>IFERROR(INDEX(Registro!$B$2:$B$500,MATCH(311,Registro!$T$2:$T$500,0)),"")</f>
        <v/>
      </c>
      <c r="G312" s="49" t="str">
        <f>IFERROR(INDEX(Registro!$P$2:$P$500,MATCH(311,Registro!$T$2:$T$500,0)),"")</f>
        <v/>
      </c>
      <c r="H312" s="49" t="str">
        <f>IFERROR(INDEX(Registro!$Q$2:$Q$500,MATCH(311,Registro!$T$2:$T$500,0)),"")</f>
        <v/>
      </c>
    </row>
    <row r="313" spans="1:8" x14ac:dyDescent="0.25">
      <c r="A313" s="49" t="str">
        <f>IFERROR(INDEX(Registro!$E$2:$E$500,MATCH(312,Registro!$T$2:$T$500,0)),"")</f>
        <v/>
      </c>
      <c r="B313" s="49" t="str">
        <f>IFERROR(INDEX(Registro!$F$2:$F$500,MATCH(312,Registro!$T$2:$T$500,0)),"")</f>
        <v/>
      </c>
      <c r="C313" s="49" t="str">
        <f>IFERROR(INDEX(Registro!$G$2:$G$500,MATCH(312,Registro!$T$2:$T$500,0)),"")</f>
        <v/>
      </c>
      <c r="D313" s="49" t="str">
        <f>IFERROR(INDEX(Registro!$H$2:$H$500,MATCH(312,Registro!$T$2:$T$500,0)),"")</f>
        <v/>
      </c>
      <c r="E313" s="50" t="str">
        <f>IFERROR(INDEX(Registro!$C$2:$C$500,MATCH(312,Registro!$T$2:$T$500,0)),"")</f>
        <v/>
      </c>
      <c r="F313" s="49" t="str">
        <f>IFERROR(INDEX(Registro!$B$2:$B$500,MATCH(312,Registro!$T$2:$T$500,0)),"")</f>
        <v/>
      </c>
      <c r="G313" s="49" t="str">
        <f>IFERROR(INDEX(Registro!$P$2:$P$500,MATCH(312,Registro!$T$2:$T$500,0)),"")</f>
        <v/>
      </c>
      <c r="H313" s="49" t="str">
        <f>IFERROR(INDEX(Registro!$Q$2:$Q$500,MATCH(312,Registro!$T$2:$T$500,0)),"")</f>
        <v/>
      </c>
    </row>
    <row r="314" spans="1:8" x14ac:dyDescent="0.25">
      <c r="A314" s="49" t="str">
        <f>IFERROR(INDEX(Registro!$E$2:$E$500,MATCH(313,Registro!$T$2:$T$500,0)),"")</f>
        <v/>
      </c>
      <c r="B314" s="49" t="str">
        <f>IFERROR(INDEX(Registro!$F$2:$F$500,MATCH(313,Registro!$T$2:$T$500,0)),"")</f>
        <v/>
      </c>
      <c r="C314" s="49" t="str">
        <f>IFERROR(INDEX(Registro!$G$2:$G$500,MATCH(313,Registro!$T$2:$T$500,0)),"")</f>
        <v/>
      </c>
      <c r="D314" s="49" t="str">
        <f>IFERROR(INDEX(Registro!$H$2:$H$500,MATCH(313,Registro!$T$2:$T$500,0)),"")</f>
        <v/>
      </c>
      <c r="E314" s="50" t="str">
        <f>IFERROR(INDEX(Registro!$C$2:$C$500,MATCH(313,Registro!$T$2:$T$500,0)),"")</f>
        <v/>
      </c>
      <c r="F314" s="49" t="str">
        <f>IFERROR(INDEX(Registro!$B$2:$B$500,MATCH(313,Registro!$T$2:$T$500,0)),"")</f>
        <v/>
      </c>
      <c r="G314" s="49" t="str">
        <f>IFERROR(INDEX(Registro!$P$2:$P$500,MATCH(313,Registro!$T$2:$T$500,0)),"")</f>
        <v/>
      </c>
      <c r="H314" s="49" t="str">
        <f>IFERROR(INDEX(Registro!$Q$2:$Q$500,MATCH(313,Registro!$T$2:$T$500,0)),"")</f>
        <v/>
      </c>
    </row>
    <row r="315" spans="1:8" x14ac:dyDescent="0.25">
      <c r="A315" s="49" t="str">
        <f>IFERROR(INDEX(Registro!$E$2:$E$500,MATCH(314,Registro!$T$2:$T$500,0)),"")</f>
        <v/>
      </c>
      <c r="B315" s="49" t="str">
        <f>IFERROR(INDEX(Registro!$F$2:$F$500,MATCH(314,Registro!$T$2:$T$500,0)),"")</f>
        <v/>
      </c>
      <c r="C315" s="49" t="str">
        <f>IFERROR(INDEX(Registro!$G$2:$G$500,MATCH(314,Registro!$T$2:$T$500,0)),"")</f>
        <v/>
      </c>
      <c r="D315" s="49" t="str">
        <f>IFERROR(INDEX(Registro!$H$2:$H$500,MATCH(314,Registro!$T$2:$T$500,0)),"")</f>
        <v/>
      </c>
      <c r="E315" s="50" t="str">
        <f>IFERROR(INDEX(Registro!$C$2:$C$500,MATCH(314,Registro!$T$2:$T$500,0)),"")</f>
        <v/>
      </c>
      <c r="F315" s="49" t="str">
        <f>IFERROR(INDEX(Registro!$B$2:$B$500,MATCH(314,Registro!$T$2:$T$500,0)),"")</f>
        <v/>
      </c>
      <c r="G315" s="49" t="str">
        <f>IFERROR(INDEX(Registro!$P$2:$P$500,MATCH(314,Registro!$T$2:$T$500,0)),"")</f>
        <v/>
      </c>
      <c r="H315" s="49" t="str">
        <f>IFERROR(INDEX(Registro!$Q$2:$Q$500,MATCH(314,Registro!$T$2:$T$500,0)),"")</f>
        <v/>
      </c>
    </row>
    <row r="316" spans="1:8" x14ac:dyDescent="0.25">
      <c r="A316" s="49" t="str">
        <f>IFERROR(INDEX(Registro!$E$2:$E$500,MATCH(315,Registro!$T$2:$T$500,0)),"")</f>
        <v/>
      </c>
      <c r="B316" s="49" t="str">
        <f>IFERROR(INDEX(Registro!$F$2:$F$500,MATCH(315,Registro!$T$2:$T$500,0)),"")</f>
        <v/>
      </c>
      <c r="C316" s="49" t="str">
        <f>IFERROR(INDEX(Registro!$G$2:$G$500,MATCH(315,Registro!$T$2:$T$500,0)),"")</f>
        <v/>
      </c>
      <c r="D316" s="49" t="str">
        <f>IFERROR(INDEX(Registro!$H$2:$H$500,MATCH(315,Registro!$T$2:$T$500,0)),"")</f>
        <v/>
      </c>
      <c r="E316" s="50" t="str">
        <f>IFERROR(INDEX(Registro!$C$2:$C$500,MATCH(315,Registro!$T$2:$T$500,0)),"")</f>
        <v/>
      </c>
      <c r="F316" s="49" t="str">
        <f>IFERROR(INDEX(Registro!$B$2:$B$500,MATCH(315,Registro!$T$2:$T$500,0)),"")</f>
        <v/>
      </c>
      <c r="G316" s="49" t="str">
        <f>IFERROR(INDEX(Registro!$P$2:$P$500,MATCH(315,Registro!$T$2:$T$500,0)),"")</f>
        <v/>
      </c>
      <c r="H316" s="49" t="str">
        <f>IFERROR(INDEX(Registro!$Q$2:$Q$500,MATCH(315,Registro!$T$2:$T$500,0)),"")</f>
        <v/>
      </c>
    </row>
    <row r="317" spans="1:8" x14ac:dyDescent="0.25">
      <c r="A317" s="49" t="str">
        <f>IFERROR(INDEX(Registro!$E$2:$E$500,MATCH(316,Registro!$T$2:$T$500,0)),"")</f>
        <v/>
      </c>
      <c r="B317" s="49" t="str">
        <f>IFERROR(INDEX(Registro!$F$2:$F$500,MATCH(316,Registro!$T$2:$T$500,0)),"")</f>
        <v/>
      </c>
      <c r="C317" s="49" t="str">
        <f>IFERROR(INDEX(Registro!$G$2:$G$500,MATCH(316,Registro!$T$2:$T$500,0)),"")</f>
        <v/>
      </c>
      <c r="D317" s="49" t="str">
        <f>IFERROR(INDEX(Registro!$H$2:$H$500,MATCH(316,Registro!$T$2:$T$500,0)),"")</f>
        <v/>
      </c>
      <c r="E317" s="50" t="str">
        <f>IFERROR(INDEX(Registro!$C$2:$C$500,MATCH(316,Registro!$T$2:$T$500,0)),"")</f>
        <v/>
      </c>
      <c r="F317" s="49" t="str">
        <f>IFERROR(INDEX(Registro!$B$2:$B$500,MATCH(316,Registro!$T$2:$T$500,0)),"")</f>
        <v/>
      </c>
      <c r="G317" s="49" t="str">
        <f>IFERROR(INDEX(Registro!$P$2:$P$500,MATCH(316,Registro!$T$2:$T$500,0)),"")</f>
        <v/>
      </c>
      <c r="H317" s="49" t="str">
        <f>IFERROR(INDEX(Registro!$Q$2:$Q$500,MATCH(316,Registro!$T$2:$T$500,0)),"")</f>
        <v/>
      </c>
    </row>
    <row r="318" spans="1:8" x14ac:dyDescent="0.25">
      <c r="A318" s="49" t="str">
        <f>IFERROR(INDEX(Registro!$E$2:$E$500,MATCH(317,Registro!$T$2:$T$500,0)),"")</f>
        <v/>
      </c>
      <c r="B318" s="49" t="str">
        <f>IFERROR(INDEX(Registro!$F$2:$F$500,MATCH(317,Registro!$T$2:$T$500,0)),"")</f>
        <v/>
      </c>
      <c r="C318" s="49" t="str">
        <f>IFERROR(INDEX(Registro!$G$2:$G$500,MATCH(317,Registro!$T$2:$T$500,0)),"")</f>
        <v/>
      </c>
      <c r="D318" s="49" t="str">
        <f>IFERROR(INDEX(Registro!$H$2:$H$500,MATCH(317,Registro!$T$2:$T$500,0)),"")</f>
        <v/>
      </c>
      <c r="E318" s="50" t="str">
        <f>IFERROR(INDEX(Registro!$C$2:$C$500,MATCH(317,Registro!$T$2:$T$500,0)),"")</f>
        <v/>
      </c>
      <c r="F318" s="49" t="str">
        <f>IFERROR(INDEX(Registro!$B$2:$B$500,MATCH(317,Registro!$T$2:$T$500,0)),"")</f>
        <v/>
      </c>
      <c r="G318" s="49" t="str">
        <f>IFERROR(INDEX(Registro!$P$2:$P$500,MATCH(317,Registro!$T$2:$T$500,0)),"")</f>
        <v/>
      </c>
      <c r="H318" s="49" t="str">
        <f>IFERROR(INDEX(Registro!$Q$2:$Q$500,MATCH(317,Registro!$T$2:$T$500,0)),"")</f>
        <v/>
      </c>
    </row>
    <row r="319" spans="1:8" x14ac:dyDescent="0.25">
      <c r="A319" s="49" t="str">
        <f>IFERROR(INDEX(Registro!$E$2:$E$500,MATCH(318,Registro!$T$2:$T$500,0)),"")</f>
        <v/>
      </c>
      <c r="B319" s="49" t="str">
        <f>IFERROR(INDEX(Registro!$F$2:$F$500,MATCH(318,Registro!$T$2:$T$500,0)),"")</f>
        <v/>
      </c>
      <c r="C319" s="49" t="str">
        <f>IFERROR(INDEX(Registro!$G$2:$G$500,MATCH(318,Registro!$T$2:$T$500,0)),"")</f>
        <v/>
      </c>
      <c r="D319" s="49" t="str">
        <f>IFERROR(INDEX(Registro!$H$2:$H$500,MATCH(318,Registro!$T$2:$T$500,0)),"")</f>
        <v/>
      </c>
      <c r="E319" s="50" t="str">
        <f>IFERROR(INDEX(Registro!$C$2:$C$500,MATCH(318,Registro!$T$2:$T$500,0)),"")</f>
        <v/>
      </c>
      <c r="F319" s="49" t="str">
        <f>IFERROR(INDEX(Registro!$B$2:$B$500,MATCH(318,Registro!$T$2:$T$500,0)),"")</f>
        <v/>
      </c>
      <c r="G319" s="49" t="str">
        <f>IFERROR(INDEX(Registro!$P$2:$P$500,MATCH(318,Registro!$T$2:$T$500,0)),"")</f>
        <v/>
      </c>
      <c r="H319" s="49" t="str">
        <f>IFERROR(INDEX(Registro!$Q$2:$Q$500,MATCH(318,Registro!$T$2:$T$500,0)),"")</f>
        <v/>
      </c>
    </row>
    <row r="320" spans="1:8" x14ac:dyDescent="0.25">
      <c r="A320" s="49" t="str">
        <f>IFERROR(INDEX(Registro!$E$2:$E$500,MATCH(319,Registro!$T$2:$T$500,0)),"")</f>
        <v/>
      </c>
      <c r="B320" s="49" t="str">
        <f>IFERROR(INDEX(Registro!$F$2:$F$500,MATCH(319,Registro!$T$2:$T$500,0)),"")</f>
        <v/>
      </c>
      <c r="C320" s="49" t="str">
        <f>IFERROR(INDEX(Registro!$G$2:$G$500,MATCH(319,Registro!$T$2:$T$500,0)),"")</f>
        <v/>
      </c>
      <c r="D320" s="49" t="str">
        <f>IFERROR(INDEX(Registro!$H$2:$H$500,MATCH(319,Registro!$T$2:$T$500,0)),"")</f>
        <v/>
      </c>
      <c r="E320" s="50" t="str">
        <f>IFERROR(INDEX(Registro!$C$2:$C$500,MATCH(319,Registro!$T$2:$T$500,0)),"")</f>
        <v/>
      </c>
      <c r="F320" s="49" t="str">
        <f>IFERROR(INDEX(Registro!$B$2:$B$500,MATCH(319,Registro!$T$2:$T$500,0)),"")</f>
        <v/>
      </c>
      <c r="G320" s="49" t="str">
        <f>IFERROR(INDEX(Registro!$P$2:$P$500,MATCH(319,Registro!$T$2:$T$500,0)),"")</f>
        <v/>
      </c>
      <c r="H320" s="49" t="str">
        <f>IFERROR(INDEX(Registro!$Q$2:$Q$500,MATCH(319,Registro!$T$2:$T$500,0)),"")</f>
        <v/>
      </c>
    </row>
    <row r="321" spans="1:8" x14ac:dyDescent="0.25">
      <c r="A321" s="49" t="str">
        <f>IFERROR(INDEX(Registro!$E$2:$E$500,MATCH(320,Registro!$T$2:$T$500,0)),"")</f>
        <v/>
      </c>
      <c r="B321" s="49" t="str">
        <f>IFERROR(INDEX(Registro!$F$2:$F$500,MATCH(320,Registro!$T$2:$T$500,0)),"")</f>
        <v/>
      </c>
      <c r="C321" s="49" t="str">
        <f>IFERROR(INDEX(Registro!$G$2:$G$500,MATCH(320,Registro!$T$2:$T$500,0)),"")</f>
        <v/>
      </c>
      <c r="D321" s="49" t="str">
        <f>IFERROR(INDEX(Registro!$H$2:$H$500,MATCH(320,Registro!$T$2:$T$500,0)),"")</f>
        <v/>
      </c>
      <c r="E321" s="50" t="str">
        <f>IFERROR(INDEX(Registro!$C$2:$C$500,MATCH(320,Registro!$T$2:$T$500,0)),"")</f>
        <v/>
      </c>
      <c r="F321" s="49" t="str">
        <f>IFERROR(INDEX(Registro!$B$2:$B$500,MATCH(320,Registro!$T$2:$T$500,0)),"")</f>
        <v/>
      </c>
      <c r="G321" s="49" t="str">
        <f>IFERROR(INDEX(Registro!$P$2:$P$500,MATCH(320,Registro!$T$2:$T$500,0)),"")</f>
        <v/>
      </c>
      <c r="H321" s="49" t="str">
        <f>IFERROR(INDEX(Registro!$Q$2:$Q$500,MATCH(320,Registro!$T$2:$T$500,0)),"")</f>
        <v/>
      </c>
    </row>
    <row r="322" spans="1:8" x14ac:dyDescent="0.25">
      <c r="A322" s="49" t="str">
        <f>IFERROR(INDEX(Registro!$E$2:$E$500,MATCH(321,Registro!$T$2:$T$500,0)),"")</f>
        <v/>
      </c>
      <c r="B322" s="49" t="str">
        <f>IFERROR(INDEX(Registro!$F$2:$F$500,MATCH(321,Registro!$T$2:$T$500,0)),"")</f>
        <v/>
      </c>
      <c r="C322" s="49" t="str">
        <f>IFERROR(INDEX(Registro!$G$2:$G$500,MATCH(321,Registro!$T$2:$T$500,0)),"")</f>
        <v/>
      </c>
      <c r="D322" s="49" t="str">
        <f>IFERROR(INDEX(Registro!$H$2:$H$500,MATCH(321,Registro!$T$2:$T$500,0)),"")</f>
        <v/>
      </c>
      <c r="E322" s="50" t="str">
        <f>IFERROR(INDEX(Registro!$C$2:$C$500,MATCH(321,Registro!$T$2:$T$500,0)),"")</f>
        <v/>
      </c>
      <c r="F322" s="49" t="str">
        <f>IFERROR(INDEX(Registro!$B$2:$B$500,MATCH(321,Registro!$T$2:$T$500,0)),"")</f>
        <v/>
      </c>
      <c r="G322" s="49" t="str">
        <f>IFERROR(INDEX(Registro!$P$2:$P$500,MATCH(321,Registro!$T$2:$T$500,0)),"")</f>
        <v/>
      </c>
      <c r="H322" s="49" t="str">
        <f>IFERROR(INDEX(Registro!$Q$2:$Q$500,MATCH(321,Registro!$T$2:$T$500,0)),"")</f>
        <v/>
      </c>
    </row>
    <row r="323" spans="1:8" x14ac:dyDescent="0.25">
      <c r="A323" s="49" t="str">
        <f>IFERROR(INDEX(Registro!$E$2:$E$500,MATCH(322,Registro!$T$2:$T$500,0)),"")</f>
        <v/>
      </c>
      <c r="B323" s="49" t="str">
        <f>IFERROR(INDEX(Registro!$F$2:$F$500,MATCH(322,Registro!$T$2:$T$500,0)),"")</f>
        <v/>
      </c>
      <c r="C323" s="49" t="str">
        <f>IFERROR(INDEX(Registro!$G$2:$G$500,MATCH(322,Registro!$T$2:$T$500,0)),"")</f>
        <v/>
      </c>
      <c r="D323" s="49" t="str">
        <f>IFERROR(INDEX(Registro!$H$2:$H$500,MATCH(322,Registro!$T$2:$T$500,0)),"")</f>
        <v/>
      </c>
      <c r="E323" s="50" t="str">
        <f>IFERROR(INDEX(Registro!$C$2:$C$500,MATCH(322,Registro!$T$2:$T$500,0)),"")</f>
        <v/>
      </c>
      <c r="F323" s="49" t="str">
        <f>IFERROR(INDEX(Registro!$B$2:$B$500,MATCH(322,Registro!$T$2:$T$500,0)),"")</f>
        <v/>
      </c>
      <c r="G323" s="49" t="str">
        <f>IFERROR(INDEX(Registro!$P$2:$P$500,MATCH(322,Registro!$T$2:$T$500,0)),"")</f>
        <v/>
      </c>
      <c r="H323" s="49" t="str">
        <f>IFERROR(INDEX(Registro!$Q$2:$Q$500,MATCH(322,Registro!$T$2:$T$500,0)),"")</f>
        <v/>
      </c>
    </row>
    <row r="324" spans="1:8" x14ac:dyDescent="0.25">
      <c r="A324" s="49" t="str">
        <f>IFERROR(INDEX(Registro!$E$2:$E$500,MATCH(323,Registro!$T$2:$T$500,0)),"")</f>
        <v/>
      </c>
      <c r="B324" s="49" t="str">
        <f>IFERROR(INDEX(Registro!$F$2:$F$500,MATCH(323,Registro!$T$2:$T$500,0)),"")</f>
        <v/>
      </c>
      <c r="C324" s="49" t="str">
        <f>IFERROR(INDEX(Registro!$G$2:$G$500,MATCH(323,Registro!$T$2:$T$500,0)),"")</f>
        <v/>
      </c>
      <c r="D324" s="49" t="str">
        <f>IFERROR(INDEX(Registro!$H$2:$H$500,MATCH(323,Registro!$T$2:$T$500,0)),"")</f>
        <v/>
      </c>
      <c r="E324" s="50" t="str">
        <f>IFERROR(INDEX(Registro!$C$2:$C$500,MATCH(323,Registro!$T$2:$T$500,0)),"")</f>
        <v/>
      </c>
      <c r="F324" s="49" t="str">
        <f>IFERROR(INDEX(Registro!$B$2:$B$500,MATCH(323,Registro!$T$2:$T$500,0)),"")</f>
        <v/>
      </c>
      <c r="G324" s="49" t="str">
        <f>IFERROR(INDEX(Registro!$P$2:$P$500,MATCH(323,Registro!$T$2:$T$500,0)),"")</f>
        <v/>
      </c>
      <c r="H324" s="49" t="str">
        <f>IFERROR(INDEX(Registro!$Q$2:$Q$500,MATCH(323,Registro!$T$2:$T$500,0)),"")</f>
        <v/>
      </c>
    </row>
    <row r="325" spans="1:8" x14ac:dyDescent="0.25">
      <c r="A325" s="49" t="str">
        <f>IFERROR(INDEX(Registro!$E$2:$E$500,MATCH(324,Registro!$T$2:$T$500,0)),"")</f>
        <v/>
      </c>
      <c r="B325" s="49" t="str">
        <f>IFERROR(INDEX(Registro!$F$2:$F$500,MATCH(324,Registro!$T$2:$T$500,0)),"")</f>
        <v/>
      </c>
      <c r="C325" s="49" t="str">
        <f>IFERROR(INDEX(Registro!$G$2:$G$500,MATCH(324,Registro!$T$2:$T$500,0)),"")</f>
        <v/>
      </c>
      <c r="D325" s="49" t="str">
        <f>IFERROR(INDEX(Registro!$H$2:$H$500,MATCH(324,Registro!$T$2:$T$500,0)),"")</f>
        <v/>
      </c>
      <c r="E325" s="50" t="str">
        <f>IFERROR(INDEX(Registro!$C$2:$C$500,MATCH(324,Registro!$T$2:$T$500,0)),"")</f>
        <v/>
      </c>
      <c r="F325" s="49" t="str">
        <f>IFERROR(INDEX(Registro!$B$2:$B$500,MATCH(324,Registro!$T$2:$T$500,0)),"")</f>
        <v/>
      </c>
      <c r="G325" s="49" t="str">
        <f>IFERROR(INDEX(Registro!$P$2:$P$500,MATCH(324,Registro!$T$2:$T$500,0)),"")</f>
        <v/>
      </c>
      <c r="H325" s="49" t="str">
        <f>IFERROR(INDEX(Registro!$Q$2:$Q$500,MATCH(324,Registro!$T$2:$T$500,0)),"")</f>
        <v/>
      </c>
    </row>
    <row r="326" spans="1:8" x14ac:dyDescent="0.25">
      <c r="A326" s="49" t="str">
        <f>IFERROR(INDEX(Registro!$E$2:$E$500,MATCH(325,Registro!$T$2:$T$500,0)),"")</f>
        <v/>
      </c>
      <c r="B326" s="49" t="str">
        <f>IFERROR(INDEX(Registro!$F$2:$F$500,MATCH(325,Registro!$T$2:$T$500,0)),"")</f>
        <v/>
      </c>
      <c r="C326" s="49" t="str">
        <f>IFERROR(INDEX(Registro!$G$2:$G$500,MATCH(325,Registro!$T$2:$T$500,0)),"")</f>
        <v/>
      </c>
      <c r="D326" s="49" t="str">
        <f>IFERROR(INDEX(Registro!$H$2:$H$500,MATCH(325,Registro!$T$2:$T$500,0)),"")</f>
        <v/>
      </c>
      <c r="E326" s="50" t="str">
        <f>IFERROR(INDEX(Registro!$C$2:$C$500,MATCH(325,Registro!$T$2:$T$500,0)),"")</f>
        <v/>
      </c>
      <c r="F326" s="49" t="str">
        <f>IFERROR(INDEX(Registro!$B$2:$B$500,MATCH(325,Registro!$T$2:$T$500,0)),"")</f>
        <v/>
      </c>
      <c r="G326" s="49" t="str">
        <f>IFERROR(INDEX(Registro!$P$2:$P$500,MATCH(325,Registro!$T$2:$T$500,0)),"")</f>
        <v/>
      </c>
      <c r="H326" s="49" t="str">
        <f>IFERROR(INDEX(Registro!$Q$2:$Q$500,MATCH(325,Registro!$T$2:$T$500,0)),"")</f>
        <v/>
      </c>
    </row>
    <row r="327" spans="1:8" x14ac:dyDescent="0.25">
      <c r="A327" s="49" t="str">
        <f>IFERROR(INDEX(Registro!$E$2:$E$500,MATCH(326,Registro!$T$2:$T$500,0)),"")</f>
        <v/>
      </c>
      <c r="B327" s="49" t="str">
        <f>IFERROR(INDEX(Registro!$F$2:$F$500,MATCH(326,Registro!$T$2:$T$500,0)),"")</f>
        <v/>
      </c>
      <c r="C327" s="49" t="str">
        <f>IFERROR(INDEX(Registro!$G$2:$G$500,MATCH(326,Registro!$T$2:$T$500,0)),"")</f>
        <v/>
      </c>
      <c r="D327" s="49" t="str">
        <f>IFERROR(INDEX(Registro!$H$2:$H$500,MATCH(326,Registro!$T$2:$T$500,0)),"")</f>
        <v/>
      </c>
      <c r="E327" s="50" t="str">
        <f>IFERROR(INDEX(Registro!$C$2:$C$500,MATCH(326,Registro!$T$2:$T$500,0)),"")</f>
        <v/>
      </c>
      <c r="F327" s="49" t="str">
        <f>IFERROR(INDEX(Registro!$B$2:$B$500,MATCH(326,Registro!$T$2:$T$500,0)),"")</f>
        <v/>
      </c>
      <c r="G327" s="49" t="str">
        <f>IFERROR(INDEX(Registro!$P$2:$P$500,MATCH(326,Registro!$T$2:$T$500,0)),"")</f>
        <v/>
      </c>
      <c r="H327" s="49" t="str">
        <f>IFERROR(INDEX(Registro!$Q$2:$Q$500,MATCH(326,Registro!$T$2:$T$500,0)),"")</f>
        <v/>
      </c>
    </row>
    <row r="328" spans="1:8" x14ac:dyDescent="0.25">
      <c r="A328" s="49" t="str">
        <f>IFERROR(INDEX(Registro!$E$2:$E$500,MATCH(327,Registro!$T$2:$T$500,0)),"")</f>
        <v/>
      </c>
      <c r="B328" s="49" t="str">
        <f>IFERROR(INDEX(Registro!$F$2:$F$500,MATCH(327,Registro!$T$2:$T$500,0)),"")</f>
        <v/>
      </c>
      <c r="C328" s="49" t="str">
        <f>IFERROR(INDEX(Registro!$G$2:$G$500,MATCH(327,Registro!$T$2:$T$500,0)),"")</f>
        <v/>
      </c>
      <c r="D328" s="49" t="str">
        <f>IFERROR(INDEX(Registro!$H$2:$H$500,MATCH(327,Registro!$T$2:$T$500,0)),"")</f>
        <v/>
      </c>
      <c r="E328" s="50" t="str">
        <f>IFERROR(INDEX(Registro!$C$2:$C$500,MATCH(327,Registro!$T$2:$T$500,0)),"")</f>
        <v/>
      </c>
      <c r="F328" s="49" t="str">
        <f>IFERROR(INDEX(Registro!$B$2:$B$500,MATCH(327,Registro!$T$2:$T$500,0)),"")</f>
        <v/>
      </c>
      <c r="G328" s="49" t="str">
        <f>IFERROR(INDEX(Registro!$P$2:$P$500,MATCH(327,Registro!$T$2:$T$500,0)),"")</f>
        <v/>
      </c>
      <c r="H328" s="49" t="str">
        <f>IFERROR(INDEX(Registro!$Q$2:$Q$500,MATCH(327,Registro!$T$2:$T$500,0)),"")</f>
        <v/>
      </c>
    </row>
    <row r="329" spans="1:8" x14ac:dyDescent="0.25">
      <c r="A329" s="49" t="str">
        <f>IFERROR(INDEX(Registro!$E$2:$E$500,MATCH(328,Registro!$T$2:$T$500,0)),"")</f>
        <v/>
      </c>
      <c r="B329" s="49" t="str">
        <f>IFERROR(INDEX(Registro!$F$2:$F$500,MATCH(328,Registro!$T$2:$T$500,0)),"")</f>
        <v/>
      </c>
      <c r="C329" s="49" t="str">
        <f>IFERROR(INDEX(Registro!$G$2:$G$500,MATCH(328,Registro!$T$2:$T$500,0)),"")</f>
        <v/>
      </c>
      <c r="D329" s="49" t="str">
        <f>IFERROR(INDEX(Registro!$H$2:$H$500,MATCH(328,Registro!$T$2:$T$500,0)),"")</f>
        <v/>
      </c>
      <c r="E329" s="50" t="str">
        <f>IFERROR(INDEX(Registro!$C$2:$C$500,MATCH(328,Registro!$T$2:$T$500,0)),"")</f>
        <v/>
      </c>
      <c r="F329" s="49" t="str">
        <f>IFERROR(INDEX(Registro!$B$2:$B$500,MATCH(328,Registro!$T$2:$T$500,0)),"")</f>
        <v/>
      </c>
      <c r="G329" s="49" t="str">
        <f>IFERROR(INDEX(Registro!$P$2:$P$500,MATCH(328,Registro!$T$2:$T$500,0)),"")</f>
        <v/>
      </c>
      <c r="H329" s="49" t="str">
        <f>IFERROR(INDEX(Registro!$Q$2:$Q$500,MATCH(328,Registro!$T$2:$T$500,0)),"")</f>
        <v/>
      </c>
    </row>
    <row r="330" spans="1:8" x14ac:dyDescent="0.25">
      <c r="A330" s="49" t="str">
        <f>IFERROR(INDEX(Registro!$E$2:$E$500,MATCH(329,Registro!$T$2:$T$500,0)),"")</f>
        <v/>
      </c>
      <c r="B330" s="49" t="str">
        <f>IFERROR(INDEX(Registro!$F$2:$F$500,MATCH(329,Registro!$T$2:$T$500,0)),"")</f>
        <v/>
      </c>
      <c r="C330" s="49" t="str">
        <f>IFERROR(INDEX(Registro!$G$2:$G$500,MATCH(329,Registro!$T$2:$T$500,0)),"")</f>
        <v/>
      </c>
      <c r="D330" s="49" t="str">
        <f>IFERROR(INDEX(Registro!$H$2:$H$500,MATCH(329,Registro!$T$2:$T$500,0)),"")</f>
        <v/>
      </c>
      <c r="E330" s="50" t="str">
        <f>IFERROR(INDEX(Registro!$C$2:$C$500,MATCH(329,Registro!$T$2:$T$500,0)),"")</f>
        <v/>
      </c>
      <c r="F330" s="49" t="str">
        <f>IFERROR(INDEX(Registro!$B$2:$B$500,MATCH(329,Registro!$T$2:$T$500,0)),"")</f>
        <v/>
      </c>
      <c r="G330" s="49" t="str">
        <f>IFERROR(INDEX(Registro!$P$2:$P$500,MATCH(329,Registro!$T$2:$T$500,0)),"")</f>
        <v/>
      </c>
      <c r="H330" s="49" t="str">
        <f>IFERROR(INDEX(Registro!$Q$2:$Q$500,MATCH(329,Registro!$T$2:$T$500,0)),"")</f>
        <v/>
      </c>
    </row>
    <row r="331" spans="1:8" x14ac:dyDescent="0.25">
      <c r="A331" s="49" t="str">
        <f>IFERROR(INDEX(Registro!$E$2:$E$500,MATCH(330,Registro!$T$2:$T$500,0)),"")</f>
        <v/>
      </c>
      <c r="B331" s="49" t="str">
        <f>IFERROR(INDEX(Registro!$F$2:$F$500,MATCH(330,Registro!$T$2:$T$500,0)),"")</f>
        <v/>
      </c>
      <c r="C331" s="49" t="str">
        <f>IFERROR(INDEX(Registro!$G$2:$G$500,MATCH(330,Registro!$T$2:$T$500,0)),"")</f>
        <v/>
      </c>
      <c r="D331" s="49" t="str">
        <f>IFERROR(INDEX(Registro!$H$2:$H$500,MATCH(330,Registro!$T$2:$T$500,0)),"")</f>
        <v/>
      </c>
      <c r="E331" s="50" t="str">
        <f>IFERROR(INDEX(Registro!$C$2:$C$500,MATCH(330,Registro!$T$2:$T$500,0)),"")</f>
        <v/>
      </c>
      <c r="F331" s="49" t="str">
        <f>IFERROR(INDEX(Registro!$B$2:$B$500,MATCH(330,Registro!$T$2:$T$500,0)),"")</f>
        <v/>
      </c>
      <c r="G331" s="49" t="str">
        <f>IFERROR(INDEX(Registro!$P$2:$P$500,MATCH(330,Registro!$T$2:$T$500,0)),"")</f>
        <v/>
      </c>
      <c r="H331" s="49" t="str">
        <f>IFERROR(INDEX(Registro!$Q$2:$Q$500,MATCH(330,Registro!$T$2:$T$500,0)),"")</f>
        <v/>
      </c>
    </row>
    <row r="332" spans="1:8" x14ac:dyDescent="0.25">
      <c r="A332" s="49" t="str">
        <f>IFERROR(INDEX(Registro!$E$2:$E$500,MATCH(331,Registro!$T$2:$T$500,0)),"")</f>
        <v/>
      </c>
      <c r="B332" s="49" t="str">
        <f>IFERROR(INDEX(Registro!$F$2:$F$500,MATCH(331,Registro!$T$2:$T$500,0)),"")</f>
        <v/>
      </c>
      <c r="C332" s="49" t="str">
        <f>IFERROR(INDEX(Registro!$G$2:$G$500,MATCH(331,Registro!$T$2:$T$500,0)),"")</f>
        <v/>
      </c>
      <c r="D332" s="49" t="str">
        <f>IFERROR(INDEX(Registro!$H$2:$H$500,MATCH(331,Registro!$T$2:$T$500,0)),"")</f>
        <v/>
      </c>
      <c r="E332" s="50" t="str">
        <f>IFERROR(INDEX(Registro!$C$2:$C$500,MATCH(331,Registro!$T$2:$T$500,0)),"")</f>
        <v/>
      </c>
      <c r="F332" s="49" t="str">
        <f>IFERROR(INDEX(Registro!$B$2:$B$500,MATCH(331,Registro!$T$2:$T$500,0)),"")</f>
        <v/>
      </c>
      <c r="G332" s="49" t="str">
        <f>IFERROR(INDEX(Registro!$P$2:$P$500,MATCH(331,Registro!$T$2:$T$500,0)),"")</f>
        <v/>
      </c>
      <c r="H332" s="49" t="str">
        <f>IFERROR(INDEX(Registro!$Q$2:$Q$500,MATCH(331,Registro!$T$2:$T$500,0)),"")</f>
        <v/>
      </c>
    </row>
    <row r="333" spans="1:8" x14ac:dyDescent="0.25">
      <c r="A333" s="49" t="str">
        <f>IFERROR(INDEX(Registro!$E$2:$E$500,MATCH(332,Registro!$T$2:$T$500,0)),"")</f>
        <v/>
      </c>
      <c r="B333" s="49" t="str">
        <f>IFERROR(INDEX(Registro!$F$2:$F$500,MATCH(332,Registro!$T$2:$T$500,0)),"")</f>
        <v/>
      </c>
      <c r="C333" s="49" t="str">
        <f>IFERROR(INDEX(Registro!$G$2:$G$500,MATCH(332,Registro!$T$2:$T$500,0)),"")</f>
        <v/>
      </c>
      <c r="D333" s="49" t="str">
        <f>IFERROR(INDEX(Registro!$H$2:$H$500,MATCH(332,Registro!$T$2:$T$500,0)),"")</f>
        <v/>
      </c>
      <c r="E333" s="50" t="str">
        <f>IFERROR(INDEX(Registro!$C$2:$C$500,MATCH(332,Registro!$T$2:$T$500,0)),"")</f>
        <v/>
      </c>
      <c r="F333" s="49" t="str">
        <f>IFERROR(INDEX(Registro!$B$2:$B$500,MATCH(332,Registro!$T$2:$T$500,0)),"")</f>
        <v/>
      </c>
      <c r="G333" s="49" t="str">
        <f>IFERROR(INDEX(Registro!$P$2:$P$500,MATCH(332,Registro!$T$2:$T$500,0)),"")</f>
        <v/>
      </c>
      <c r="H333" s="49" t="str">
        <f>IFERROR(INDEX(Registro!$Q$2:$Q$500,MATCH(332,Registro!$T$2:$T$500,0)),"")</f>
        <v/>
      </c>
    </row>
    <row r="334" spans="1:8" x14ac:dyDescent="0.25">
      <c r="A334" s="49" t="str">
        <f>IFERROR(INDEX(Registro!$E$2:$E$500,MATCH(333,Registro!$T$2:$T$500,0)),"")</f>
        <v/>
      </c>
      <c r="B334" s="49" t="str">
        <f>IFERROR(INDEX(Registro!$F$2:$F$500,MATCH(333,Registro!$T$2:$T$500,0)),"")</f>
        <v/>
      </c>
      <c r="C334" s="49" t="str">
        <f>IFERROR(INDEX(Registro!$G$2:$G$500,MATCH(333,Registro!$T$2:$T$500,0)),"")</f>
        <v/>
      </c>
      <c r="D334" s="49" t="str">
        <f>IFERROR(INDEX(Registro!$H$2:$H$500,MATCH(333,Registro!$T$2:$T$500,0)),"")</f>
        <v/>
      </c>
      <c r="E334" s="50" t="str">
        <f>IFERROR(INDEX(Registro!$C$2:$C$500,MATCH(333,Registro!$T$2:$T$500,0)),"")</f>
        <v/>
      </c>
      <c r="F334" s="49" t="str">
        <f>IFERROR(INDEX(Registro!$B$2:$B$500,MATCH(333,Registro!$T$2:$T$500,0)),"")</f>
        <v/>
      </c>
      <c r="G334" s="49" t="str">
        <f>IFERROR(INDEX(Registro!$P$2:$P$500,MATCH(333,Registro!$T$2:$T$500,0)),"")</f>
        <v/>
      </c>
      <c r="H334" s="49" t="str">
        <f>IFERROR(INDEX(Registro!$Q$2:$Q$500,MATCH(333,Registro!$T$2:$T$500,0)),"")</f>
        <v/>
      </c>
    </row>
    <row r="335" spans="1:8" x14ac:dyDescent="0.25">
      <c r="A335" s="49" t="str">
        <f>IFERROR(INDEX(Registro!$E$2:$E$500,MATCH(334,Registro!$T$2:$T$500,0)),"")</f>
        <v/>
      </c>
      <c r="B335" s="49" t="str">
        <f>IFERROR(INDEX(Registro!$F$2:$F$500,MATCH(334,Registro!$T$2:$T$500,0)),"")</f>
        <v/>
      </c>
      <c r="C335" s="49" t="str">
        <f>IFERROR(INDEX(Registro!$G$2:$G$500,MATCH(334,Registro!$T$2:$T$500,0)),"")</f>
        <v/>
      </c>
      <c r="D335" s="49" t="str">
        <f>IFERROR(INDEX(Registro!$H$2:$H$500,MATCH(334,Registro!$T$2:$T$500,0)),"")</f>
        <v/>
      </c>
      <c r="E335" s="50" t="str">
        <f>IFERROR(INDEX(Registro!$C$2:$C$500,MATCH(334,Registro!$T$2:$T$500,0)),"")</f>
        <v/>
      </c>
      <c r="F335" s="49" t="str">
        <f>IFERROR(INDEX(Registro!$B$2:$B$500,MATCH(334,Registro!$T$2:$T$500,0)),"")</f>
        <v/>
      </c>
      <c r="G335" s="49" t="str">
        <f>IFERROR(INDEX(Registro!$P$2:$P$500,MATCH(334,Registro!$T$2:$T$500,0)),"")</f>
        <v/>
      </c>
      <c r="H335" s="49" t="str">
        <f>IFERROR(INDEX(Registro!$Q$2:$Q$500,MATCH(334,Registro!$T$2:$T$500,0)),"")</f>
        <v/>
      </c>
    </row>
    <row r="336" spans="1:8" x14ac:dyDescent="0.25">
      <c r="A336" s="49" t="str">
        <f>IFERROR(INDEX(Registro!$E$2:$E$500,MATCH(335,Registro!$T$2:$T$500,0)),"")</f>
        <v/>
      </c>
      <c r="B336" s="49" t="str">
        <f>IFERROR(INDEX(Registro!$F$2:$F$500,MATCH(335,Registro!$T$2:$T$500,0)),"")</f>
        <v/>
      </c>
      <c r="C336" s="49" t="str">
        <f>IFERROR(INDEX(Registro!$G$2:$G$500,MATCH(335,Registro!$T$2:$T$500,0)),"")</f>
        <v/>
      </c>
      <c r="D336" s="49" t="str">
        <f>IFERROR(INDEX(Registro!$H$2:$H$500,MATCH(335,Registro!$T$2:$T$500,0)),"")</f>
        <v/>
      </c>
      <c r="E336" s="50" t="str">
        <f>IFERROR(INDEX(Registro!$C$2:$C$500,MATCH(335,Registro!$T$2:$T$500,0)),"")</f>
        <v/>
      </c>
      <c r="F336" s="49" t="str">
        <f>IFERROR(INDEX(Registro!$B$2:$B$500,MATCH(335,Registro!$T$2:$T$500,0)),"")</f>
        <v/>
      </c>
      <c r="G336" s="49" t="str">
        <f>IFERROR(INDEX(Registro!$P$2:$P$500,MATCH(335,Registro!$T$2:$T$500,0)),"")</f>
        <v/>
      </c>
      <c r="H336" s="49" t="str">
        <f>IFERROR(INDEX(Registro!$Q$2:$Q$500,MATCH(335,Registro!$T$2:$T$500,0)),"")</f>
        <v/>
      </c>
    </row>
    <row r="337" spans="1:8" x14ac:dyDescent="0.25">
      <c r="A337" s="49" t="str">
        <f>IFERROR(INDEX(Registro!$E$2:$E$500,MATCH(336,Registro!$T$2:$T$500,0)),"")</f>
        <v/>
      </c>
      <c r="B337" s="49" t="str">
        <f>IFERROR(INDEX(Registro!$F$2:$F$500,MATCH(336,Registro!$T$2:$T$500,0)),"")</f>
        <v/>
      </c>
      <c r="C337" s="49" t="str">
        <f>IFERROR(INDEX(Registro!$G$2:$G$500,MATCH(336,Registro!$T$2:$T$500,0)),"")</f>
        <v/>
      </c>
      <c r="D337" s="49" t="str">
        <f>IFERROR(INDEX(Registro!$H$2:$H$500,MATCH(336,Registro!$T$2:$T$500,0)),"")</f>
        <v/>
      </c>
      <c r="E337" s="50" t="str">
        <f>IFERROR(INDEX(Registro!$C$2:$C$500,MATCH(336,Registro!$T$2:$T$500,0)),"")</f>
        <v/>
      </c>
      <c r="F337" s="49" t="str">
        <f>IFERROR(INDEX(Registro!$B$2:$B$500,MATCH(336,Registro!$T$2:$T$500,0)),"")</f>
        <v/>
      </c>
      <c r="G337" s="49" t="str">
        <f>IFERROR(INDEX(Registro!$P$2:$P$500,MATCH(336,Registro!$T$2:$T$500,0)),"")</f>
        <v/>
      </c>
      <c r="H337" s="49" t="str">
        <f>IFERROR(INDEX(Registro!$Q$2:$Q$500,MATCH(336,Registro!$T$2:$T$500,0)),"")</f>
        <v/>
      </c>
    </row>
    <row r="338" spans="1:8" x14ac:dyDescent="0.25">
      <c r="A338" s="49" t="str">
        <f>IFERROR(INDEX(Registro!$E$2:$E$500,MATCH(337,Registro!$T$2:$T$500,0)),"")</f>
        <v/>
      </c>
      <c r="B338" s="49" t="str">
        <f>IFERROR(INDEX(Registro!$F$2:$F$500,MATCH(337,Registro!$T$2:$T$500,0)),"")</f>
        <v/>
      </c>
      <c r="C338" s="49" t="str">
        <f>IFERROR(INDEX(Registro!$G$2:$G$500,MATCH(337,Registro!$T$2:$T$500,0)),"")</f>
        <v/>
      </c>
      <c r="D338" s="49" t="str">
        <f>IFERROR(INDEX(Registro!$H$2:$H$500,MATCH(337,Registro!$T$2:$T$500,0)),"")</f>
        <v/>
      </c>
      <c r="E338" s="50" t="str">
        <f>IFERROR(INDEX(Registro!$C$2:$C$500,MATCH(337,Registro!$T$2:$T$500,0)),"")</f>
        <v/>
      </c>
      <c r="F338" s="49" t="str">
        <f>IFERROR(INDEX(Registro!$B$2:$B$500,MATCH(337,Registro!$T$2:$T$500,0)),"")</f>
        <v/>
      </c>
      <c r="G338" s="49" t="str">
        <f>IFERROR(INDEX(Registro!$P$2:$P$500,MATCH(337,Registro!$T$2:$T$500,0)),"")</f>
        <v/>
      </c>
      <c r="H338" s="49" t="str">
        <f>IFERROR(INDEX(Registro!$Q$2:$Q$500,MATCH(337,Registro!$T$2:$T$500,0)),"")</f>
        <v/>
      </c>
    </row>
    <row r="339" spans="1:8" x14ac:dyDescent="0.25">
      <c r="A339" s="49" t="str">
        <f>IFERROR(INDEX(Registro!$E$2:$E$500,MATCH(338,Registro!$T$2:$T$500,0)),"")</f>
        <v/>
      </c>
      <c r="B339" s="49" t="str">
        <f>IFERROR(INDEX(Registro!$F$2:$F$500,MATCH(338,Registro!$T$2:$T$500,0)),"")</f>
        <v/>
      </c>
      <c r="C339" s="49" t="str">
        <f>IFERROR(INDEX(Registro!$G$2:$G$500,MATCH(338,Registro!$T$2:$T$500,0)),"")</f>
        <v/>
      </c>
      <c r="D339" s="49" t="str">
        <f>IFERROR(INDEX(Registro!$H$2:$H$500,MATCH(338,Registro!$T$2:$T$500,0)),"")</f>
        <v/>
      </c>
      <c r="E339" s="50" t="str">
        <f>IFERROR(INDEX(Registro!$C$2:$C$500,MATCH(338,Registro!$T$2:$T$500,0)),"")</f>
        <v/>
      </c>
      <c r="F339" s="49" t="str">
        <f>IFERROR(INDEX(Registro!$B$2:$B$500,MATCH(338,Registro!$T$2:$T$500,0)),"")</f>
        <v/>
      </c>
      <c r="G339" s="49" t="str">
        <f>IFERROR(INDEX(Registro!$P$2:$P$500,MATCH(338,Registro!$T$2:$T$500,0)),"")</f>
        <v/>
      </c>
      <c r="H339" s="49" t="str">
        <f>IFERROR(INDEX(Registro!$Q$2:$Q$500,MATCH(338,Registro!$T$2:$T$500,0)),"")</f>
        <v/>
      </c>
    </row>
    <row r="340" spans="1:8" x14ac:dyDescent="0.25">
      <c r="A340" s="49" t="str">
        <f>IFERROR(INDEX(Registro!$E$2:$E$500,MATCH(339,Registro!$T$2:$T$500,0)),"")</f>
        <v/>
      </c>
      <c r="B340" s="49" t="str">
        <f>IFERROR(INDEX(Registro!$F$2:$F$500,MATCH(339,Registro!$T$2:$T$500,0)),"")</f>
        <v/>
      </c>
      <c r="C340" s="49" t="str">
        <f>IFERROR(INDEX(Registro!$G$2:$G$500,MATCH(339,Registro!$T$2:$T$500,0)),"")</f>
        <v/>
      </c>
      <c r="D340" s="49" t="str">
        <f>IFERROR(INDEX(Registro!$H$2:$H$500,MATCH(339,Registro!$T$2:$T$500,0)),"")</f>
        <v/>
      </c>
      <c r="E340" s="50" t="str">
        <f>IFERROR(INDEX(Registro!$C$2:$C$500,MATCH(339,Registro!$T$2:$T$500,0)),"")</f>
        <v/>
      </c>
      <c r="F340" s="49" t="str">
        <f>IFERROR(INDEX(Registro!$B$2:$B$500,MATCH(339,Registro!$T$2:$T$500,0)),"")</f>
        <v/>
      </c>
      <c r="G340" s="49" t="str">
        <f>IFERROR(INDEX(Registro!$P$2:$P$500,MATCH(339,Registro!$T$2:$T$500,0)),"")</f>
        <v/>
      </c>
      <c r="H340" s="49" t="str">
        <f>IFERROR(INDEX(Registro!$Q$2:$Q$500,MATCH(339,Registro!$T$2:$T$500,0)),"")</f>
        <v/>
      </c>
    </row>
    <row r="341" spans="1:8" x14ac:dyDescent="0.25">
      <c r="A341" s="49" t="str">
        <f>IFERROR(INDEX(Registro!$E$2:$E$500,MATCH(340,Registro!$T$2:$T$500,0)),"")</f>
        <v/>
      </c>
      <c r="B341" s="49" t="str">
        <f>IFERROR(INDEX(Registro!$F$2:$F$500,MATCH(340,Registro!$T$2:$T$500,0)),"")</f>
        <v/>
      </c>
      <c r="C341" s="49" t="str">
        <f>IFERROR(INDEX(Registro!$G$2:$G$500,MATCH(340,Registro!$T$2:$T$500,0)),"")</f>
        <v/>
      </c>
      <c r="D341" s="49" t="str">
        <f>IFERROR(INDEX(Registro!$H$2:$H$500,MATCH(340,Registro!$T$2:$T$500,0)),"")</f>
        <v/>
      </c>
      <c r="E341" s="50" t="str">
        <f>IFERROR(INDEX(Registro!$C$2:$C$500,MATCH(340,Registro!$T$2:$T$500,0)),"")</f>
        <v/>
      </c>
      <c r="F341" s="49" t="str">
        <f>IFERROR(INDEX(Registro!$B$2:$B$500,MATCH(340,Registro!$T$2:$T$500,0)),"")</f>
        <v/>
      </c>
      <c r="G341" s="49" t="str">
        <f>IFERROR(INDEX(Registro!$P$2:$P$500,MATCH(340,Registro!$T$2:$T$500,0)),"")</f>
        <v/>
      </c>
      <c r="H341" s="49" t="str">
        <f>IFERROR(INDEX(Registro!$Q$2:$Q$500,MATCH(340,Registro!$T$2:$T$500,0)),"")</f>
        <v/>
      </c>
    </row>
    <row r="342" spans="1:8" x14ac:dyDescent="0.25">
      <c r="A342" s="49" t="str">
        <f>IFERROR(INDEX(Registro!$E$2:$E$500,MATCH(341,Registro!$T$2:$T$500,0)),"")</f>
        <v/>
      </c>
      <c r="B342" s="49" t="str">
        <f>IFERROR(INDEX(Registro!$F$2:$F$500,MATCH(341,Registro!$T$2:$T$500,0)),"")</f>
        <v/>
      </c>
      <c r="C342" s="49" t="str">
        <f>IFERROR(INDEX(Registro!$G$2:$G$500,MATCH(341,Registro!$T$2:$T$500,0)),"")</f>
        <v/>
      </c>
      <c r="D342" s="49" t="str">
        <f>IFERROR(INDEX(Registro!$H$2:$H$500,MATCH(341,Registro!$T$2:$T$500,0)),"")</f>
        <v/>
      </c>
      <c r="E342" s="50" t="str">
        <f>IFERROR(INDEX(Registro!$C$2:$C$500,MATCH(341,Registro!$T$2:$T$500,0)),"")</f>
        <v/>
      </c>
      <c r="F342" s="49" t="str">
        <f>IFERROR(INDEX(Registro!$B$2:$B$500,MATCH(341,Registro!$T$2:$T$500,0)),"")</f>
        <v/>
      </c>
      <c r="G342" s="49" t="str">
        <f>IFERROR(INDEX(Registro!$P$2:$P$500,MATCH(341,Registro!$T$2:$T$500,0)),"")</f>
        <v/>
      </c>
      <c r="H342" s="49" t="str">
        <f>IFERROR(INDEX(Registro!$Q$2:$Q$500,MATCH(341,Registro!$T$2:$T$500,0)),"")</f>
        <v/>
      </c>
    </row>
    <row r="343" spans="1:8" x14ac:dyDescent="0.25">
      <c r="A343" s="49" t="str">
        <f>IFERROR(INDEX(Registro!$E$2:$E$500,MATCH(342,Registro!$T$2:$T$500,0)),"")</f>
        <v/>
      </c>
      <c r="B343" s="49" t="str">
        <f>IFERROR(INDEX(Registro!$F$2:$F$500,MATCH(342,Registro!$T$2:$T$500,0)),"")</f>
        <v/>
      </c>
      <c r="C343" s="49" t="str">
        <f>IFERROR(INDEX(Registro!$G$2:$G$500,MATCH(342,Registro!$T$2:$T$500,0)),"")</f>
        <v/>
      </c>
      <c r="D343" s="49" t="str">
        <f>IFERROR(INDEX(Registro!$H$2:$H$500,MATCH(342,Registro!$T$2:$T$500,0)),"")</f>
        <v/>
      </c>
      <c r="E343" s="50" t="str">
        <f>IFERROR(INDEX(Registro!$C$2:$C$500,MATCH(342,Registro!$T$2:$T$500,0)),"")</f>
        <v/>
      </c>
      <c r="F343" s="49" t="str">
        <f>IFERROR(INDEX(Registro!$B$2:$B$500,MATCH(342,Registro!$T$2:$T$500,0)),"")</f>
        <v/>
      </c>
      <c r="G343" s="49" t="str">
        <f>IFERROR(INDEX(Registro!$P$2:$P$500,MATCH(342,Registro!$T$2:$T$500,0)),"")</f>
        <v/>
      </c>
      <c r="H343" s="49" t="str">
        <f>IFERROR(INDEX(Registro!$Q$2:$Q$500,MATCH(342,Registro!$T$2:$T$500,0)),"")</f>
        <v/>
      </c>
    </row>
    <row r="344" spans="1:8" x14ac:dyDescent="0.25">
      <c r="A344" s="49" t="str">
        <f>IFERROR(INDEX(Registro!$E$2:$E$500,MATCH(343,Registro!$T$2:$T$500,0)),"")</f>
        <v/>
      </c>
      <c r="B344" s="49" t="str">
        <f>IFERROR(INDEX(Registro!$F$2:$F$500,MATCH(343,Registro!$T$2:$T$500,0)),"")</f>
        <v/>
      </c>
      <c r="C344" s="49" t="str">
        <f>IFERROR(INDEX(Registro!$G$2:$G$500,MATCH(343,Registro!$T$2:$T$500,0)),"")</f>
        <v/>
      </c>
      <c r="D344" s="49" t="str">
        <f>IFERROR(INDEX(Registro!$H$2:$H$500,MATCH(343,Registro!$T$2:$T$500,0)),"")</f>
        <v/>
      </c>
      <c r="E344" s="50" t="str">
        <f>IFERROR(INDEX(Registro!$C$2:$C$500,MATCH(343,Registro!$T$2:$T$500,0)),"")</f>
        <v/>
      </c>
      <c r="F344" s="49" t="str">
        <f>IFERROR(INDEX(Registro!$B$2:$B$500,MATCH(343,Registro!$T$2:$T$500,0)),"")</f>
        <v/>
      </c>
      <c r="G344" s="49" t="str">
        <f>IFERROR(INDEX(Registro!$P$2:$P$500,MATCH(343,Registro!$T$2:$T$500,0)),"")</f>
        <v/>
      </c>
      <c r="H344" s="49" t="str">
        <f>IFERROR(INDEX(Registro!$Q$2:$Q$500,MATCH(343,Registro!$T$2:$T$500,0)),"")</f>
        <v/>
      </c>
    </row>
    <row r="345" spans="1:8" x14ac:dyDescent="0.25">
      <c r="A345" s="49" t="str">
        <f>IFERROR(INDEX(Registro!$E$2:$E$500,MATCH(344,Registro!$T$2:$T$500,0)),"")</f>
        <v/>
      </c>
      <c r="B345" s="49" t="str">
        <f>IFERROR(INDEX(Registro!$F$2:$F$500,MATCH(344,Registro!$T$2:$T$500,0)),"")</f>
        <v/>
      </c>
      <c r="C345" s="49" t="str">
        <f>IFERROR(INDEX(Registro!$G$2:$G$500,MATCH(344,Registro!$T$2:$T$500,0)),"")</f>
        <v/>
      </c>
      <c r="D345" s="49" t="str">
        <f>IFERROR(INDEX(Registro!$H$2:$H$500,MATCH(344,Registro!$T$2:$T$500,0)),"")</f>
        <v/>
      </c>
      <c r="E345" s="50" t="str">
        <f>IFERROR(INDEX(Registro!$C$2:$C$500,MATCH(344,Registro!$T$2:$T$500,0)),"")</f>
        <v/>
      </c>
      <c r="F345" s="49" t="str">
        <f>IFERROR(INDEX(Registro!$B$2:$B$500,MATCH(344,Registro!$T$2:$T$500,0)),"")</f>
        <v/>
      </c>
      <c r="G345" s="49" t="str">
        <f>IFERROR(INDEX(Registro!$P$2:$P$500,MATCH(344,Registro!$T$2:$T$500,0)),"")</f>
        <v/>
      </c>
      <c r="H345" s="49" t="str">
        <f>IFERROR(INDEX(Registro!$Q$2:$Q$500,MATCH(344,Registro!$T$2:$T$500,0)),"")</f>
        <v/>
      </c>
    </row>
    <row r="346" spans="1:8" x14ac:dyDescent="0.25">
      <c r="A346" s="49" t="str">
        <f>IFERROR(INDEX(Registro!$E$2:$E$500,MATCH(345,Registro!$T$2:$T$500,0)),"")</f>
        <v/>
      </c>
      <c r="B346" s="49" t="str">
        <f>IFERROR(INDEX(Registro!$F$2:$F$500,MATCH(345,Registro!$T$2:$T$500,0)),"")</f>
        <v/>
      </c>
      <c r="C346" s="49" t="str">
        <f>IFERROR(INDEX(Registro!$G$2:$G$500,MATCH(345,Registro!$T$2:$T$500,0)),"")</f>
        <v/>
      </c>
      <c r="D346" s="49" t="str">
        <f>IFERROR(INDEX(Registro!$H$2:$H$500,MATCH(345,Registro!$T$2:$T$500,0)),"")</f>
        <v/>
      </c>
      <c r="E346" s="50" t="str">
        <f>IFERROR(INDEX(Registro!$C$2:$C$500,MATCH(345,Registro!$T$2:$T$500,0)),"")</f>
        <v/>
      </c>
      <c r="F346" s="49" t="str">
        <f>IFERROR(INDEX(Registro!$B$2:$B$500,MATCH(345,Registro!$T$2:$T$500,0)),"")</f>
        <v/>
      </c>
      <c r="G346" s="49" t="str">
        <f>IFERROR(INDEX(Registro!$P$2:$P$500,MATCH(345,Registro!$T$2:$T$500,0)),"")</f>
        <v/>
      </c>
      <c r="H346" s="49" t="str">
        <f>IFERROR(INDEX(Registro!$Q$2:$Q$500,MATCH(345,Registro!$T$2:$T$500,0)),"")</f>
        <v/>
      </c>
    </row>
    <row r="347" spans="1:8" x14ac:dyDescent="0.25">
      <c r="A347" s="49" t="str">
        <f>IFERROR(INDEX(Registro!$E$2:$E$500,MATCH(346,Registro!$T$2:$T$500,0)),"")</f>
        <v/>
      </c>
      <c r="B347" s="49" t="str">
        <f>IFERROR(INDEX(Registro!$F$2:$F$500,MATCH(346,Registro!$T$2:$T$500,0)),"")</f>
        <v/>
      </c>
      <c r="C347" s="49" t="str">
        <f>IFERROR(INDEX(Registro!$G$2:$G$500,MATCH(346,Registro!$T$2:$T$500,0)),"")</f>
        <v/>
      </c>
      <c r="D347" s="49" t="str">
        <f>IFERROR(INDEX(Registro!$H$2:$H$500,MATCH(346,Registro!$T$2:$T$500,0)),"")</f>
        <v/>
      </c>
      <c r="E347" s="50" t="str">
        <f>IFERROR(INDEX(Registro!$C$2:$C$500,MATCH(346,Registro!$T$2:$T$500,0)),"")</f>
        <v/>
      </c>
      <c r="F347" s="49" t="str">
        <f>IFERROR(INDEX(Registro!$B$2:$B$500,MATCH(346,Registro!$T$2:$T$500,0)),"")</f>
        <v/>
      </c>
      <c r="G347" s="49" t="str">
        <f>IFERROR(INDEX(Registro!$P$2:$P$500,MATCH(346,Registro!$T$2:$T$500,0)),"")</f>
        <v/>
      </c>
      <c r="H347" s="49" t="str">
        <f>IFERROR(INDEX(Registro!$Q$2:$Q$500,MATCH(346,Registro!$T$2:$T$500,0)),"")</f>
        <v/>
      </c>
    </row>
    <row r="348" spans="1:8" x14ac:dyDescent="0.25">
      <c r="A348" s="49" t="str">
        <f>IFERROR(INDEX(Registro!$E$2:$E$500,MATCH(347,Registro!$T$2:$T$500,0)),"")</f>
        <v/>
      </c>
      <c r="B348" s="49" t="str">
        <f>IFERROR(INDEX(Registro!$F$2:$F$500,MATCH(347,Registro!$T$2:$T$500,0)),"")</f>
        <v/>
      </c>
      <c r="C348" s="49" t="str">
        <f>IFERROR(INDEX(Registro!$G$2:$G$500,MATCH(347,Registro!$T$2:$T$500,0)),"")</f>
        <v/>
      </c>
      <c r="D348" s="49" t="str">
        <f>IFERROR(INDEX(Registro!$H$2:$H$500,MATCH(347,Registro!$T$2:$T$500,0)),"")</f>
        <v/>
      </c>
      <c r="E348" s="50" t="str">
        <f>IFERROR(INDEX(Registro!$C$2:$C$500,MATCH(347,Registro!$T$2:$T$500,0)),"")</f>
        <v/>
      </c>
      <c r="F348" s="49" t="str">
        <f>IFERROR(INDEX(Registro!$B$2:$B$500,MATCH(347,Registro!$T$2:$T$500,0)),"")</f>
        <v/>
      </c>
      <c r="G348" s="49" t="str">
        <f>IFERROR(INDEX(Registro!$P$2:$P$500,MATCH(347,Registro!$T$2:$T$500,0)),"")</f>
        <v/>
      </c>
      <c r="H348" s="49" t="str">
        <f>IFERROR(INDEX(Registro!$Q$2:$Q$500,MATCH(347,Registro!$T$2:$T$500,0)),"")</f>
        <v/>
      </c>
    </row>
    <row r="349" spans="1:8" x14ac:dyDescent="0.25">
      <c r="A349" s="49" t="str">
        <f>IFERROR(INDEX(Registro!$E$2:$E$500,MATCH(348,Registro!$T$2:$T$500,0)),"")</f>
        <v/>
      </c>
      <c r="B349" s="49" t="str">
        <f>IFERROR(INDEX(Registro!$F$2:$F$500,MATCH(348,Registro!$T$2:$T$500,0)),"")</f>
        <v/>
      </c>
      <c r="C349" s="49" t="str">
        <f>IFERROR(INDEX(Registro!$G$2:$G$500,MATCH(348,Registro!$T$2:$T$500,0)),"")</f>
        <v/>
      </c>
      <c r="D349" s="49" t="str">
        <f>IFERROR(INDEX(Registro!$H$2:$H$500,MATCH(348,Registro!$T$2:$T$500,0)),"")</f>
        <v/>
      </c>
      <c r="E349" s="50" t="str">
        <f>IFERROR(INDEX(Registro!$C$2:$C$500,MATCH(348,Registro!$T$2:$T$500,0)),"")</f>
        <v/>
      </c>
      <c r="F349" s="49" t="str">
        <f>IFERROR(INDEX(Registro!$B$2:$B$500,MATCH(348,Registro!$T$2:$T$500,0)),"")</f>
        <v/>
      </c>
      <c r="G349" s="49" t="str">
        <f>IFERROR(INDEX(Registro!$P$2:$P$500,MATCH(348,Registro!$T$2:$T$500,0)),"")</f>
        <v/>
      </c>
      <c r="H349" s="49" t="str">
        <f>IFERROR(INDEX(Registro!$Q$2:$Q$500,MATCH(348,Registro!$T$2:$T$500,0)),"")</f>
        <v/>
      </c>
    </row>
    <row r="350" spans="1:8" x14ac:dyDescent="0.25">
      <c r="A350" s="49" t="str">
        <f>IFERROR(INDEX(Registro!$E$2:$E$500,MATCH(349,Registro!$T$2:$T$500,0)),"")</f>
        <v/>
      </c>
      <c r="B350" s="49" t="str">
        <f>IFERROR(INDEX(Registro!$F$2:$F$500,MATCH(349,Registro!$T$2:$T$500,0)),"")</f>
        <v/>
      </c>
      <c r="C350" s="49" t="str">
        <f>IFERROR(INDEX(Registro!$G$2:$G$500,MATCH(349,Registro!$T$2:$T$500,0)),"")</f>
        <v/>
      </c>
      <c r="D350" s="49" t="str">
        <f>IFERROR(INDEX(Registro!$H$2:$H$500,MATCH(349,Registro!$T$2:$T$500,0)),"")</f>
        <v/>
      </c>
      <c r="E350" s="50" t="str">
        <f>IFERROR(INDEX(Registro!$C$2:$C$500,MATCH(349,Registro!$T$2:$T$500,0)),"")</f>
        <v/>
      </c>
      <c r="F350" s="49" t="str">
        <f>IFERROR(INDEX(Registro!$B$2:$B$500,MATCH(349,Registro!$T$2:$T$500,0)),"")</f>
        <v/>
      </c>
      <c r="G350" s="49" t="str">
        <f>IFERROR(INDEX(Registro!$P$2:$P$500,MATCH(349,Registro!$T$2:$T$500,0)),"")</f>
        <v/>
      </c>
      <c r="H350" s="49" t="str">
        <f>IFERROR(INDEX(Registro!$Q$2:$Q$500,MATCH(349,Registro!$T$2:$T$500,0)),"")</f>
        <v/>
      </c>
    </row>
    <row r="351" spans="1:8" x14ac:dyDescent="0.25">
      <c r="A351" s="49" t="str">
        <f>IFERROR(INDEX(Registro!$E$2:$E$500,MATCH(350,Registro!$T$2:$T$500,0)),"")</f>
        <v/>
      </c>
      <c r="B351" s="49" t="str">
        <f>IFERROR(INDEX(Registro!$F$2:$F$500,MATCH(350,Registro!$T$2:$T$500,0)),"")</f>
        <v/>
      </c>
      <c r="C351" s="49" t="str">
        <f>IFERROR(INDEX(Registro!$G$2:$G$500,MATCH(350,Registro!$T$2:$T$500,0)),"")</f>
        <v/>
      </c>
      <c r="D351" s="49" t="str">
        <f>IFERROR(INDEX(Registro!$H$2:$H$500,MATCH(350,Registro!$T$2:$T$500,0)),"")</f>
        <v/>
      </c>
      <c r="E351" s="50" t="str">
        <f>IFERROR(INDEX(Registro!$C$2:$C$500,MATCH(350,Registro!$T$2:$T$500,0)),"")</f>
        <v/>
      </c>
      <c r="F351" s="49" t="str">
        <f>IFERROR(INDEX(Registro!$B$2:$B$500,MATCH(350,Registro!$T$2:$T$500,0)),"")</f>
        <v/>
      </c>
      <c r="G351" s="49" t="str">
        <f>IFERROR(INDEX(Registro!$P$2:$P$500,MATCH(350,Registro!$T$2:$T$500,0)),"")</f>
        <v/>
      </c>
      <c r="H351" s="49" t="str">
        <f>IFERROR(INDEX(Registro!$Q$2:$Q$500,MATCH(350,Registro!$T$2:$T$500,0)),"")</f>
        <v/>
      </c>
    </row>
    <row r="352" spans="1:8" x14ac:dyDescent="0.25">
      <c r="A352" s="49" t="str">
        <f>IFERROR(INDEX(Registro!$E$2:$E$500,MATCH(351,Registro!$T$2:$T$500,0)),"")</f>
        <v/>
      </c>
      <c r="B352" s="49" t="str">
        <f>IFERROR(INDEX(Registro!$F$2:$F$500,MATCH(351,Registro!$T$2:$T$500,0)),"")</f>
        <v/>
      </c>
      <c r="C352" s="49" t="str">
        <f>IFERROR(INDEX(Registro!$G$2:$G$500,MATCH(351,Registro!$T$2:$T$500,0)),"")</f>
        <v/>
      </c>
      <c r="D352" s="49" t="str">
        <f>IFERROR(INDEX(Registro!$H$2:$H$500,MATCH(351,Registro!$T$2:$T$500,0)),"")</f>
        <v/>
      </c>
      <c r="E352" s="50" t="str">
        <f>IFERROR(INDEX(Registro!$C$2:$C$500,MATCH(351,Registro!$T$2:$T$500,0)),"")</f>
        <v/>
      </c>
      <c r="F352" s="49" t="str">
        <f>IFERROR(INDEX(Registro!$B$2:$B$500,MATCH(351,Registro!$T$2:$T$500,0)),"")</f>
        <v/>
      </c>
      <c r="G352" s="49" t="str">
        <f>IFERROR(INDEX(Registro!$P$2:$P$500,MATCH(351,Registro!$T$2:$T$500,0)),"")</f>
        <v/>
      </c>
      <c r="H352" s="49" t="str">
        <f>IFERROR(INDEX(Registro!$Q$2:$Q$500,MATCH(351,Registro!$T$2:$T$500,0)),"")</f>
        <v/>
      </c>
    </row>
    <row r="353" spans="1:8" x14ac:dyDescent="0.25">
      <c r="A353" s="49" t="str">
        <f>IFERROR(INDEX(Registro!$E$2:$E$500,MATCH(352,Registro!$T$2:$T$500,0)),"")</f>
        <v/>
      </c>
      <c r="B353" s="49" t="str">
        <f>IFERROR(INDEX(Registro!$F$2:$F$500,MATCH(352,Registro!$T$2:$T$500,0)),"")</f>
        <v/>
      </c>
      <c r="C353" s="49" t="str">
        <f>IFERROR(INDEX(Registro!$G$2:$G$500,MATCH(352,Registro!$T$2:$T$500,0)),"")</f>
        <v/>
      </c>
      <c r="D353" s="49" t="str">
        <f>IFERROR(INDEX(Registro!$H$2:$H$500,MATCH(352,Registro!$T$2:$T$500,0)),"")</f>
        <v/>
      </c>
      <c r="E353" s="50" t="str">
        <f>IFERROR(INDEX(Registro!$C$2:$C$500,MATCH(352,Registro!$T$2:$T$500,0)),"")</f>
        <v/>
      </c>
      <c r="F353" s="49" t="str">
        <f>IFERROR(INDEX(Registro!$B$2:$B$500,MATCH(352,Registro!$T$2:$T$500,0)),"")</f>
        <v/>
      </c>
      <c r="G353" s="49" t="str">
        <f>IFERROR(INDEX(Registro!$P$2:$P$500,MATCH(352,Registro!$T$2:$T$500,0)),"")</f>
        <v/>
      </c>
      <c r="H353" s="49" t="str">
        <f>IFERROR(INDEX(Registro!$Q$2:$Q$500,MATCH(352,Registro!$T$2:$T$500,0)),"")</f>
        <v/>
      </c>
    </row>
    <row r="354" spans="1:8" x14ac:dyDescent="0.25">
      <c r="A354" s="49" t="str">
        <f>IFERROR(INDEX(Registro!$E$2:$E$500,MATCH(353,Registro!$T$2:$T$500,0)),"")</f>
        <v/>
      </c>
      <c r="B354" s="49" t="str">
        <f>IFERROR(INDEX(Registro!$F$2:$F$500,MATCH(353,Registro!$T$2:$T$500,0)),"")</f>
        <v/>
      </c>
      <c r="C354" s="49" t="str">
        <f>IFERROR(INDEX(Registro!$G$2:$G$500,MATCH(353,Registro!$T$2:$T$500,0)),"")</f>
        <v/>
      </c>
      <c r="D354" s="49" t="str">
        <f>IFERROR(INDEX(Registro!$H$2:$H$500,MATCH(353,Registro!$T$2:$T$500,0)),"")</f>
        <v/>
      </c>
      <c r="E354" s="50" t="str">
        <f>IFERROR(INDEX(Registro!$C$2:$C$500,MATCH(353,Registro!$T$2:$T$500,0)),"")</f>
        <v/>
      </c>
      <c r="F354" s="49" t="str">
        <f>IFERROR(INDEX(Registro!$B$2:$B$500,MATCH(353,Registro!$T$2:$T$500,0)),"")</f>
        <v/>
      </c>
      <c r="G354" s="49" t="str">
        <f>IFERROR(INDEX(Registro!$P$2:$P$500,MATCH(353,Registro!$T$2:$T$500,0)),"")</f>
        <v/>
      </c>
      <c r="H354" s="49" t="str">
        <f>IFERROR(INDEX(Registro!$Q$2:$Q$500,MATCH(353,Registro!$T$2:$T$500,0)),"")</f>
        <v/>
      </c>
    </row>
    <row r="355" spans="1:8" x14ac:dyDescent="0.25">
      <c r="A355" s="49" t="str">
        <f>IFERROR(INDEX(Registro!$E$2:$E$500,MATCH(354,Registro!$T$2:$T$500,0)),"")</f>
        <v/>
      </c>
      <c r="B355" s="49" t="str">
        <f>IFERROR(INDEX(Registro!$F$2:$F$500,MATCH(354,Registro!$T$2:$T$500,0)),"")</f>
        <v/>
      </c>
      <c r="C355" s="49" t="str">
        <f>IFERROR(INDEX(Registro!$G$2:$G$500,MATCH(354,Registro!$T$2:$T$500,0)),"")</f>
        <v/>
      </c>
      <c r="D355" s="49" t="str">
        <f>IFERROR(INDEX(Registro!$H$2:$H$500,MATCH(354,Registro!$T$2:$T$500,0)),"")</f>
        <v/>
      </c>
      <c r="E355" s="50" t="str">
        <f>IFERROR(INDEX(Registro!$C$2:$C$500,MATCH(354,Registro!$T$2:$T$500,0)),"")</f>
        <v/>
      </c>
      <c r="F355" s="49" t="str">
        <f>IFERROR(INDEX(Registro!$B$2:$B$500,MATCH(354,Registro!$T$2:$T$500,0)),"")</f>
        <v/>
      </c>
      <c r="G355" s="49" t="str">
        <f>IFERROR(INDEX(Registro!$P$2:$P$500,MATCH(354,Registro!$T$2:$T$500,0)),"")</f>
        <v/>
      </c>
      <c r="H355" s="49" t="str">
        <f>IFERROR(INDEX(Registro!$Q$2:$Q$500,MATCH(354,Registro!$T$2:$T$500,0)),"")</f>
        <v/>
      </c>
    </row>
    <row r="356" spans="1:8" x14ac:dyDescent="0.25">
      <c r="A356" s="49" t="str">
        <f>IFERROR(INDEX(Registro!$E$2:$E$500,MATCH(355,Registro!$T$2:$T$500,0)),"")</f>
        <v/>
      </c>
      <c r="B356" s="49" t="str">
        <f>IFERROR(INDEX(Registro!$F$2:$F$500,MATCH(355,Registro!$T$2:$T$500,0)),"")</f>
        <v/>
      </c>
      <c r="C356" s="49" t="str">
        <f>IFERROR(INDEX(Registro!$G$2:$G$500,MATCH(355,Registro!$T$2:$T$500,0)),"")</f>
        <v/>
      </c>
      <c r="D356" s="49" t="str">
        <f>IFERROR(INDEX(Registro!$H$2:$H$500,MATCH(355,Registro!$T$2:$T$500,0)),"")</f>
        <v/>
      </c>
      <c r="E356" s="50" t="str">
        <f>IFERROR(INDEX(Registro!$C$2:$C$500,MATCH(355,Registro!$T$2:$T$500,0)),"")</f>
        <v/>
      </c>
      <c r="F356" s="49" t="str">
        <f>IFERROR(INDEX(Registro!$B$2:$B$500,MATCH(355,Registro!$T$2:$T$500,0)),"")</f>
        <v/>
      </c>
      <c r="G356" s="49" t="str">
        <f>IFERROR(INDEX(Registro!$P$2:$P$500,MATCH(355,Registro!$T$2:$T$500,0)),"")</f>
        <v/>
      </c>
      <c r="H356" s="49" t="str">
        <f>IFERROR(INDEX(Registro!$Q$2:$Q$500,MATCH(355,Registro!$T$2:$T$500,0)),"")</f>
        <v/>
      </c>
    </row>
    <row r="357" spans="1:8" x14ac:dyDescent="0.25">
      <c r="A357" s="49" t="str">
        <f>IFERROR(INDEX(Registro!$E$2:$E$500,MATCH(356,Registro!$T$2:$T$500,0)),"")</f>
        <v/>
      </c>
      <c r="B357" s="49" t="str">
        <f>IFERROR(INDEX(Registro!$F$2:$F$500,MATCH(356,Registro!$T$2:$T$500,0)),"")</f>
        <v/>
      </c>
      <c r="C357" s="49" t="str">
        <f>IFERROR(INDEX(Registro!$G$2:$G$500,MATCH(356,Registro!$T$2:$T$500,0)),"")</f>
        <v/>
      </c>
      <c r="D357" s="49" t="str">
        <f>IFERROR(INDEX(Registro!$H$2:$H$500,MATCH(356,Registro!$T$2:$T$500,0)),"")</f>
        <v/>
      </c>
      <c r="E357" s="50" t="str">
        <f>IFERROR(INDEX(Registro!$C$2:$C$500,MATCH(356,Registro!$T$2:$T$500,0)),"")</f>
        <v/>
      </c>
      <c r="F357" s="49" t="str">
        <f>IFERROR(INDEX(Registro!$B$2:$B$500,MATCH(356,Registro!$T$2:$T$500,0)),"")</f>
        <v/>
      </c>
      <c r="G357" s="49" t="str">
        <f>IFERROR(INDEX(Registro!$P$2:$P$500,MATCH(356,Registro!$T$2:$T$500,0)),"")</f>
        <v/>
      </c>
      <c r="H357" s="49" t="str">
        <f>IFERROR(INDEX(Registro!$Q$2:$Q$500,MATCH(356,Registro!$T$2:$T$500,0)),"")</f>
        <v/>
      </c>
    </row>
    <row r="358" spans="1:8" x14ac:dyDescent="0.25">
      <c r="A358" s="49" t="str">
        <f>IFERROR(INDEX(Registro!$E$2:$E$500,MATCH(357,Registro!$T$2:$T$500,0)),"")</f>
        <v/>
      </c>
      <c r="B358" s="49" t="str">
        <f>IFERROR(INDEX(Registro!$F$2:$F$500,MATCH(357,Registro!$T$2:$T$500,0)),"")</f>
        <v/>
      </c>
      <c r="C358" s="49" t="str">
        <f>IFERROR(INDEX(Registro!$G$2:$G$500,MATCH(357,Registro!$T$2:$T$500,0)),"")</f>
        <v/>
      </c>
      <c r="D358" s="49" t="str">
        <f>IFERROR(INDEX(Registro!$H$2:$H$500,MATCH(357,Registro!$T$2:$T$500,0)),"")</f>
        <v/>
      </c>
      <c r="E358" s="50" t="str">
        <f>IFERROR(INDEX(Registro!$C$2:$C$500,MATCH(357,Registro!$T$2:$T$500,0)),"")</f>
        <v/>
      </c>
      <c r="F358" s="49" t="str">
        <f>IFERROR(INDEX(Registro!$B$2:$B$500,MATCH(357,Registro!$T$2:$T$500,0)),"")</f>
        <v/>
      </c>
      <c r="G358" s="49" t="str">
        <f>IFERROR(INDEX(Registro!$P$2:$P$500,MATCH(357,Registro!$T$2:$T$500,0)),"")</f>
        <v/>
      </c>
      <c r="H358" s="49" t="str">
        <f>IFERROR(INDEX(Registro!$Q$2:$Q$500,MATCH(357,Registro!$T$2:$T$500,0)),"")</f>
        <v/>
      </c>
    </row>
    <row r="359" spans="1:8" x14ac:dyDescent="0.25">
      <c r="A359" s="49" t="str">
        <f>IFERROR(INDEX(Registro!$E$2:$E$500,MATCH(358,Registro!$T$2:$T$500,0)),"")</f>
        <v/>
      </c>
      <c r="B359" s="49" t="str">
        <f>IFERROR(INDEX(Registro!$F$2:$F$500,MATCH(358,Registro!$T$2:$T$500,0)),"")</f>
        <v/>
      </c>
      <c r="C359" s="49" t="str">
        <f>IFERROR(INDEX(Registro!$G$2:$G$500,MATCH(358,Registro!$T$2:$T$500,0)),"")</f>
        <v/>
      </c>
      <c r="D359" s="49" t="str">
        <f>IFERROR(INDEX(Registro!$H$2:$H$500,MATCH(358,Registro!$T$2:$T$500,0)),"")</f>
        <v/>
      </c>
      <c r="E359" s="50" t="str">
        <f>IFERROR(INDEX(Registro!$C$2:$C$500,MATCH(358,Registro!$T$2:$T$500,0)),"")</f>
        <v/>
      </c>
      <c r="F359" s="49" t="str">
        <f>IFERROR(INDEX(Registro!$B$2:$B$500,MATCH(358,Registro!$T$2:$T$500,0)),"")</f>
        <v/>
      </c>
      <c r="G359" s="49" t="str">
        <f>IFERROR(INDEX(Registro!$P$2:$P$500,MATCH(358,Registro!$T$2:$T$500,0)),"")</f>
        <v/>
      </c>
      <c r="H359" s="49" t="str">
        <f>IFERROR(INDEX(Registro!$Q$2:$Q$500,MATCH(358,Registro!$T$2:$T$500,0)),"")</f>
        <v/>
      </c>
    </row>
    <row r="360" spans="1:8" x14ac:dyDescent="0.25">
      <c r="A360" s="49" t="str">
        <f>IFERROR(INDEX(Registro!$E$2:$E$500,MATCH(359,Registro!$T$2:$T$500,0)),"")</f>
        <v/>
      </c>
      <c r="B360" s="49" t="str">
        <f>IFERROR(INDEX(Registro!$F$2:$F$500,MATCH(359,Registro!$T$2:$T$500,0)),"")</f>
        <v/>
      </c>
      <c r="C360" s="49" t="str">
        <f>IFERROR(INDEX(Registro!$G$2:$G$500,MATCH(359,Registro!$T$2:$T$500,0)),"")</f>
        <v/>
      </c>
      <c r="D360" s="49" t="str">
        <f>IFERROR(INDEX(Registro!$H$2:$H$500,MATCH(359,Registro!$T$2:$T$500,0)),"")</f>
        <v/>
      </c>
      <c r="E360" s="50" t="str">
        <f>IFERROR(INDEX(Registro!$C$2:$C$500,MATCH(359,Registro!$T$2:$T$500,0)),"")</f>
        <v/>
      </c>
      <c r="F360" s="49" t="str">
        <f>IFERROR(INDEX(Registro!$B$2:$B$500,MATCH(359,Registro!$T$2:$T$500,0)),"")</f>
        <v/>
      </c>
      <c r="G360" s="49" t="str">
        <f>IFERROR(INDEX(Registro!$P$2:$P$500,MATCH(359,Registro!$T$2:$T$500,0)),"")</f>
        <v/>
      </c>
      <c r="H360" s="49" t="str">
        <f>IFERROR(INDEX(Registro!$Q$2:$Q$500,MATCH(359,Registro!$T$2:$T$500,0)),"")</f>
        <v/>
      </c>
    </row>
    <row r="361" spans="1:8" x14ac:dyDescent="0.25">
      <c r="A361" s="49" t="str">
        <f>IFERROR(INDEX(Registro!$E$2:$E$500,MATCH(360,Registro!$T$2:$T$500,0)),"")</f>
        <v/>
      </c>
      <c r="B361" s="49" t="str">
        <f>IFERROR(INDEX(Registro!$F$2:$F$500,MATCH(360,Registro!$T$2:$T$500,0)),"")</f>
        <v/>
      </c>
      <c r="C361" s="49" t="str">
        <f>IFERROR(INDEX(Registro!$G$2:$G$500,MATCH(360,Registro!$T$2:$T$500,0)),"")</f>
        <v/>
      </c>
      <c r="D361" s="49" t="str">
        <f>IFERROR(INDEX(Registro!$H$2:$H$500,MATCH(360,Registro!$T$2:$T$500,0)),"")</f>
        <v/>
      </c>
      <c r="E361" s="50" t="str">
        <f>IFERROR(INDEX(Registro!$C$2:$C$500,MATCH(360,Registro!$T$2:$T$500,0)),"")</f>
        <v/>
      </c>
      <c r="F361" s="49" t="str">
        <f>IFERROR(INDEX(Registro!$B$2:$B$500,MATCH(360,Registro!$T$2:$T$500,0)),"")</f>
        <v/>
      </c>
      <c r="G361" s="49" t="str">
        <f>IFERROR(INDEX(Registro!$P$2:$P$500,MATCH(360,Registro!$T$2:$T$500,0)),"")</f>
        <v/>
      </c>
      <c r="H361" s="49" t="str">
        <f>IFERROR(INDEX(Registro!$Q$2:$Q$500,MATCH(360,Registro!$T$2:$T$500,0)),"")</f>
        <v/>
      </c>
    </row>
    <row r="362" spans="1:8" x14ac:dyDescent="0.25">
      <c r="A362" s="49" t="str">
        <f>IFERROR(INDEX(Registro!$E$2:$E$500,MATCH(361,Registro!$T$2:$T$500,0)),"")</f>
        <v/>
      </c>
      <c r="B362" s="49" t="str">
        <f>IFERROR(INDEX(Registro!$F$2:$F$500,MATCH(361,Registro!$T$2:$T$500,0)),"")</f>
        <v/>
      </c>
      <c r="C362" s="49" t="str">
        <f>IFERROR(INDEX(Registro!$G$2:$G$500,MATCH(361,Registro!$T$2:$T$500,0)),"")</f>
        <v/>
      </c>
      <c r="D362" s="49" t="str">
        <f>IFERROR(INDEX(Registro!$H$2:$H$500,MATCH(361,Registro!$T$2:$T$500,0)),"")</f>
        <v/>
      </c>
      <c r="E362" s="50" t="str">
        <f>IFERROR(INDEX(Registro!$C$2:$C$500,MATCH(361,Registro!$T$2:$T$500,0)),"")</f>
        <v/>
      </c>
      <c r="F362" s="49" t="str">
        <f>IFERROR(INDEX(Registro!$B$2:$B$500,MATCH(361,Registro!$T$2:$T$500,0)),"")</f>
        <v/>
      </c>
      <c r="G362" s="49" t="str">
        <f>IFERROR(INDEX(Registro!$P$2:$P$500,MATCH(361,Registro!$T$2:$T$500,0)),"")</f>
        <v/>
      </c>
      <c r="H362" s="49" t="str">
        <f>IFERROR(INDEX(Registro!$Q$2:$Q$500,MATCH(361,Registro!$T$2:$T$500,0)),"")</f>
        <v/>
      </c>
    </row>
    <row r="363" spans="1:8" x14ac:dyDescent="0.25">
      <c r="A363" s="49" t="str">
        <f>IFERROR(INDEX(Registro!$E$2:$E$500,MATCH(362,Registro!$T$2:$T$500,0)),"")</f>
        <v/>
      </c>
      <c r="B363" s="49" t="str">
        <f>IFERROR(INDEX(Registro!$F$2:$F$500,MATCH(362,Registro!$T$2:$T$500,0)),"")</f>
        <v/>
      </c>
      <c r="C363" s="49" t="str">
        <f>IFERROR(INDEX(Registro!$G$2:$G$500,MATCH(362,Registro!$T$2:$T$500,0)),"")</f>
        <v/>
      </c>
      <c r="D363" s="49" t="str">
        <f>IFERROR(INDEX(Registro!$H$2:$H$500,MATCH(362,Registro!$T$2:$T$500,0)),"")</f>
        <v/>
      </c>
      <c r="E363" s="50" t="str">
        <f>IFERROR(INDEX(Registro!$C$2:$C$500,MATCH(362,Registro!$T$2:$T$500,0)),"")</f>
        <v/>
      </c>
      <c r="F363" s="49" t="str">
        <f>IFERROR(INDEX(Registro!$B$2:$B$500,MATCH(362,Registro!$T$2:$T$500,0)),"")</f>
        <v/>
      </c>
      <c r="G363" s="49" t="str">
        <f>IFERROR(INDEX(Registro!$P$2:$P$500,MATCH(362,Registro!$T$2:$T$500,0)),"")</f>
        <v/>
      </c>
      <c r="H363" s="49" t="str">
        <f>IFERROR(INDEX(Registro!$Q$2:$Q$500,MATCH(362,Registro!$T$2:$T$500,0)),"")</f>
        <v/>
      </c>
    </row>
    <row r="364" spans="1:8" x14ac:dyDescent="0.25">
      <c r="A364" s="49" t="str">
        <f>IFERROR(INDEX(Registro!$E$2:$E$500,MATCH(363,Registro!$T$2:$T$500,0)),"")</f>
        <v/>
      </c>
      <c r="B364" s="49" t="str">
        <f>IFERROR(INDEX(Registro!$F$2:$F$500,MATCH(363,Registro!$T$2:$T$500,0)),"")</f>
        <v/>
      </c>
      <c r="C364" s="49" t="str">
        <f>IFERROR(INDEX(Registro!$G$2:$G$500,MATCH(363,Registro!$T$2:$T$500,0)),"")</f>
        <v/>
      </c>
      <c r="D364" s="49" t="str">
        <f>IFERROR(INDEX(Registro!$H$2:$H$500,MATCH(363,Registro!$T$2:$T$500,0)),"")</f>
        <v/>
      </c>
      <c r="E364" s="50" t="str">
        <f>IFERROR(INDEX(Registro!$C$2:$C$500,MATCH(363,Registro!$T$2:$T$500,0)),"")</f>
        <v/>
      </c>
      <c r="F364" s="49" t="str">
        <f>IFERROR(INDEX(Registro!$B$2:$B$500,MATCH(363,Registro!$T$2:$T$500,0)),"")</f>
        <v/>
      </c>
      <c r="G364" s="49" t="str">
        <f>IFERROR(INDEX(Registro!$P$2:$P$500,MATCH(363,Registro!$T$2:$T$500,0)),"")</f>
        <v/>
      </c>
      <c r="H364" s="49" t="str">
        <f>IFERROR(INDEX(Registro!$Q$2:$Q$500,MATCH(363,Registro!$T$2:$T$500,0)),"")</f>
        <v/>
      </c>
    </row>
    <row r="365" spans="1:8" x14ac:dyDescent="0.25">
      <c r="A365" s="49" t="str">
        <f>IFERROR(INDEX(Registro!$E$2:$E$500,MATCH(364,Registro!$T$2:$T$500,0)),"")</f>
        <v/>
      </c>
      <c r="B365" s="49" t="str">
        <f>IFERROR(INDEX(Registro!$F$2:$F$500,MATCH(364,Registro!$T$2:$T$500,0)),"")</f>
        <v/>
      </c>
      <c r="C365" s="49" t="str">
        <f>IFERROR(INDEX(Registro!$G$2:$G$500,MATCH(364,Registro!$T$2:$T$500,0)),"")</f>
        <v/>
      </c>
      <c r="D365" s="49" t="str">
        <f>IFERROR(INDEX(Registro!$H$2:$H$500,MATCH(364,Registro!$T$2:$T$500,0)),"")</f>
        <v/>
      </c>
      <c r="E365" s="50" t="str">
        <f>IFERROR(INDEX(Registro!$C$2:$C$500,MATCH(364,Registro!$T$2:$T$500,0)),"")</f>
        <v/>
      </c>
      <c r="F365" s="49" t="str">
        <f>IFERROR(INDEX(Registro!$B$2:$B$500,MATCH(364,Registro!$T$2:$T$500,0)),"")</f>
        <v/>
      </c>
      <c r="G365" s="49" t="str">
        <f>IFERROR(INDEX(Registro!$P$2:$P$500,MATCH(364,Registro!$T$2:$T$500,0)),"")</f>
        <v/>
      </c>
      <c r="H365" s="49" t="str">
        <f>IFERROR(INDEX(Registro!$Q$2:$Q$500,MATCH(364,Registro!$T$2:$T$500,0)),"")</f>
        <v/>
      </c>
    </row>
    <row r="366" spans="1:8" x14ac:dyDescent="0.25">
      <c r="A366" s="49" t="str">
        <f>IFERROR(INDEX(Registro!$E$2:$E$500,MATCH(365,Registro!$T$2:$T$500,0)),"")</f>
        <v/>
      </c>
      <c r="B366" s="49" t="str">
        <f>IFERROR(INDEX(Registro!$F$2:$F$500,MATCH(365,Registro!$T$2:$T$500,0)),"")</f>
        <v/>
      </c>
      <c r="C366" s="49" t="str">
        <f>IFERROR(INDEX(Registro!$G$2:$G$500,MATCH(365,Registro!$T$2:$T$500,0)),"")</f>
        <v/>
      </c>
      <c r="D366" s="49" t="str">
        <f>IFERROR(INDEX(Registro!$H$2:$H$500,MATCH(365,Registro!$T$2:$T$500,0)),"")</f>
        <v/>
      </c>
      <c r="E366" s="50" t="str">
        <f>IFERROR(INDEX(Registro!$C$2:$C$500,MATCH(365,Registro!$T$2:$T$500,0)),"")</f>
        <v/>
      </c>
      <c r="F366" s="49" t="str">
        <f>IFERROR(INDEX(Registro!$B$2:$B$500,MATCH(365,Registro!$T$2:$T$500,0)),"")</f>
        <v/>
      </c>
      <c r="G366" s="49" t="str">
        <f>IFERROR(INDEX(Registro!$P$2:$P$500,MATCH(365,Registro!$T$2:$T$500,0)),"")</f>
        <v/>
      </c>
      <c r="H366" s="49" t="str">
        <f>IFERROR(INDEX(Registro!$Q$2:$Q$500,MATCH(365,Registro!$T$2:$T$500,0)),"")</f>
        <v/>
      </c>
    </row>
    <row r="367" spans="1:8" x14ac:dyDescent="0.25">
      <c r="A367" s="49" t="str">
        <f>IFERROR(INDEX(Registro!$E$2:$E$500,MATCH(366,Registro!$T$2:$T$500,0)),"")</f>
        <v/>
      </c>
      <c r="B367" s="49" t="str">
        <f>IFERROR(INDEX(Registro!$F$2:$F$500,MATCH(366,Registro!$T$2:$T$500,0)),"")</f>
        <v/>
      </c>
      <c r="C367" s="49" t="str">
        <f>IFERROR(INDEX(Registro!$G$2:$G$500,MATCH(366,Registro!$T$2:$T$500,0)),"")</f>
        <v/>
      </c>
      <c r="D367" s="49" t="str">
        <f>IFERROR(INDEX(Registro!$H$2:$H$500,MATCH(366,Registro!$T$2:$T$500,0)),"")</f>
        <v/>
      </c>
      <c r="E367" s="50" t="str">
        <f>IFERROR(INDEX(Registro!$C$2:$C$500,MATCH(366,Registro!$T$2:$T$500,0)),"")</f>
        <v/>
      </c>
      <c r="F367" s="49" t="str">
        <f>IFERROR(INDEX(Registro!$B$2:$B$500,MATCH(366,Registro!$T$2:$T$500,0)),"")</f>
        <v/>
      </c>
      <c r="G367" s="49" t="str">
        <f>IFERROR(INDEX(Registro!$P$2:$P$500,MATCH(366,Registro!$T$2:$T$500,0)),"")</f>
        <v/>
      </c>
      <c r="H367" s="49" t="str">
        <f>IFERROR(INDEX(Registro!$Q$2:$Q$500,MATCH(366,Registro!$T$2:$T$500,0)),"")</f>
        <v/>
      </c>
    </row>
    <row r="368" spans="1:8" x14ac:dyDescent="0.25">
      <c r="A368" s="49" t="str">
        <f>IFERROR(INDEX(Registro!$E$2:$E$500,MATCH(367,Registro!$T$2:$T$500,0)),"")</f>
        <v/>
      </c>
      <c r="B368" s="49" t="str">
        <f>IFERROR(INDEX(Registro!$F$2:$F$500,MATCH(367,Registro!$T$2:$T$500,0)),"")</f>
        <v/>
      </c>
      <c r="C368" s="49" t="str">
        <f>IFERROR(INDEX(Registro!$G$2:$G$500,MATCH(367,Registro!$T$2:$T$500,0)),"")</f>
        <v/>
      </c>
      <c r="D368" s="49" t="str">
        <f>IFERROR(INDEX(Registro!$H$2:$H$500,MATCH(367,Registro!$T$2:$T$500,0)),"")</f>
        <v/>
      </c>
      <c r="E368" s="50" t="str">
        <f>IFERROR(INDEX(Registro!$C$2:$C$500,MATCH(367,Registro!$T$2:$T$500,0)),"")</f>
        <v/>
      </c>
      <c r="F368" s="49" t="str">
        <f>IFERROR(INDEX(Registro!$B$2:$B$500,MATCH(367,Registro!$T$2:$T$500,0)),"")</f>
        <v/>
      </c>
      <c r="G368" s="49" t="str">
        <f>IFERROR(INDEX(Registro!$P$2:$P$500,MATCH(367,Registro!$T$2:$T$500,0)),"")</f>
        <v/>
      </c>
      <c r="H368" s="49" t="str">
        <f>IFERROR(INDEX(Registro!$Q$2:$Q$500,MATCH(367,Registro!$T$2:$T$500,0)),"")</f>
        <v/>
      </c>
    </row>
    <row r="369" spans="1:8" x14ac:dyDescent="0.25">
      <c r="A369" s="49" t="str">
        <f>IFERROR(INDEX(Registro!$E$2:$E$500,MATCH(368,Registro!$T$2:$T$500,0)),"")</f>
        <v/>
      </c>
      <c r="B369" s="49" t="str">
        <f>IFERROR(INDEX(Registro!$F$2:$F$500,MATCH(368,Registro!$T$2:$T$500,0)),"")</f>
        <v/>
      </c>
      <c r="C369" s="49" t="str">
        <f>IFERROR(INDEX(Registro!$G$2:$G$500,MATCH(368,Registro!$T$2:$T$500,0)),"")</f>
        <v/>
      </c>
      <c r="D369" s="49" t="str">
        <f>IFERROR(INDEX(Registro!$H$2:$H$500,MATCH(368,Registro!$T$2:$T$500,0)),"")</f>
        <v/>
      </c>
      <c r="E369" s="50" t="str">
        <f>IFERROR(INDEX(Registro!$C$2:$C$500,MATCH(368,Registro!$T$2:$T$500,0)),"")</f>
        <v/>
      </c>
      <c r="F369" s="49" t="str">
        <f>IFERROR(INDEX(Registro!$B$2:$B$500,MATCH(368,Registro!$T$2:$T$500,0)),"")</f>
        <v/>
      </c>
      <c r="G369" s="49" t="str">
        <f>IFERROR(INDEX(Registro!$P$2:$P$500,MATCH(368,Registro!$T$2:$T$500,0)),"")</f>
        <v/>
      </c>
      <c r="H369" s="49" t="str">
        <f>IFERROR(INDEX(Registro!$Q$2:$Q$500,MATCH(368,Registro!$T$2:$T$500,0)),"")</f>
        <v/>
      </c>
    </row>
    <row r="370" spans="1:8" x14ac:dyDescent="0.25">
      <c r="A370" s="49" t="str">
        <f>IFERROR(INDEX(Registro!$E$2:$E$500,MATCH(369,Registro!$T$2:$T$500,0)),"")</f>
        <v/>
      </c>
      <c r="B370" s="49" t="str">
        <f>IFERROR(INDEX(Registro!$F$2:$F$500,MATCH(369,Registro!$T$2:$T$500,0)),"")</f>
        <v/>
      </c>
      <c r="C370" s="49" t="str">
        <f>IFERROR(INDEX(Registro!$G$2:$G$500,MATCH(369,Registro!$T$2:$T$500,0)),"")</f>
        <v/>
      </c>
      <c r="D370" s="49" t="str">
        <f>IFERROR(INDEX(Registro!$H$2:$H$500,MATCH(369,Registro!$T$2:$T$500,0)),"")</f>
        <v/>
      </c>
      <c r="E370" s="50" t="str">
        <f>IFERROR(INDEX(Registro!$C$2:$C$500,MATCH(369,Registro!$T$2:$T$500,0)),"")</f>
        <v/>
      </c>
      <c r="F370" s="49" t="str">
        <f>IFERROR(INDEX(Registro!$B$2:$B$500,MATCH(369,Registro!$T$2:$T$500,0)),"")</f>
        <v/>
      </c>
      <c r="G370" s="49" t="str">
        <f>IFERROR(INDEX(Registro!$P$2:$P$500,MATCH(369,Registro!$T$2:$T$500,0)),"")</f>
        <v/>
      </c>
      <c r="H370" s="49" t="str">
        <f>IFERROR(INDEX(Registro!$Q$2:$Q$500,MATCH(369,Registro!$T$2:$T$500,0)),"")</f>
        <v/>
      </c>
    </row>
    <row r="371" spans="1:8" x14ac:dyDescent="0.25">
      <c r="A371" s="49" t="str">
        <f>IFERROR(INDEX(Registro!$E$2:$E$500,MATCH(370,Registro!$T$2:$T$500,0)),"")</f>
        <v/>
      </c>
      <c r="B371" s="49" t="str">
        <f>IFERROR(INDEX(Registro!$F$2:$F$500,MATCH(370,Registro!$T$2:$T$500,0)),"")</f>
        <v/>
      </c>
      <c r="C371" s="49" t="str">
        <f>IFERROR(INDEX(Registro!$G$2:$G$500,MATCH(370,Registro!$T$2:$T$500,0)),"")</f>
        <v/>
      </c>
      <c r="D371" s="49" t="str">
        <f>IFERROR(INDEX(Registro!$H$2:$H$500,MATCH(370,Registro!$T$2:$T$500,0)),"")</f>
        <v/>
      </c>
      <c r="E371" s="50" t="str">
        <f>IFERROR(INDEX(Registro!$C$2:$C$500,MATCH(370,Registro!$T$2:$T$500,0)),"")</f>
        <v/>
      </c>
      <c r="F371" s="49" t="str">
        <f>IFERROR(INDEX(Registro!$B$2:$B$500,MATCH(370,Registro!$T$2:$T$500,0)),"")</f>
        <v/>
      </c>
      <c r="G371" s="49" t="str">
        <f>IFERROR(INDEX(Registro!$P$2:$P$500,MATCH(370,Registro!$T$2:$T$500,0)),"")</f>
        <v/>
      </c>
      <c r="H371" s="49" t="str">
        <f>IFERROR(INDEX(Registro!$Q$2:$Q$500,MATCH(370,Registro!$T$2:$T$500,0)),"")</f>
        <v/>
      </c>
    </row>
    <row r="372" spans="1:8" x14ac:dyDescent="0.25">
      <c r="A372" s="49" t="str">
        <f>IFERROR(INDEX(Registro!$E$2:$E$500,MATCH(371,Registro!$T$2:$T$500,0)),"")</f>
        <v/>
      </c>
      <c r="B372" s="49" t="str">
        <f>IFERROR(INDEX(Registro!$F$2:$F$500,MATCH(371,Registro!$T$2:$T$500,0)),"")</f>
        <v/>
      </c>
      <c r="C372" s="49" t="str">
        <f>IFERROR(INDEX(Registro!$G$2:$G$500,MATCH(371,Registro!$T$2:$T$500,0)),"")</f>
        <v/>
      </c>
      <c r="D372" s="49" t="str">
        <f>IFERROR(INDEX(Registro!$H$2:$H$500,MATCH(371,Registro!$T$2:$T$500,0)),"")</f>
        <v/>
      </c>
      <c r="E372" s="50" t="str">
        <f>IFERROR(INDEX(Registro!$C$2:$C$500,MATCH(371,Registro!$T$2:$T$500,0)),"")</f>
        <v/>
      </c>
      <c r="F372" s="49" t="str">
        <f>IFERROR(INDEX(Registro!$B$2:$B$500,MATCH(371,Registro!$T$2:$T$500,0)),"")</f>
        <v/>
      </c>
      <c r="G372" s="49" t="str">
        <f>IFERROR(INDEX(Registro!$P$2:$P$500,MATCH(371,Registro!$T$2:$T$500,0)),"")</f>
        <v/>
      </c>
      <c r="H372" s="49" t="str">
        <f>IFERROR(INDEX(Registro!$Q$2:$Q$500,MATCH(371,Registro!$T$2:$T$500,0)),"")</f>
        <v/>
      </c>
    </row>
    <row r="373" spans="1:8" x14ac:dyDescent="0.25">
      <c r="A373" s="49" t="str">
        <f>IFERROR(INDEX(Registro!$E$2:$E$500,MATCH(372,Registro!$T$2:$T$500,0)),"")</f>
        <v/>
      </c>
      <c r="B373" s="49" t="str">
        <f>IFERROR(INDEX(Registro!$F$2:$F$500,MATCH(372,Registro!$T$2:$T$500,0)),"")</f>
        <v/>
      </c>
      <c r="C373" s="49" t="str">
        <f>IFERROR(INDEX(Registro!$G$2:$G$500,MATCH(372,Registro!$T$2:$T$500,0)),"")</f>
        <v/>
      </c>
      <c r="D373" s="49" t="str">
        <f>IFERROR(INDEX(Registro!$H$2:$H$500,MATCH(372,Registro!$T$2:$T$500,0)),"")</f>
        <v/>
      </c>
      <c r="E373" s="50" t="str">
        <f>IFERROR(INDEX(Registro!$C$2:$C$500,MATCH(372,Registro!$T$2:$T$500,0)),"")</f>
        <v/>
      </c>
      <c r="F373" s="49" t="str">
        <f>IFERROR(INDEX(Registro!$B$2:$B$500,MATCH(372,Registro!$T$2:$T$500,0)),"")</f>
        <v/>
      </c>
      <c r="G373" s="49" t="str">
        <f>IFERROR(INDEX(Registro!$P$2:$P$500,MATCH(372,Registro!$T$2:$T$500,0)),"")</f>
        <v/>
      </c>
      <c r="H373" s="49" t="str">
        <f>IFERROR(INDEX(Registro!$Q$2:$Q$500,MATCH(372,Registro!$T$2:$T$500,0)),"")</f>
        <v/>
      </c>
    </row>
    <row r="374" spans="1:8" x14ac:dyDescent="0.25">
      <c r="A374" s="49" t="str">
        <f>IFERROR(INDEX(Registro!$E$2:$E$500,MATCH(373,Registro!$T$2:$T$500,0)),"")</f>
        <v/>
      </c>
      <c r="B374" s="49" t="str">
        <f>IFERROR(INDEX(Registro!$F$2:$F$500,MATCH(373,Registro!$T$2:$T$500,0)),"")</f>
        <v/>
      </c>
      <c r="C374" s="49" t="str">
        <f>IFERROR(INDEX(Registro!$G$2:$G$500,MATCH(373,Registro!$T$2:$T$500,0)),"")</f>
        <v/>
      </c>
      <c r="D374" s="49" t="str">
        <f>IFERROR(INDEX(Registro!$H$2:$H$500,MATCH(373,Registro!$T$2:$T$500,0)),"")</f>
        <v/>
      </c>
      <c r="E374" s="50" t="str">
        <f>IFERROR(INDEX(Registro!$C$2:$C$500,MATCH(373,Registro!$T$2:$T$500,0)),"")</f>
        <v/>
      </c>
      <c r="F374" s="49" t="str">
        <f>IFERROR(INDEX(Registro!$B$2:$B$500,MATCH(373,Registro!$T$2:$T$500,0)),"")</f>
        <v/>
      </c>
      <c r="G374" s="49" t="str">
        <f>IFERROR(INDEX(Registro!$P$2:$P$500,MATCH(373,Registro!$T$2:$T$500,0)),"")</f>
        <v/>
      </c>
      <c r="H374" s="49" t="str">
        <f>IFERROR(INDEX(Registro!$Q$2:$Q$500,MATCH(373,Registro!$T$2:$T$500,0)),"")</f>
        <v/>
      </c>
    </row>
    <row r="375" spans="1:8" x14ac:dyDescent="0.25">
      <c r="A375" s="49" t="str">
        <f>IFERROR(INDEX(Registro!$E$2:$E$500,MATCH(374,Registro!$T$2:$T$500,0)),"")</f>
        <v/>
      </c>
      <c r="B375" s="49" t="str">
        <f>IFERROR(INDEX(Registro!$F$2:$F$500,MATCH(374,Registro!$T$2:$T$500,0)),"")</f>
        <v/>
      </c>
      <c r="C375" s="49" t="str">
        <f>IFERROR(INDEX(Registro!$G$2:$G$500,MATCH(374,Registro!$T$2:$T$500,0)),"")</f>
        <v/>
      </c>
      <c r="D375" s="49" t="str">
        <f>IFERROR(INDEX(Registro!$H$2:$H$500,MATCH(374,Registro!$T$2:$T$500,0)),"")</f>
        <v/>
      </c>
      <c r="E375" s="50" t="str">
        <f>IFERROR(INDEX(Registro!$C$2:$C$500,MATCH(374,Registro!$T$2:$T$500,0)),"")</f>
        <v/>
      </c>
      <c r="F375" s="49" t="str">
        <f>IFERROR(INDEX(Registro!$B$2:$B$500,MATCH(374,Registro!$T$2:$T$500,0)),"")</f>
        <v/>
      </c>
      <c r="G375" s="49" t="str">
        <f>IFERROR(INDEX(Registro!$P$2:$P$500,MATCH(374,Registro!$T$2:$T$500,0)),"")</f>
        <v/>
      </c>
      <c r="H375" s="49" t="str">
        <f>IFERROR(INDEX(Registro!$Q$2:$Q$500,MATCH(374,Registro!$T$2:$T$500,0)),"")</f>
        <v/>
      </c>
    </row>
    <row r="376" spans="1:8" x14ac:dyDescent="0.25">
      <c r="A376" s="49" t="str">
        <f>IFERROR(INDEX(Registro!$E$2:$E$500,MATCH(375,Registro!$T$2:$T$500,0)),"")</f>
        <v/>
      </c>
      <c r="B376" s="49" t="str">
        <f>IFERROR(INDEX(Registro!$F$2:$F$500,MATCH(375,Registro!$T$2:$T$500,0)),"")</f>
        <v/>
      </c>
      <c r="C376" s="49" t="str">
        <f>IFERROR(INDEX(Registro!$G$2:$G$500,MATCH(375,Registro!$T$2:$T$500,0)),"")</f>
        <v/>
      </c>
      <c r="D376" s="49" t="str">
        <f>IFERROR(INDEX(Registro!$H$2:$H$500,MATCH(375,Registro!$T$2:$T$500,0)),"")</f>
        <v/>
      </c>
      <c r="E376" s="50" t="str">
        <f>IFERROR(INDEX(Registro!$C$2:$C$500,MATCH(375,Registro!$T$2:$T$500,0)),"")</f>
        <v/>
      </c>
      <c r="F376" s="49" t="str">
        <f>IFERROR(INDEX(Registro!$B$2:$B$500,MATCH(375,Registro!$T$2:$T$500,0)),"")</f>
        <v/>
      </c>
      <c r="G376" s="49" t="str">
        <f>IFERROR(INDEX(Registro!$P$2:$P$500,MATCH(375,Registro!$T$2:$T$500,0)),"")</f>
        <v/>
      </c>
      <c r="H376" s="49" t="str">
        <f>IFERROR(INDEX(Registro!$Q$2:$Q$500,MATCH(375,Registro!$T$2:$T$500,0)),"")</f>
        <v/>
      </c>
    </row>
    <row r="377" spans="1:8" x14ac:dyDescent="0.25">
      <c r="A377" s="49" t="str">
        <f>IFERROR(INDEX(Registro!$E$2:$E$500,MATCH(376,Registro!$T$2:$T$500,0)),"")</f>
        <v/>
      </c>
      <c r="B377" s="49" t="str">
        <f>IFERROR(INDEX(Registro!$F$2:$F$500,MATCH(376,Registro!$T$2:$T$500,0)),"")</f>
        <v/>
      </c>
      <c r="C377" s="49" t="str">
        <f>IFERROR(INDEX(Registro!$G$2:$G$500,MATCH(376,Registro!$T$2:$T$500,0)),"")</f>
        <v/>
      </c>
      <c r="D377" s="49" t="str">
        <f>IFERROR(INDEX(Registro!$H$2:$H$500,MATCH(376,Registro!$T$2:$T$500,0)),"")</f>
        <v/>
      </c>
      <c r="E377" s="50" t="str">
        <f>IFERROR(INDEX(Registro!$C$2:$C$500,MATCH(376,Registro!$T$2:$T$500,0)),"")</f>
        <v/>
      </c>
      <c r="F377" s="49" t="str">
        <f>IFERROR(INDEX(Registro!$B$2:$B$500,MATCH(376,Registro!$T$2:$T$500,0)),"")</f>
        <v/>
      </c>
      <c r="G377" s="49" t="str">
        <f>IFERROR(INDEX(Registro!$P$2:$P$500,MATCH(376,Registro!$T$2:$T$500,0)),"")</f>
        <v/>
      </c>
      <c r="H377" s="49" t="str">
        <f>IFERROR(INDEX(Registro!$Q$2:$Q$500,MATCH(376,Registro!$T$2:$T$500,0)),"")</f>
        <v/>
      </c>
    </row>
    <row r="378" spans="1:8" x14ac:dyDescent="0.25">
      <c r="A378" s="49" t="str">
        <f>IFERROR(INDEX(Registro!$E$2:$E$500,MATCH(377,Registro!$T$2:$T$500,0)),"")</f>
        <v/>
      </c>
      <c r="B378" s="49" t="str">
        <f>IFERROR(INDEX(Registro!$F$2:$F$500,MATCH(377,Registro!$T$2:$T$500,0)),"")</f>
        <v/>
      </c>
      <c r="C378" s="49" t="str">
        <f>IFERROR(INDEX(Registro!$G$2:$G$500,MATCH(377,Registro!$T$2:$T$500,0)),"")</f>
        <v/>
      </c>
      <c r="D378" s="49" t="str">
        <f>IFERROR(INDEX(Registro!$H$2:$H$500,MATCH(377,Registro!$T$2:$T$500,0)),"")</f>
        <v/>
      </c>
      <c r="E378" s="50" t="str">
        <f>IFERROR(INDEX(Registro!$C$2:$C$500,MATCH(377,Registro!$T$2:$T$500,0)),"")</f>
        <v/>
      </c>
      <c r="F378" s="49" t="str">
        <f>IFERROR(INDEX(Registro!$B$2:$B$500,MATCH(377,Registro!$T$2:$T$500,0)),"")</f>
        <v/>
      </c>
      <c r="G378" s="49" t="str">
        <f>IFERROR(INDEX(Registro!$P$2:$P$500,MATCH(377,Registro!$T$2:$T$500,0)),"")</f>
        <v/>
      </c>
      <c r="H378" s="49" t="str">
        <f>IFERROR(INDEX(Registro!$Q$2:$Q$500,MATCH(377,Registro!$T$2:$T$500,0)),"")</f>
        <v/>
      </c>
    </row>
    <row r="379" spans="1:8" x14ac:dyDescent="0.25">
      <c r="A379" s="49" t="str">
        <f>IFERROR(INDEX(Registro!$E$2:$E$500,MATCH(378,Registro!$T$2:$T$500,0)),"")</f>
        <v/>
      </c>
      <c r="B379" s="49" t="str">
        <f>IFERROR(INDEX(Registro!$F$2:$F$500,MATCH(378,Registro!$T$2:$T$500,0)),"")</f>
        <v/>
      </c>
      <c r="C379" s="49" t="str">
        <f>IFERROR(INDEX(Registro!$G$2:$G$500,MATCH(378,Registro!$T$2:$T$500,0)),"")</f>
        <v/>
      </c>
      <c r="D379" s="49" t="str">
        <f>IFERROR(INDEX(Registro!$H$2:$H$500,MATCH(378,Registro!$T$2:$T$500,0)),"")</f>
        <v/>
      </c>
      <c r="E379" s="50" t="str">
        <f>IFERROR(INDEX(Registro!$C$2:$C$500,MATCH(378,Registro!$T$2:$T$500,0)),"")</f>
        <v/>
      </c>
      <c r="F379" s="49" t="str">
        <f>IFERROR(INDEX(Registro!$B$2:$B$500,MATCH(378,Registro!$T$2:$T$500,0)),"")</f>
        <v/>
      </c>
      <c r="G379" s="49" t="str">
        <f>IFERROR(INDEX(Registro!$P$2:$P$500,MATCH(378,Registro!$T$2:$T$500,0)),"")</f>
        <v/>
      </c>
      <c r="H379" s="49" t="str">
        <f>IFERROR(INDEX(Registro!$Q$2:$Q$500,MATCH(378,Registro!$T$2:$T$500,0)),"")</f>
        <v/>
      </c>
    </row>
    <row r="380" spans="1:8" x14ac:dyDescent="0.25">
      <c r="A380" s="49" t="str">
        <f>IFERROR(INDEX(Registro!$E$2:$E$500,MATCH(379,Registro!$T$2:$T$500,0)),"")</f>
        <v/>
      </c>
      <c r="B380" s="49" t="str">
        <f>IFERROR(INDEX(Registro!$F$2:$F$500,MATCH(379,Registro!$T$2:$T$500,0)),"")</f>
        <v/>
      </c>
      <c r="C380" s="49" t="str">
        <f>IFERROR(INDEX(Registro!$G$2:$G$500,MATCH(379,Registro!$T$2:$T$500,0)),"")</f>
        <v/>
      </c>
      <c r="D380" s="49" t="str">
        <f>IFERROR(INDEX(Registro!$H$2:$H$500,MATCH(379,Registro!$T$2:$T$500,0)),"")</f>
        <v/>
      </c>
      <c r="E380" s="50" t="str">
        <f>IFERROR(INDEX(Registro!$C$2:$C$500,MATCH(379,Registro!$T$2:$T$500,0)),"")</f>
        <v/>
      </c>
      <c r="F380" s="49" t="str">
        <f>IFERROR(INDEX(Registro!$B$2:$B$500,MATCH(379,Registro!$T$2:$T$500,0)),"")</f>
        <v/>
      </c>
      <c r="G380" s="49" t="str">
        <f>IFERROR(INDEX(Registro!$P$2:$P$500,MATCH(379,Registro!$T$2:$T$500,0)),"")</f>
        <v/>
      </c>
      <c r="H380" s="49" t="str">
        <f>IFERROR(INDEX(Registro!$Q$2:$Q$500,MATCH(379,Registro!$T$2:$T$500,0)),"")</f>
        <v/>
      </c>
    </row>
    <row r="381" spans="1:8" x14ac:dyDescent="0.25">
      <c r="A381" s="49" t="str">
        <f>IFERROR(INDEX(Registro!$E$2:$E$500,MATCH(380,Registro!$T$2:$T$500,0)),"")</f>
        <v/>
      </c>
      <c r="B381" s="49" t="str">
        <f>IFERROR(INDEX(Registro!$F$2:$F$500,MATCH(380,Registro!$T$2:$T$500,0)),"")</f>
        <v/>
      </c>
      <c r="C381" s="49" t="str">
        <f>IFERROR(INDEX(Registro!$G$2:$G$500,MATCH(380,Registro!$T$2:$T$500,0)),"")</f>
        <v/>
      </c>
      <c r="D381" s="49" t="str">
        <f>IFERROR(INDEX(Registro!$H$2:$H$500,MATCH(380,Registro!$T$2:$T$500,0)),"")</f>
        <v/>
      </c>
      <c r="E381" s="50" t="str">
        <f>IFERROR(INDEX(Registro!$C$2:$C$500,MATCH(380,Registro!$T$2:$T$500,0)),"")</f>
        <v/>
      </c>
      <c r="F381" s="49" t="str">
        <f>IFERROR(INDEX(Registro!$B$2:$B$500,MATCH(380,Registro!$T$2:$T$500,0)),"")</f>
        <v/>
      </c>
      <c r="G381" s="49" t="str">
        <f>IFERROR(INDEX(Registro!$P$2:$P$500,MATCH(380,Registro!$T$2:$T$500,0)),"")</f>
        <v/>
      </c>
      <c r="H381" s="49" t="str">
        <f>IFERROR(INDEX(Registro!$Q$2:$Q$500,MATCH(380,Registro!$T$2:$T$500,0)),"")</f>
        <v/>
      </c>
    </row>
    <row r="382" spans="1:8" x14ac:dyDescent="0.25">
      <c r="A382" s="49" t="str">
        <f>IFERROR(INDEX(Registro!$E$2:$E$500,MATCH(381,Registro!$T$2:$T$500,0)),"")</f>
        <v/>
      </c>
      <c r="B382" s="49" t="str">
        <f>IFERROR(INDEX(Registro!$F$2:$F$500,MATCH(381,Registro!$T$2:$T$500,0)),"")</f>
        <v/>
      </c>
      <c r="C382" s="49" t="str">
        <f>IFERROR(INDEX(Registro!$G$2:$G$500,MATCH(381,Registro!$T$2:$T$500,0)),"")</f>
        <v/>
      </c>
      <c r="D382" s="49" t="str">
        <f>IFERROR(INDEX(Registro!$H$2:$H$500,MATCH(381,Registro!$T$2:$T$500,0)),"")</f>
        <v/>
      </c>
      <c r="E382" s="50" t="str">
        <f>IFERROR(INDEX(Registro!$C$2:$C$500,MATCH(381,Registro!$T$2:$T$500,0)),"")</f>
        <v/>
      </c>
      <c r="F382" s="49" t="str">
        <f>IFERROR(INDEX(Registro!$B$2:$B$500,MATCH(381,Registro!$T$2:$T$500,0)),"")</f>
        <v/>
      </c>
      <c r="G382" s="49" t="str">
        <f>IFERROR(INDEX(Registro!$P$2:$P$500,MATCH(381,Registro!$T$2:$T$500,0)),"")</f>
        <v/>
      </c>
      <c r="H382" s="49" t="str">
        <f>IFERROR(INDEX(Registro!$Q$2:$Q$500,MATCH(381,Registro!$T$2:$T$500,0)),"")</f>
        <v/>
      </c>
    </row>
    <row r="383" spans="1:8" x14ac:dyDescent="0.25">
      <c r="A383" s="49" t="str">
        <f>IFERROR(INDEX(Registro!$E$2:$E$500,MATCH(382,Registro!$T$2:$T$500,0)),"")</f>
        <v/>
      </c>
      <c r="B383" s="49" t="str">
        <f>IFERROR(INDEX(Registro!$F$2:$F$500,MATCH(382,Registro!$T$2:$T$500,0)),"")</f>
        <v/>
      </c>
      <c r="C383" s="49" t="str">
        <f>IFERROR(INDEX(Registro!$G$2:$G$500,MATCH(382,Registro!$T$2:$T$500,0)),"")</f>
        <v/>
      </c>
      <c r="D383" s="49" t="str">
        <f>IFERROR(INDEX(Registro!$H$2:$H$500,MATCH(382,Registro!$T$2:$T$500,0)),"")</f>
        <v/>
      </c>
      <c r="E383" s="50" t="str">
        <f>IFERROR(INDEX(Registro!$C$2:$C$500,MATCH(382,Registro!$T$2:$T$500,0)),"")</f>
        <v/>
      </c>
      <c r="F383" s="49" t="str">
        <f>IFERROR(INDEX(Registro!$B$2:$B$500,MATCH(382,Registro!$T$2:$T$500,0)),"")</f>
        <v/>
      </c>
      <c r="G383" s="49" t="str">
        <f>IFERROR(INDEX(Registro!$P$2:$P$500,MATCH(382,Registro!$T$2:$T$500,0)),"")</f>
        <v/>
      </c>
      <c r="H383" s="49" t="str">
        <f>IFERROR(INDEX(Registro!$Q$2:$Q$500,MATCH(382,Registro!$T$2:$T$500,0)),"")</f>
        <v/>
      </c>
    </row>
    <row r="384" spans="1:8" x14ac:dyDescent="0.25">
      <c r="A384" s="49" t="str">
        <f>IFERROR(INDEX(Registro!$E$2:$E$500,MATCH(383,Registro!$T$2:$T$500,0)),"")</f>
        <v/>
      </c>
      <c r="B384" s="49" t="str">
        <f>IFERROR(INDEX(Registro!$F$2:$F$500,MATCH(383,Registro!$T$2:$T$500,0)),"")</f>
        <v/>
      </c>
      <c r="C384" s="49" t="str">
        <f>IFERROR(INDEX(Registro!$G$2:$G$500,MATCH(383,Registro!$T$2:$T$500,0)),"")</f>
        <v/>
      </c>
      <c r="D384" s="49" t="str">
        <f>IFERROR(INDEX(Registro!$H$2:$H$500,MATCH(383,Registro!$T$2:$T$500,0)),"")</f>
        <v/>
      </c>
      <c r="E384" s="50" t="str">
        <f>IFERROR(INDEX(Registro!$C$2:$C$500,MATCH(383,Registro!$T$2:$T$500,0)),"")</f>
        <v/>
      </c>
      <c r="F384" s="49" t="str">
        <f>IFERROR(INDEX(Registro!$B$2:$B$500,MATCH(383,Registro!$T$2:$T$500,0)),"")</f>
        <v/>
      </c>
      <c r="G384" s="49" t="str">
        <f>IFERROR(INDEX(Registro!$P$2:$P$500,MATCH(383,Registro!$T$2:$T$500,0)),"")</f>
        <v/>
      </c>
      <c r="H384" s="49" t="str">
        <f>IFERROR(INDEX(Registro!$Q$2:$Q$500,MATCH(383,Registro!$T$2:$T$500,0)),"")</f>
        <v/>
      </c>
    </row>
    <row r="385" spans="1:8" x14ac:dyDescent="0.25">
      <c r="A385" s="49" t="str">
        <f>IFERROR(INDEX(Registro!$E$2:$E$500,MATCH(384,Registro!$T$2:$T$500,0)),"")</f>
        <v/>
      </c>
      <c r="B385" s="49" t="str">
        <f>IFERROR(INDEX(Registro!$F$2:$F$500,MATCH(384,Registro!$T$2:$T$500,0)),"")</f>
        <v/>
      </c>
      <c r="C385" s="49" t="str">
        <f>IFERROR(INDEX(Registro!$G$2:$G$500,MATCH(384,Registro!$T$2:$T$500,0)),"")</f>
        <v/>
      </c>
      <c r="D385" s="49" t="str">
        <f>IFERROR(INDEX(Registro!$H$2:$H$500,MATCH(384,Registro!$T$2:$T$500,0)),"")</f>
        <v/>
      </c>
      <c r="E385" s="50" t="str">
        <f>IFERROR(INDEX(Registro!$C$2:$C$500,MATCH(384,Registro!$T$2:$T$500,0)),"")</f>
        <v/>
      </c>
      <c r="F385" s="49" t="str">
        <f>IFERROR(INDEX(Registro!$B$2:$B$500,MATCH(384,Registro!$T$2:$T$500,0)),"")</f>
        <v/>
      </c>
      <c r="G385" s="49" t="str">
        <f>IFERROR(INDEX(Registro!$P$2:$P$500,MATCH(384,Registro!$T$2:$T$500,0)),"")</f>
        <v/>
      </c>
      <c r="H385" s="49" t="str">
        <f>IFERROR(INDEX(Registro!$Q$2:$Q$500,MATCH(384,Registro!$T$2:$T$500,0)),"")</f>
        <v/>
      </c>
    </row>
    <row r="386" spans="1:8" x14ac:dyDescent="0.25">
      <c r="A386" s="49" t="str">
        <f>IFERROR(INDEX(Registro!$E$2:$E$500,MATCH(385,Registro!$T$2:$T$500,0)),"")</f>
        <v/>
      </c>
      <c r="B386" s="49" t="str">
        <f>IFERROR(INDEX(Registro!$F$2:$F$500,MATCH(385,Registro!$T$2:$T$500,0)),"")</f>
        <v/>
      </c>
      <c r="C386" s="49" t="str">
        <f>IFERROR(INDEX(Registro!$G$2:$G$500,MATCH(385,Registro!$T$2:$T$500,0)),"")</f>
        <v/>
      </c>
      <c r="D386" s="49" t="str">
        <f>IFERROR(INDEX(Registro!$H$2:$H$500,MATCH(385,Registro!$T$2:$T$500,0)),"")</f>
        <v/>
      </c>
      <c r="E386" s="50" t="str">
        <f>IFERROR(INDEX(Registro!$C$2:$C$500,MATCH(385,Registro!$T$2:$T$500,0)),"")</f>
        <v/>
      </c>
      <c r="F386" s="49" t="str">
        <f>IFERROR(INDEX(Registro!$B$2:$B$500,MATCH(385,Registro!$T$2:$T$500,0)),"")</f>
        <v/>
      </c>
      <c r="G386" s="49" t="str">
        <f>IFERROR(INDEX(Registro!$P$2:$P$500,MATCH(385,Registro!$T$2:$T$500,0)),"")</f>
        <v/>
      </c>
      <c r="H386" s="49" t="str">
        <f>IFERROR(INDEX(Registro!$Q$2:$Q$500,MATCH(385,Registro!$T$2:$T$500,0)),"")</f>
        <v/>
      </c>
    </row>
    <row r="387" spans="1:8" x14ac:dyDescent="0.25">
      <c r="A387" s="49" t="str">
        <f>IFERROR(INDEX(Registro!$E$2:$E$500,MATCH(386,Registro!$T$2:$T$500,0)),"")</f>
        <v/>
      </c>
      <c r="B387" s="49" t="str">
        <f>IFERROR(INDEX(Registro!$F$2:$F$500,MATCH(386,Registro!$T$2:$T$500,0)),"")</f>
        <v/>
      </c>
      <c r="C387" s="49" t="str">
        <f>IFERROR(INDEX(Registro!$G$2:$G$500,MATCH(386,Registro!$T$2:$T$500,0)),"")</f>
        <v/>
      </c>
      <c r="D387" s="49" t="str">
        <f>IFERROR(INDEX(Registro!$H$2:$H$500,MATCH(386,Registro!$T$2:$T$500,0)),"")</f>
        <v/>
      </c>
      <c r="E387" s="50" t="str">
        <f>IFERROR(INDEX(Registro!$C$2:$C$500,MATCH(386,Registro!$T$2:$T$500,0)),"")</f>
        <v/>
      </c>
      <c r="F387" s="49" t="str">
        <f>IFERROR(INDEX(Registro!$B$2:$B$500,MATCH(386,Registro!$T$2:$T$500,0)),"")</f>
        <v/>
      </c>
      <c r="G387" s="49" t="str">
        <f>IFERROR(INDEX(Registro!$P$2:$P$500,MATCH(386,Registro!$T$2:$T$500,0)),"")</f>
        <v/>
      </c>
      <c r="H387" s="49" t="str">
        <f>IFERROR(INDEX(Registro!$Q$2:$Q$500,MATCH(386,Registro!$T$2:$T$500,0)),"")</f>
        <v/>
      </c>
    </row>
    <row r="388" spans="1:8" x14ac:dyDescent="0.25">
      <c r="A388" s="49" t="str">
        <f>IFERROR(INDEX(Registro!$E$2:$E$500,MATCH(387,Registro!$T$2:$T$500,0)),"")</f>
        <v/>
      </c>
      <c r="B388" s="49" t="str">
        <f>IFERROR(INDEX(Registro!$F$2:$F$500,MATCH(387,Registro!$T$2:$T$500,0)),"")</f>
        <v/>
      </c>
      <c r="C388" s="49" t="str">
        <f>IFERROR(INDEX(Registro!$G$2:$G$500,MATCH(387,Registro!$T$2:$T$500,0)),"")</f>
        <v/>
      </c>
      <c r="D388" s="49" t="str">
        <f>IFERROR(INDEX(Registro!$H$2:$H$500,MATCH(387,Registro!$T$2:$T$500,0)),"")</f>
        <v/>
      </c>
      <c r="E388" s="50" t="str">
        <f>IFERROR(INDEX(Registro!$C$2:$C$500,MATCH(387,Registro!$T$2:$T$500,0)),"")</f>
        <v/>
      </c>
      <c r="F388" s="49" t="str">
        <f>IFERROR(INDEX(Registro!$B$2:$B$500,MATCH(387,Registro!$T$2:$T$500,0)),"")</f>
        <v/>
      </c>
      <c r="G388" s="49" t="str">
        <f>IFERROR(INDEX(Registro!$P$2:$P$500,MATCH(387,Registro!$T$2:$T$500,0)),"")</f>
        <v/>
      </c>
      <c r="H388" s="49" t="str">
        <f>IFERROR(INDEX(Registro!$Q$2:$Q$500,MATCH(387,Registro!$T$2:$T$500,0)),"")</f>
        <v/>
      </c>
    </row>
    <row r="389" spans="1:8" x14ac:dyDescent="0.25">
      <c r="A389" s="49" t="str">
        <f>IFERROR(INDEX(Registro!$E$2:$E$500,MATCH(388,Registro!$T$2:$T$500,0)),"")</f>
        <v/>
      </c>
      <c r="B389" s="49" t="str">
        <f>IFERROR(INDEX(Registro!$F$2:$F$500,MATCH(388,Registro!$T$2:$T$500,0)),"")</f>
        <v/>
      </c>
      <c r="C389" s="49" t="str">
        <f>IFERROR(INDEX(Registro!$G$2:$G$500,MATCH(388,Registro!$T$2:$T$500,0)),"")</f>
        <v/>
      </c>
      <c r="D389" s="49" t="str">
        <f>IFERROR(INDEX(Registro!$H$2:$H$500,MATCH(388,Registro!$T$2:$T$500,0)),"")</f>
        <v/>
      </c>
      <c r="E389" s="50" t="str">
        <f>IFERROR(INDEX(Registro!$C$2:$C$500,MATCH(388,Registro!$T$2:$T$500,0)),"")</f>
        <v/>
      </c>
      <c r="F389" s="49" t="str">
        <f>IFERROR(INDEX(Registro!$B$2:$B$500,MATCH(388,Registro!$T$2:$T$500,0)),"")</f>
        <v/>
      </c>
      <c r="G389" s="49" t="str">
        <f>IFERROR(INDEX(Registro!$P$2:$P$500,MATCH(388,Registro!$T$2:$T$500,0)),"")</f>
        <v/>
      </c>
      <c r="H389" s="49" t="str">
        <f>IFERROR(INDEX(Registro!$Q$2:$Q$500,MATCH(388,Registro!$T$2:$T$500,0)),"")</f>
        <v/>
      </c>
    </row>
    <row r="390" spans="1:8" x14ac:dyDescent="0.25">
      <c r="A390" s="49" t="str">
        <f>IFERROR(INDEX(Registro!$E$2:$E$500,MATCH(389,Registro!$T$2:$T$500,0)),"")</f>
        <v/>
      </c>
      <c r="B390" s="49" t="str">
        <f>IFERROR(INDEX(Registro!$F$2:$F$500,MATCH(389,Registro!$T$2:$T$500,0)),"")</f>
        <v/>
      </c>
      <c r="C390" s="49" t="str">
        <f>IFERROR(INDEX(Registro!$G$2:$G$500,MATCH(389,Registro!$T$2:$T$500,0)),"")</f>
        <v/>
      </c>
      <c r="D390" s="49" t="str">
        <f>IFERROR(INDEX(Registro!$H$2:$H$500,MATCH(389,Registro!$T$2:$T$500,0)),"")</f>
        <v/>
      </c>
      <c r="E390" s="50" t="str">
        <f>IFERROR(INDEX(Registro!$C$2:$C$500,MATCH(389,Registro!$T$2:$T$500,0)),"")</f>
        <v/>
      </c>
      <c r="F390" s="49" t="str">
        <f>IFERROR(INDEX(Registro!$B$2:$B$500,MATCH(389,Registro!$T$2:$T$500,0)),"")</f>
        <v/>
      </c>
      <c r="G390" s="49" t="str">
        <f>IFERROR(INDEX(Registro!$P$2:$P$500,MATCH(389,Registro!$T$2:$T$500,0)),"")</f>
        <v/>
      </c>
      <c r="H390" s="49" t="str">
        <f>IFERROR(INDEX(Registro!$Q$2:$Q$500,MATCH(389,Registro!$T$2:$T$500,0)),"")</f>
        <v/>
      </c>
    </row>
    <row r="391" spans="1:8" x14ac:dyDescent="0.25">
      <c r="A391" s="49" t="str">
        <f>IFERROR(INDEX(Registro!$E$2:$E$500,MATCH(390,Registro!$T$2:$T$500,0)),"")</f>
        <v/>
      </c>
      <c r="B391" s="49" t="str">
        <f>IFERROR(INDEX(Registro!$F$2:$F$500,MATCH(390,Registro!$T$2:$T$500,0)),"")</f>
        <v/>
      </c>
      <c r="C391" s="49" t="str">
        <f>IFERROR(INDEX(Registro!$G$2:$G$500,MATCH(390,Registro!$T$2:$T$500,0)),"")</f>
        <v/>
      </c>
      <c r="D391" s="49" t="str">
        <f>IFERROR(INDEX(Registro!$H$2:$H$500,MATCH(390,Registro!$T$2:$T$500,0)),"")</f>
        <v/>
      </c>
      <c r="E391" s="50" t="str">
        <f>IFERROR(INDEX(Registro!$C$2:$C$500,MATCH(390,Registro!$T$2:$T$500,0)),"")</f>
        <v/>
      </c>
      <c r="F391" s="49" t="str">
        <f>IFERROR(INDEX(Registro!$B$2:$B$500,MATCH(390,Registro!$T$2:$T$500,0)),"")</f>
        <v/>
      </c>
      <c r="G391" s="49" t="str">
        <f>IFERROR(INDEX(Registro!$P$2:$P$500,MATCH(390,Registro!$T$2:$T$500,0)),"")</f>
        <v/>
      </c>
      <c r="H391" s="49" t="str">
        <f>IFERROR(INDEX(Registro!$Q$2:$Q$500,MATCH(390,Registro!$T$2:$T$500,0)),"")</f>
        <v/>
      </c>
    </row>
    <row r="392" spans="1:8" x14ac:dyDescent="0.25">
      <c r="A392" s="49" t="str">
        <f>IFERROR(INDEX(Registro!$E$2:$E$500,MATCH(391,Registro!$T$2:$T$500,0)),"")</f>
        <v/>
      </c>
      <c r="B392" s="49" t="str">
        <f>IFERROR(INDEX(Registro!$F$2:$F$500,MATCH(391,Registro!$T$2:$T$500,0)),"")</f>
        <v/>
      </c>
      <c r="C392" s="49" t="str">
        <f>IFERROR(INDEX(Registro!$G$2:$G$500,MATCH(391,Registro!$T$2:$T$500,0)),"")</f>
        <v/>
      </c>
      <c r="D392" s="49" t="str">
        <f>IFERROR(INDEX(Registro!$H$2:$H$500,MATCH(391,Registro!$T$2:$T$500,0)),"")</f>
        <v/>
      </c>
      <c r="E392" s="50" t="str">
        <f>IFERROR(INDEX(Registro!$C$2:$C$500,MATCH(391,Registro!$T$2:$T$500,0)),"")</f>
        <v/>
      </c>
      <c r="F392" s="49" t="str">
        <f>IFERROR(INDEX(Registro!$B$2:$B$500,MATCH(391,Registro!$T$2:$T$500,0)),"")</f>
        <v/>
      </c>
      <c r="G392" s="49" t="str">
        <f>IFERROR(INDEX(Registro!$P$2:$P$500,MATCH(391,Registro!$T$2:$T$500,0)),"")</f>
        <v/>
      </c>
      <c r="H392" s="49" t="str">
        <f>IFERROR(INDEX(Registro!$Q$2:$Q$500,MATCH(391,Registro!$T$2:$T$500,0)),"")</f>
        <v/>
      </c>
    </row>
    <row r="393" spans="1:8" x14ac:dyDescent="0.25">
      <c r="A393" s="49" t="str">
        <f>IFERROR(INDEX(Registro!$E$2:$E$500,MATCH(392,Registro!$T$2:$T$500,0)),"")</f>
        <v/>
      </c>
      <c r="B393" s="49" t="str">
        <f>IFERROR(INDEX(Registro!$F$2:$F$500,MATCH(392,Registro!$T$2:$T$500,0)),"")</f>
        <v/>
      </c>
      <c r="C393" s="49" t="str">
        <f>IFERROR(INDEX(Registro!$G$2:$G$500,MATCH(392,Registro!$T$2:$T$500,0)),"")</f>
        <v/>
      </c>
      <c r="D393" s="49" t="str">
        <f>IFERROR(INDEX(Registro!$H$2:$H$500,MATCH(392,Registro!$T$2:$T$500,0)),"")</f>
        <v/>
      </c>
      <c r="E393" s="50" t="str">
        <f>IFERROR(INDEX(Registro!$C$2:$C$500,MATCH(392,Registro!$T$2:$T$500,0)),"")</f>
        <v/>
      </c>
      <c r="F393" s="49" t="str">
        <f>IFERROR(INDEX(Registro!$B$2:$B$500,MATCH(392,Registro!$T$2:$T$500,0)),"")</f>
        <v/>
      </c>
      <c r="G393" s="49" t="str">
        <f>IFERROR(INDEX(Registro!$P$2:$P$500,MATCH(392,Registro!$T$2:$T$500,0)),"")</f>
        <v/>
      </c>
      <c r="H393" s="49" t="str">
        <f>IFERROR(INDEX(Registro!$Q$2:$Q$500,MATCH(392,Registro!$T$2:$T$500,0)),"")</f>
        <v/>
      </c>
    </row>
    <row r="394" spans="1:8" x14ac:dyDescent="0.25">
      <c r="A394" s="49" t="str">
        <f>IFERROR(INDEX(Registro!$E$2:$E$500,MATCH(393,Registro!$T$2:$T$500,0)),"")</f>
        <v/>
      </c>
      <c r="B394" s="49" t="str">
        <f>IFERROR(INDEX(Registro!$F$2:$F$500,MATCH(393,Registro!$T$2:$T$500,0)),"")</f>
        <v/>
      </c>
      <c r="C394" s="49" t="str">
        <f>IFERROR(INDEX(Registro!$G$2:$G$500,MATCH(393,Registro!$T$2:$T$500,0)),"")</f>
        <v/>
      </c>
      <c r="D394" s="49" t="str">
        <f>IFERROR(INDEX(Registro!$H$2:$H$500,MATCH(393,Registro!$T$2:$T$500,0)),"")</f>
        <v/>
      </c>
      <c r="E394" s="50" t="str">
        <f>IFERROR(INDEX(Registro!$C$2:$C$500,MATCH(393,Registro!$T$2:$T$500,0)),"")</f>
        <v/>
      </c>
      <c r="F394" s="49" t="str">
        <f>IFERROR(INDEX(Registro!$B$2:$B$500,MATCH(393,Registro!$T$2:$T$500,0)),"")</f>
        <v/>
      </c>
      <c r="G394" s="49" t="str">
        <f>IFERROR(INDEX(Registro!$P$2:$P$500,MATCH(393,Registro!$T$2:$T$500,0)),"")</f>
        <v/>
      </c>
      <c r="H394" s="49" t="str">
        <f>IFERROR(INDEX(Registro!$Q$2:$Q$500,MATCH(393,Registro!$T$2:$T$500,0)),"")</f>
        <v/>
      </c>
    </row>
    <row r="395" spans="1:8" x14ac:dyDescent="0.25">
      <c r="A395" s="49" t="str">
        <f>IFERROR(INDEX(Registro!$E$2:$E$500,MATCH(394,Registro!$T$2:$T$500,0)),"")</f>
        <v/>
      </c>
      <c r="B395" s="49" t="str">
        <f>IFERROR(INDEX(Registro!$F$2:$F$500,MATCH(394,Registro!$T$2:$T$500,0)),"")</f>
        <v/>
      </c>
      <c r="C395" s="49" t="str">
        <f>IFERROR(INDEX(Registro!$G$2:$G$500,MATCH(394,Registro!$T$2:$T$500,0)),"")</f>
        <v/>
      </c>
      <c r="D395" s="49" t="str">
        <f>IFERROR(INDEX(Registro!$H$2:$H$500,MATCH(394,Registro!$T$2:$T$500,0)),"")</f>
        <v/>
      </c>
      <c r="E395" s="50" t="str">
        <f>IFERROR(INDEX(Registro!$C$2:$C$500,MATCH(394,Registro!$T$2:$T$500,0)),"")</f>
        <v/>
      </c>
      <c r="F395" s="49" t="str">
        <f>IFERROR(INDEX(Registro!$B$2:$B$500,MATCH(394,Registro!$T$2:$T$500,0)),"")</f>
        <v/>
      </c>
      <c r="G395" s="49" t="str">
        <f>IFERROR(INDEX(Registro!$P$2:$P$500,MATCH(394,Registro!$T$2:$T$500,0)),"")</f>
        <v/>
      </c>
      <c r="H395" s="49" t="str">
        <f>IFERROR(INDEX(Registro!$Q$2:$Q$500,MATCH(394,Registro!$T$2:$T$500,0)),"")</f>
        <v/>
      </c>
    </row>
    <row r="396" spans="1:8" x14ac:dyDescent="0.25">
      <c r="A396" s="49" t="str">
        <f>IFERROR(INDEX(Registro!$E$2:$E$500,MATCH(395,Registro!$T$2:$T$500,0)),"")</f>
        <v/>
      </c>
      <c r="B396" s="49" t="str">
        <f>IFERROR(INDEX(Registro!$F$2:$F$500,MATCH(395,Registro!$T$2:$T$500,0)),"")</f>
        <v/>
      </c>
      <c r="C396" s="49" t="str">
        <f>IFERROR(INDEX(Registro!$G$2:$G$500,MATCH(395,Registro!$T$2:$T$500,0)),"")</f>
        <v/>
      </c>
      <c r="D396" s="49" t="str">
        <f>IFERROR(INDEX(Registro!$H$2:$H$500,MATCH(395,Registro!$T$2:$T$500,0)),"")</f>
        <v/>
      </c>
      <c r="E396" s="50" t="str">
        <f>IFERROR(INDEX(Registro!$C$2:$C$500,MATCH(395,Registro!$T$2:$T$500,0)),"")</f>
        <v/>
      </c>
      <c r="F396" s="49" t="str">
        <f>IFERROR(INDEX(Registro!$B$2:$B$500,MATCH(395,Registro!$T$2:$T$500,0)),"")</f>
        <v/>
      </c>
      <c r="G396" s="49" t="str">
        <f>IFERROR(INDEX(Registro!$P$2:$P$500,MATCH(395,Registro!$T$2:$T$500,0)),"")</f>
        <v/>
      </c>
      <c r="H396" s="49" t="str">
        <f>IFERROR(INDEX(Registro!$Q$2:$Q$500,MATCH(395,Registro!$T$2:$T$500,0)),"")</f>
        <v/>
      </c>
    </row>
    <row r="397" spans="1:8" x14ac:dyDescent="0.25">
      <c r="A397" s="49" t="str">
        <f>IFERROR(INDEX(Registro!$E$2:$E$500,MATCH(396,Registro!$T$2:$T$500,0)),"")</f>
        <v/>
      </c>
      <c r="B397" s="49" t="str">
        <f>IFERROR(INDEX(Registro!$F$2:$F$500,MATCH(396,Registro!$T$2:$T$500,0)),"")</f>
        <v/>
      </c>
      <c r="C397" s="49" t="str">
        <f>IFERROR(INDEX(Registro!$G$2:$G$500,MATCH(396,Registro!$T$2:$T$500,0)),"")</f>
        <v/>
      </c>
      <c r="D397" s="49" t="str">
        <f>IFERROR(INDEX(Registro!$H$2:$H$500,MATCH(396,Registro!$T$2:$T$500,0)),"")</f>
        <v/>
      </c>
      <c r="E397" s="50" t="str">
        <f>IFERROR(INDEX(Registro!$C$2:$C$500,MATCH(396,Registro!$T$2:$T$500,0)),"")</f>
        <v/>
      </c>
      <c r="F397" s="49" t="str">
        <f>IFERROR(INDEX(Registro!$B$2:$B$500,MATCH(396,Registro!$T$2:$T$500,0)),"")</f>
        <v/>
      </c>
      <c r="G397" s="49" t="str">
        <f>IFERROR(INDEX(Registro!$P$2:$P$500,MATCH(396,Registro!$T$2:$T$500,0)),"")</f>
        <v/>
      </c>
      <c r="H397" s="49" t="str">
        <f>IFERROR(INDEX(Registro!$Q$2:$Q$500,MATCH(396,Registro!$T$2:$T$500,0)),"")</f>
        <v/>
      </c>
    </row>
    <row r="398" spans="1:8" x14ac:dyDescent="0.25">
      <c r="A398" s="49" t="str">
        <f>IFERROR(INDEX(Registro!$E$2:$E$500,MATCH(397,Registro!$T$2:$T$500,0)),"")</f>
        <v/>
      </c>
      <c r="B398" s="49" t="str">
        <f>IFERROR(INDEX(Registro!$F$2:$F$500,MATCH(397,Registro!$T$2:$T$500,0)),"")</f>
        <v/>
      </c>
      <c r="C398" s="49" t="str">
        <f>IFERROR(INDEX(Registro!$G$2:$G$500,MATCH(397,Registro!$T$2:$T$500,0)),"")</f>
        <v/>
      </c>
      <c r="D398" s="49" t="str">
        <f>IFERROR(INDEX(Registro!$H$2:$H$500,MATCH(397,Registro!$T$2:$T$500,0)),"")</f>
        <v/>
      </c>
      <c r="E398" s="50" t="str">
        <f>IFERROR(INDEX(Registro!$C$2:$C$500,MATCH(397,Registro!$T$2:$T$500,0)),"")</f>
        <v/>
      </c>
      <c r="F398" s="49" t="str">
        <f>IFERROR(INDEX(Registro!$B$2:$B$500,MATCH(397,Registro!$T$2:$T$500,0)),"")</f>
        <v/>
      </c>
      <c r="G398" s="49" t="str">
        <f>IFERROR(INDEX(Registro!$P$2:$P$500,MATCH(397,Registro!$T$2:$T$500,0)),"")</f>
        <v/>
      </c>
      <c r="H398" s="49" t="str">
        <f>IFERROR(INDEX(Registro!$Q$2:$Q$500,MATCH(397,Registro!$T$2:$T$500,0)),"")</f>
        <v/>
      </c>
    </row>
    <row r="399" spans="1:8" x14ac:dyDescent="0.25">
      <c r="A399" s="49" t="str">
        <f>IFERROR(INDEX(Registro!$E$2:$E$500,MATCH(398,Registro!$T$2:$T$500,0)),"")</f>
        <v/>
      </c>
      <c r="B399" s="49" t="str">
        <f>IFERROR(INDEX(Registro!$F$2:$F$500,MATCH(398,Registro!$T$2:$T$500,0)),"")</f>
        <v/>
      </c>
      <c r="C399" s="49" t="str">
        <f>IFERROR(INDEX(Registro!$G$2:$G$500,MATCH(398,Registro!$T$2:$T$500,0)),"")</f>
        <v/>
      </c>
      <c r="D399" s="49" t="str">
        <f>IFERROR(INDEX(Registro!$H$2:$H$500,MATCH(398,Registro!$T$2:$T$500,0)),"")</f>
        <v/>
      </c>
      <c r="E399" s="50" t="str">
        <f>IFERROR(INDEX(Registro!$C$2:$C$500,MATCH(398,Registro!$T$2:$T$500,0)),"")</f>
        <v/>
      </c>
      <c r="F399" s="49" t="str">
        <f>IFERROR(INDEX(Registro!$B$2:$B$500,MATCH(398,Registro!$T$2:$T$500,0)),"")</f>
        <v/>
      </c>
      <c r="G399" s="49" t="str">
        <f>IFERROR(INDEX(Registro!$P$2:$P$500,MATCH(398,Registro!$T$2:$T$500,0)),"")</f>
        <v/>
      </c>
      <c r="H399" s="49" t="str">
        <f>IFERROR(INDEX(Registro!$Q$2:$Q$500,MATCH(398,Registro!$T$2:$T$500,0)),"")</f>
        <v/>
      </c>
    </row>
    <row r="400" spans="1:8" x14ac:dyDescent="0.25">
      <c r="A400" s="49" t="str">
        <f>IFERROR(INDEX(Registro!$E$2:$E$500,MATCH(399,Registro!$T$2:$T$500,0)),"")</f>
        <v/>
      </c>
      <c r="B400" s="49" t="str">
        <f>IFERROR(INDEX(Registro!$F$2:$F$500,MATCH(399,Registro!$T$2:$T$500,0)),"")</f>
        <v/>
      </c>
      <c r="C400" s="49" t="str">
        <f>IFERROR(INDEX(Registro!$G$2:$G$500,MATCH(399,Registro!$T$2:$T$500,0)),"")</f>
        <v/>
      </c>
      <c r="D400" s="49" t="str">
        <f>IFERROR(INDEX(Registro!$H$2:$H$500,MATCH(399,Registro!$T$2:$T$500,0)),"")</f>
        <v/>
      </c>
      <c r="E400" s="50" t="str">
        <f>IFERROR(INDEX(Registro!$C$2:$C$500,MATCH(399,Registro!$T$2:$T$500,0)),"")</f>
        <v/>
      </c>
      <c r="F400" s="49" t="str">
        <f>IFERROR(INDEX(Registro!$B$2:$B$500,MATCH(399,Registro!$T$2:$T$500,0)),"")</f>
        <v/>
      </c>
      <c r="G400" s="49" t="str">
        <f>IFERROR(INDEX(Registro!$P$2:$P$500,MATCH(399,Registro!$T$2:$T$500,0)),"")</f>
        <v/>
      </c>
      <c r="H400" s="49" t="str">
        <f>IFERROR(INDEX(Registro!$Q$2:$Q$500,MATCH(399,Registro!$T$2:$T$500,0)),"")</f>
        <v/>
      </c>
    </row>
    <row r="401" spans="1:8" x14ac:dyDescent="0.25">
      <c r="A401" s="49" t="str">
        <f>IFERROR(INDEX(Registro!$E$2:$E$500,MATCH(400,Registro!$T$2:$T$500,0)),"")</f>
        <v/>
      </c>
      <c r="B401" s="49" t="str">
        <f>IFERROR(INDEX(Registro!$F$2:$F$500,MATCH(400,Registro!$T$2:$T$500,0)),"")</f>
        <v/>
      </c>
      <c r="C401" s="49" t="str">
        <f>IFERROR(INDEX(Registro!$G$2:$G$500,MATCH(400,Registro!$T$2:$T$500,0)),"")</f>
        <v/>
      </c>
      <c r="D401" s="49" t="str">
        <f>IFERROR(INDEX(Registro!$H$2:$H$500,MATCH(400,Registro!$T$2:$T$500,0)),"")</f>
        <v/>
      </c>
      <c r="E401" s="50" t="str">
        <f>IFERROR(INDEX(Registro!$C$2:$C$500,MATCH(400,Registro!$T$2:$T$500,0)),"")</f>
        <v/>
      </c>
      <c r="F401" s="49" t="str">
        <f>IFERROR(INDEX(Registro!$B$2:$B$500,MATCH(400,Registro!$T$2:$T$500,0)),"")</f>
        <v/>
      </c>
      <c r="G401" s="49" t="str">
        <f>IFERROR(INDEX(Registro!$P$2:$P$500,MATCH(400,Registro!$T$2:$T$500,0)),"")</f>
        <v/>
      </c>
      <c r="H401" s="49" t="str">
        <f>IFERROR(INDEX(Registro!$Q$2:$Q$500,MATCH(400,Registro!$T$2:$T$500,0)),"")</f>
        <v/>
      </c>
    </row>
    <row r="402" spans="1:8" x14ac:dyDescent="0.25">
      <c r="A402" s="49" t="str">
        <f>IFERROR(INDEX(Registro!$E$2:$E$500,MATCH(401,Registro!$T$2:$T$500,0)),"")</f>
        <v/>
      </c>
      <c r="B402" s="49" t="str">
        <f>IFERROR(INDEX(Registro!$F$2:$F$500,MATCH(401,Registro!$T$2:$T$500,0)),"")</f>
        <v/>
      </c>
      <c r="C402" s="49" t="str">
        <f>IFERROR(INDEX(Registro!$G$2:$G$500,MATCH(401,Registro!$T$2:$T$500,0)),"")</f>
        <v/>
      </c>
      <c r="D402" s="49" t="str">
        <f>IFERROR(INDEX(Registro!$H$2:$H$500,MATCH(401,Registro!$T$2:$T$500,0)),"")</f>
        <v/>
      </c>
      <c r="E402" s="50" t="str">
        <f>IFERROR(INDEX(Registro!$C$2:$C$500,MATCH(401,Registro!$T$2:$T$500,0)),"")</f>
        <v/>
      </c>
      <c r="F402" s="49" t="str">
        <f>IFERROR(INDEX(Registro!$B$2:$B$500,MATCH(401,Registro!$T$2:$T$500,0)),"")</f>
        <v/>
      </c>
      <c r="G402" s="49" t="str">
        <f>IFERROR(INDEX(Registro!$P$2:$P$500,MATCH(401,Registro!$T$2:$T$500,0)),"")</f>
        <v/>
      </c>
      <c r="H402" s="49" t="str">
        <f>IFERROR(INDEX(Registro!$Q$2:$Q$500,MATCH(401,Registro!$T$2:$T$500,0)),"")</f>
        <v/>
      </c>
    </row>
    <row r="403" spans="1:8" x14ac:dyDescent="0.25">
      <c r="A403" s="49" t="str">
        <f>IFERROR(INDEX(Registro!$E$2:$E$500,MATCH(402,Registro!$T$2:$T$500,0)),"")</f>
        <v/>
      </c>
      <c r="B403" s="49" t="str">
        <f>IFERROR(INDEX(Registro!$F$2:$F$500,MATCH(402,Registro!$T$2:$T$500,0)),"")</f>
        <v/>
      </c>
      <c r="C403" s="49" t="str">
        <f>IFERROR(INDEX(Registro!$G$2:$G$500,MATCH(402,Registro!$T$2:$T$500,0)),"")</f>
        <v/>
      </c>
      <c r="D403" s="49" t="str">
        <f>IFERROR(INDEX(Registro!$H$2:$H$500,MATCH(402,Registro!$T$2:$T$500,0)),"")</f>
        <v/>
      </c>
      <c r="E403" s="50" t="str">
        <f>IFERROR(INDEX(Registro!$C$2:$C$500,MATCH(402,Registro!$T$2:$T$500,0)),"")</f>
        <v/>
      </c>
      <c r="F403" s="49" t="str">
        <f>IFERROR(INDEX(Registro!$B$2:$B$500,MATCH(402,Registro!$T$2:$T$500,0)),"")</f>
        <v/>
      </c>
      <c r="G403" s="49" t="str">
        <f>IFERROR(INDEX(Registro!$P$2:$P$500,MATCH(402,Registro!$T$2:$T$500,0)),"")</f>
        <v/>
      </c>
      <c r="H403" s="49" t="str">
        <f>IFERROR(INDEX(Registro!$Q$2:$Q$500,MATCH(402,Registro!$T$2:$T$500,0)),"")</f>
        <v/>
      </c>
    </row>
    <row r="404" spans="1:8" x14ac:dyDescent="0.25">
      <c r="A404" s="49" t="str">
        <f>IFERROR(INDEX(Registro!$E$2:$E$500,MATCH(403,Registro!$T$2:$T$500,0)),"")</f>
        <v/>
      </c>
      <c r="B404" s="49" t="str">
        <f>IFERROR(INDEX(Registro!$F$2:$F$500,MATCH(403,Registro!$T$2:$T$500,0)),"")</f>
        <v/>
      </c>
      <c r="C404" s="49" t="str">
        <f>IFERROR(INDEX(Registro!$G$2:$G$500,MATCH(403,Registro!$T$2:$T$500,0)),"")</f>
        <v/>
      </c>
      <c r="D404" s="49" t="str">
        <f>IFERROR(INDEX(Registro!$H$2:$H$500,MATCH(403,Registro!$T$2:$T$500,0)),"")</f>
        <v/>
      </c>
      <c r="E404" s="50" t="str">
        <f>IFERROR(INDEX(Registro!$C$2:$C$500,MATCH(403,Registro!$T$2:$T$500,0)),"")</f>
        <v/>
      </c>
      <c r="F404" s="49" t="str">
        <f>IFERROR(INDEX(Registro!$B$2:$B$500,MATCH(403,Registro!$T$2:$T$500,0)),"")</f>
        <v/>
      </c>
      <c r="G404" s="49" t="str">
        <f>IFERROR(INDEX(Registro!$P$2:$P$500,MATCH(403,Registro!$T$2:$T$500,0)),"")</f>
        <v/>
      </c>
      <c r="H404" s="49" t="str">
        <f>IFERROR(INDEX(Registro!$Q$2:$Q$500,MATCH(403,Registro!$T$2:$T$500,0)),"")</f>
        <v/>
      </c>
    </row>
    <row r="405" spans="1:8" x14ac:dyDescent="0.25">
      <c r="A405" s="49" t="str">
        <f>IFERROR(INDEX(Registro!$E$2:$E$500,MATCH(404,Registro!$T$2:$T$500,0)),"")</f>
        <v/>
      </c>
      <c r="B405" s="49" t="str">
        <f>IFERROR(INDEX(Registro!$F$2:$F$500,MATCH(404,Registro!$T$2:$T$500,0)),"")</f>
        <v/>
      </c>
      <c r="C405" s="49" t="str">
        <f>IFERROR(INDEX(Registro!$G$2:$G$500,MATCH(404,Registro!$T$2:$T$500,0)),"")</f>
        <v/>
      </c>
      <c r="D405" s="49" t="str">
        <f>IFERROR(INDEX(Registro!$H$2:$H$500,MATCH(404,Registro!$T$2:$T$500,0)),"")</f>
        <v/>
      </c>
      <c r="E405" s="50" t="str">
        <f>IFERROR(INDEX(Registro!$C$2:$C$500,MATCH(404,Registro!$T$2:$T$500,0)),"")</f>
        <v/>
      </c>
      <c r="F405" s="49" t="str">
        <f>IFERROR(INDEX(Registro!$B$2:$B$500,MATCH(404,Registro!$T$2:$T$500,0)),"")</f>
        <v/>
      </c>
      <c r="G405" s="49" t="str">
        <f>IFERROR(INDEX(Registro!$P$2:$P$500,MATCH(404,Registro!$T$2:$T$500,0)),"")</f>
        <v/>
      </c>
      <c r="H405" s="49" t="str">
        <f>IFERROR(INDEX(Registro!$Q$2:$Q$500,MATCH(404,Registro!$T$2:$T$500,0)),"")</f>
        <v/>
      </c>
    </row>
    <row r="406" spans="1:8" x14ac:dyDescent="0.25">
      <c r="A406" s="49" t="str">
        <f>IFERROR(INDEX(Registro!$E$2:$E$500,MATCH(405,Registro!$T$2:$T$500,0)),"")</f>
        <v/>
      </c>
      <c r="B406" s="49" t="str">
        <f>IFERROR(INDEX(Registro!$F$2:$F$500,MATCH(405,Registro!$T$2:$T$500,0)),"")</f>
        <v/>
      </c>
      <c r="C406" s="49" t="str">
        <f>IFERROR(INDEX(Registro!$G$2:$G$500,MATCH(405,Registro!$T$2:$T$500,0)),"")</f>
        <v/>
      </c>
      <c r="D406" s="49" t="str">
        <f>IFERROR(INDEX(Registro!$H$2:$H$500,MATCH(405,Registro!$T$2:$T$500,0)),"")</f>
        <v/>
      </c>
      <c r="E406" s="50" t="str">
        <f>IFERROR(INDEX(Registro!$C$2:$C$500,MATCH(405,Registro!$T$2:$T$500,0)),"")</f>
        <v/>
      </c>
      <c r="F406" s="49" t="str">
        <f>IFERROR(INDEX(Registro!$B$2:$B$500,MATCH(405,Registro!$T$2:$T$500,0)),"")</f>
        <v/>
      </c>
      <c r="G406" s="49" t="str">
        <f>IFERROR(INDEX(Registro!$P$2:$P$500,MATCH(405,Registro!$T$2:$T$500,0)),"")</f>
        <v/>
      </c>
      <c r="H406" s="49" t="str">
        <f>IFERROR(INDEX(Registro!$Q$2:$Q$500,MATCH(405,Registro!$T$2:$T$500,0)),"")</f>
        <v/>
      </c>
    </row>
    <row r="407" spans="1:8" x14ac:dyDescent="0.25">
      <c r="A407" s="49" t="str">
        <f>IFERROR(INDEX(Registro!$E$2:$E$500,MATCH(406,Registro!$T$2:$T$500,0)),"")</f>
        <v/>
      </c>
      <c r="B407" s="49" t="str">
        <f>IFERROR(INDEX(Registro!$F$2:$F$500,MATCH(406,Registro!$T$2:$T$500,0)),"")</f>
        <v/>
      </c>
      <c r="C407" s="49" t="str">
        <f>IFERROR(INDEX(Registro!$G$2:$G$500,MATCH(406,Registro!$T$2:$T$500,0)),"")</f>
        <v/>
      </c>
      <c r="D407" s="49" t="str">
        <f>IFERROR(INDEX(Registro!$H$2:$H$500,MATCH(406,Registro!$T$2:$T$500,0)),"")</f>
        <v/>
      </c>
      <c r="E407" s="50" t="str">
        <f>IFERROR(INDEX(Registro!$C$2:$C$500,MATCH(406,Registro!$T$2:$T$500,0)),"")</f>
        <v/>
      </c>
      <c r="F407" s="49" t="str">
        <f>IFERROR(INDEX(Registro!$B$2:$B$500,MATCH(406,Registro!$T$2:$T$500,0)),"")</f>
        <v/>
      </c>
      <c r="G407" s="49" t="str">
        <f>IFERROR(INDEX(Registro!$P$2:$P$500,MATCH(406,Registro!$T$2:$T$500,0)),"")</f>
        <v/>
      </c>
      <c r="H407" s="49" t="str">
        <f>IFERROR(INDEX(Registro!$Q$2:$Q$500,MATCH(406,Registro!$T$2:$T$500,0)),"")</f>
        <v/>
      </c>
    </row>
    <row r="408" spans="1:8" x14ac:dyDescent="0.25">
      <c r="A408" s="49" t="str">
        <f>IFERROR(INDEX(Registro!$E$2:$E$500,MATCH(407,Registro!$T$2:$T$500,0)),"")</f>
        <v/>
      </c>
      <c r="B408" s="49" t="str">
        <f>IFERROR(INDEX(Registro!$F$2:$F$500,MATCH(407,Registro!$T$2:$T$500,0)),"")</f>
        <v/>
      </c>
      <c r="C408" s="49" t="str">
        <f>IFERROR(INDEX(Registro!$G$2:$G$500,MATCH(407,Registro!$T$2:$T$500,0)),"")</f>
        <v/>
      </c>
      <c r="D408" s="49" t="str">
        <f>IFERROR(INDEX(Registro!$H$2:$H$500,MATCH(407,Registro!$T$2:$T$500,0)),"")</f>
        <v/>
      </c>
      <c r="E408" s="50" t="str">
        <f>IFERROR(INDEX(Registro!$C$2:$C$500,MATCH(407,Registro!$T$2:$T$500,0)),"")</f>
        <v/>
      </c>
      <c r="F408" s="49" t="str">
        <f>IFERROR(INDEX(Registro!$B$2:$B$500,MATCH(407,Registro!$T$2:$T$500,0)),"")</f>
        <v/>
      </c>
      <c r="G408" s="49" t="str">
        <f>IFERROR(INDEX(Registro!$P$2:$P$500,MATCH(407,Registro!$T$2:$T$500,0)),"")</f>
        <v/>
      </c>
      <c r="H408" s="49" t="str">
        <f>IFERROR(INDEX(Registro!$Q$2:$Q$500,MATCH(407,Registro!$T$2:$T$500,0)),"")</f>
        <v/>
      </c>
    </row>
    <row r="409" spans="1:8" x14ac:dyDescent="0.25">
      <c r="A409" s="49" t="str">
        <f>IFERROR(INDEX(Registro!$E$2:$E$500,MATCH(408,Registro!$T$2:$T$500,0)),"")</f>
        <v/>
      </c>
      <c r="B409" s="49" t="str">
        <f>IFERROR(INDEX(Registro!$F$2:$F$500,MATCH(408,Registro!$T$2:$T$500,0)),"")</f>
        <v/>
      </c>
      <c r="C409" s="49" t="str">
        <f>IFERROR(INDEX(Registro!$G$2:$G$500,MATCH(408,Registro!$T$2:$T$500,0)),"")</f>
        <v/>
      </c>
      <c r="D409" s="49" t="str">
        <f>IFERROR(INDEX(Registro!$H$2:$H$500,MATCH(408,Registro!$T$2:$T$500,0)),"")</f>
        <v/>
      </c>
      <c r="E409" s="50" t="str">
        <f>IFERROR(INDEX(Registro!$C$2:$C$500,MATCH(408,Registro!$T$2:$T$500,0)),"")</f>
        <v/>
      </c>
      <c r="F409" s="49" t="str">
        <f>IFERROR(INDEX(Registro!$B$2:$B$500,MATCH(408,Registro!$T$2:$T$500,0)),"")</f>
        <v/>
      </c>
      <c r="G409" s="49" t="str">
        <f>IFERROR(INDEX(Registro!$P$2:$P$500,MATCH(408,Registro!$T$2:$T$500,0)),"")</f>
        <v/>
      </c>
      <c r="H409" s="49" t="str">
        <f>IFERROR(INDEX(Registro!$Q$2:$Q$500,MATCH(408,Registro!$T$2:$T$500,0)),"")</f>
        <v/>
      </c>
    </row>
    <row r="410" spans="1:8" x14ac:dyDescent="0.25">
      <c r="A410" s="49" t="str">
        <f>IFERROR(INDEX(Registro!$E$2:$E$500,MATCH(409,Registro!$T$2:$T$500,0)),"")</f>
        <v/>
      </c>
      <c r="B410" s="49" t="str">
        <f>IFERROR(INDEX(Registro!$F$2:$F$500,MATCH(409,Registro!$T$2:$T$500,0)),"")</f>
        <v/>
      </c>
      <c r="C410" s="49" t="str">
        <f>IFERROR(INDEX(Registro!$G$2:$G$500,MATCH(409,Registro!$T$2:$T$500,0)),"")</f>
        <v/>
      </c>
      <c r="D410" s="49" t="str">
        <f>IFERROR(INDEX(Registro!$H$2:$H$500,MATCH(409,Registro!$T$2:$T$500,0)),"")</f>
        <v/>
      </c>
      <c r="E410" s="50" t="str">
        <f>IFERROR(INDEX(Registro!$C$2:$C$500,MATCH(409,Registro!$T$2:$T$500,0)),"")</f>
        <v/>
      </c>
      <c r="F410" s="49" t="str">
        <f>IFERROR(INDEX(Registro!$B$2:$B$500,MATCH(409,Registro!$T$2:$T$500,0)),"")</f>
        <v/>
      </c>
      <c r="G410" s="49" t="str">
        <f>IFERROR(INDEX(Registro!$P$2:$P$500,MATCH(409,Registro!$T$2:$T$500,0)),"")</f>
        <v/>
      </c>
      <c r="H410" s="49" t="str">
        <f>IFERROR(INDEX(Registro!$Q$2:$Q$500,MATCH(409,Registro!$T$2:$T$500,0)),"")</f>
        <v/>
      </c>
    </row>
    <row r="411" spans="1:8" x14ac:dyDescent="0.25">
      <c r="A411" s="49" t="str">
        <f>IFERROR(INDEX(Registro!$E$2:$E$500,MATCH(410,Registro!$T$2:$T$500,0)),"")</f>
        <v/>
      </c>
      <c r="B411" s="49" t="str">
        <f>IFERROR(INDEX(Registro!$F$2:$F$500,MATCH(410,Registro!$T$2:$T$500,0)),"")</f>
        <v/>
      </c>
      <c r="C411" s="49" t="str">
        <f>IFERROR(INDEX(Registro!$G$2:$G$500,MATCH(410,Registro!$T$2:$T$500,0)),"")</f>
        <v/>
      </c>
      <c r="D411" s="49" t="str">
        <f>IFERROR(INDEX(Registro!$H$2:$H$500,MATCH(410,Registro!$T$2:$T$500,0)),"")</f>
        <v/>
      </c>
      <c r="E411" s="50" t="str">
        <f>IFERROR(INDEX(Registro!$C$2:$C$500,MATCH(410,Registro!$T$2:$T$500,0)),"")</f>
        <v/>
      </c>
      <c r="F411" s="49" t="str">
        <f>IFERROR(INDEX(Registro!$B$2:$B$500,MATCH(410,Registro!$T$2:$T$500,0)),"")</f>
        <v/>
      </c>
      <c r="G411" s="49" t="str">
        <f>IFERROR(INDEX(Registro!$P$2:$P$500,MATCH(410,Registro!$T$2:$T$500,0)),"")</f>
        <v/>
      </c>
      <c r="H411" s="49" t="str">
        <f>IFERROR(INDEX(Registro!$Q$2:$Q$500,MATCH(410,Registro!$T$2:$T$500,0)),"")</f>
        <v/>
      </c>
    </row>
    <row r="412" spans="1:8" x14ac:dyDescent="0.25">
      <c r="A412" s="49" t="str">
        <f>IFERROR(INDEX(Registro!$E$2:$E$500,MATCH(411,Registro!$T$2:$T$500,0)),"")</f>
        <v/>
      </c>
      <c r="B412" s="49" t="str">
        <f>IFERROR(INDEX(Registro!$F$2:$F$500,MATCH(411,Registro!$T$2:$T$500,0)),"")</f>
        <v/>
      </c>
      <c r="C412" s="49" t="str">
        <f>IFERROR(INDEX(Registro!$G$2:$G$500,MATCH(411,Registro!$T$2:$T$500,0)),"")</f>
        <v/>
      </c>
      <c r="D412" s="49" t="str">
        <f>IFERROR(INDEX(Registro!$H$2:$H$500,MATCH(411,Registro!$T$2:$T$500,0)),"")</f>
        <v/>
      </c>
      <c r="E412" s="50" t="str">
        <f>IFERROR(INDEX(Registro!$C$2:$C$500,MATCH(411,Registro!$T$2:$T$500,0)),"")</f>
        <v/>
      </c>
      <c r="F412" s="49" t="str">
        <f>IFERROR(INDEX(Registro!$B$2:$B$500,MATCH(411,Registro!$T$2:$T$500,0)),"")</f>
        <v/>
      </c>
      <c r="G412" s="49" t="str">
        <f>IFERROR(INDEX(Registro!$P$2:$P$500,MATCH(411,Registro!$T$2:$T$500,0)),"")</f>
        <v/>
      </c>
      <c r="H412" s="49" t="str">
        <f>IFERROR(INDEX(Registro!$Q$2:$Q$500,MATCH(411,Registro!$T$2:$T$500,0)),"")</f>
        <v/>
      </c>
    </row>
    <row r="413" spans="1:8" x14ac:dyDescent="0.25">
      <c r="A413" s="49" t="str">
        <f>IFERROR(INDEX(Registro!$E$2:$E$500,MATCH(412,Registro!$T$2:$T$500,0)),"")</f>
        <v/>
      </c>
      <c r="B413" s="49" t="str">
        <f>IFERROR(INDEX(Registro!$F$2:$F$500,MATCH(412,Registro!$T$2:$T$500,0)),"")</f>
        <v/>
      </c>
      <c r="C413" s="49" t="str">
        <f>IFERROR(INDEX(Registro!$G$2:$G$500,MATCH(412,Registro!$T$2:$T$500,0)),"")</f>
        <v/>
      </c>
      <c r="D413" s="49" t="str">
        <f>IFERROR(INDEX(Registro!$H$2:$H$500,MATCH(412,Registro!$T$2:$T$500,0)),"")</f>
        <v/>
      </c>
      <c r="E413" s="50" t="str">
        <f>IFERROR(INDEX(Registro!$C$2:$C$500,MATCH(412,Registro!$T$2:$T$500,0)),"")</f>
        <v/>
      </c>
      <c r="F413" s="49" t="str">
        <f>IFERROR(INDEX(Registro!$B$2:$B$500,MATCH(412,Registro!$T$2:$T$500,0)),"")</f>
        <v/>
      </c>
      <c r="G413" s="49" t="str">
        <f>IFERROR(INDEX(Registro!$P$2:$P$500,MATCH(412,Registro!$T$2:$T$500,0)),"")</f>
        <v/>
      </c>
      <c r="H413" s="49" t="str">
        <f>IFERROR(INDEX(Registro!$Q$2:$Q$500,MATCH(412,Registro!$T$2:$T$500,0)),"")</f>
        <v/>
      </c>
    </row>
    <row r="414" spans="1:8" x14ac:dyDescent="0.25">
      <c r="A414" s="49" t="str">
        <f>IFERROR(INDEX(Registro!$E$2:$E$500,MATCH(413,Registro!$T$2:$T$500,0)),"")</f>
        <v/>
      </c>
      <c r="B414" s="49" t="str">
        <f>IFERROR(INDEX(Registro!$F$2:$F$500,MATCH(413,Registro!$T$2:$T$500,0)),"")</f>
        <v/>
      </c>
      <c r="C414" s="49" t="str">
        <f>IFERROR(INDEX(Registro!$G$2:$G$500,MATCH(413,Registro!$T$2:$T$500,0)),"")</f>
        <v/>
      </c>
      <c r="D414" s="49" t="str">
        <f>IFERROR(INDEX(Registro!$H$2:$H$500,MATCH(413,Registro!$T$2:$T$500,0)),"")</f>
        <v/>
      </c>
      <c r="E414" s="50" t="str">
        <f>IFERROR(INDEX(Registro!$C$2:$C$500,MATCH(413,Registro!$T$2:$T$500,0)),"")</f>
        <v/>
      </c>
      <c r="F414" s="49" t="str">
        <f>IFERROR(INDEX(Registro!$B$2:$B$500,MATCH(413,Registro!$T$2:$T$500,0)),"")</f>
        <v/>
      </c>
      <c r="G414" s="49" t="str">
        <f>IFERROR(INDEX(Registro!$P$2:$P$500,MATCH(413,Registro!$T$2:$T$500,0)),"")</f>
        <v/>
      </c>
      <c r="H414" s="49" t="str">
        <f>IFERROR(INDEX(Registro!$Q$2:$Q$500,MATCH(413,Registro!$T$2:$T$500,0)),"")</f>
        <v/>
      </c>
    </row>
    <row r="415" spans="1:8" x14ac:dyDescent="0.25">
      <c r="A415" s="49" t="str">
        <f>IFERROR(INDEX(Registro!$E$2:$E$500,MATCH(414,Registro!$T$2:$T$500,0)),"")</f>
        <v/>
      </c>
      <c r="B415" s="49" t="str">
        <f>IFERROR(INDEX(Registro!$F$2:$F$500,MATCH(414,Registro!$T$2:$T$500,0)),"")</f>
        <v/>
      </c>
      <c r="C415" s="49" t="str">
        <f>IFERROR(INDEX(Registro!$G$2:$G$500,MATCH(414,Registro!$T$2:$T$500,0)),"")</f>
        <v/>
      </c>
      <c r="D415" s="49" t="str">
        <f>IFERROR(INDEX(Registro!$H$2:$H$500,MATCH(414,Registro!$T$2:$T$500,0)),"")</f>
        <v/>
      </c>
      <c r="E415" s="50" t="str">
        <f>IFERROR(INDEX(Registro!$C$2:$C$500,MATCH(414,Registro!$T$2:$T$500,0)),"")</f>
        <v/>
      </c>
      <c r="F415" s="49" t="str">
        <f>IFERROR(INDEX(Registro!$B$2:$B$500,MATCH(414,Registro!$T$2:$T$500,0)),"")</f>
        <v/>
      </c>
      <c r="G415" s="49" t="str">
        <f>IFERROR(INDEX(Registro!$P$2:$P$500,MATCH(414,Registro!$T$2:$T$500,0)),"")</f>
        <v/>
      </c>
      <c r="H415" s="49" t="str">
        <f>IFERROR(INDEX(Registro!$Q$2:$Q$500,MATCH(414,Registro!$T$2:$T$500,0)),"")</f>
        <v/>
      </c>
    </row>
    <row r="416" spans="1:8" x14ac:dyDescent="0.25">
      <c r="A416" s="49" t="str">
        <f>IFERROR(INDEX(Registro!$E$2:$E$500,MATCH(415,Registro!$T$2:$T$500,0)),"")</f>
        <v/>
      </c>
      <c r="B416" s="49" t="str">
        <f>IFERROR(INDEX(Registro!$F$2:$F$500,MATCH(415,Registro!$T$2:$T$500,0)),"")</f>
        <v/>
      </c>
      <c r="C416" s="49" t="str">
        <f>IFERROR(INDEX(Registro!$G$2:$G$500,MATCH(415,Registro!$T$2:$T$500,0)),"")</f>
        <v/>
      </c>
      <c r="D416" s="49" t="str">
        <f>IFERROR(INDEX(Registro!$H$2:$H$500,MATCH(415,Registro!$T$2:$T$500,0)),"")</f>
        <v/>
      </c>
      <c r="E416" s="50" t="str">
        <f>IFERROR(INDEX(Registro!$C$2:$C$500,MATCH(415,Registro!$T$2:$T$500,0)),"")</f>
        <v/>
      </c>
      <c r="F416" s="49" t="str">
        <f>IFERROR(INDEX(Registro!$B$2:$B$500,MATCH(415,Registro!$T$2:$T$500,0)),"")</f>
        <v/>
      </c>
      <c r="G416" s="49" t="str">
        <f>IFERROR(INDEX(Registro!$P$2:$P$500,MATCH(415,Registro!$T$2:$T$500,0)),"")</f>
        <v/>
      </c>
      <c r="H416" s="49" t="str">
        <f>IFERROR(INDEX(Registro!$Q$2:$Q$500,MATCH(415,Registro!$T$2:$T$500,0)),"")</f>
        <v/>
      </c>
    </row>
    <row r="417" spans="1:8" x14ac:dyDescent="0.25">
      <c r="A417" s="49" t="str">
        <f>IFERROR(INDEX(Registro!$E$2:$E$500,MATCH(416,Registro!$T$2:$T$500,0)),"")</f>
        <v/>
      </c>
      <c r="B417" s="49" t="str">
        <f>IFERROR(INDEX(Registro!$F$2:$F$500,MATCH(416,Registro!$T$2:$T$500,0)),"")</f>
        <v/>
      </c>
      <c r="C417" s="49" t="str">
        <f>IFERROR(INDEX(Registro!$G$2:$G$500,MATCH(416,Registro!$T$2:$T$500,0)),"")</f>
        <v/>
      </c>
      <c r="D417" s="49" t="str">
        <f>IFERROR(INDEX(Registro!$H$2:$H$500,MATCH(416,Registro!$T$2:$T$500,0)),"")</f>
        <v/>
      </c>
      <c r="E417" s="50" t="str">
        <f>IFERROR(INDEX(Registro!$C$2:$C$500,MATCH(416,Registro!$T$2:$T$500,0)),"")</f>
        <v/>
      </c>
      <c r="F417" s="49" t="str">
        <f>IFERROR(INDEX(Registro!$B$2:$B$500,MATCH(416,Registro!$T$2:$T$500,0)),"")</f>
        <v/>
      </c>
      <c r="G417" s="49" t="str">
        <f>IFERROR(INDEX(Registro!$P$2:$P$500,MATCH(416,Registro!$T$2:$T$500,0)),"")</f>
        <v/>
      </c>
      <c r="H417" s="49" t="str">
        <f>IFERROR(INDEX(Registro!$Q$2:$Q$500,MATCH(416,Registro!$T$2:$T$500,0)),"")</f>
        <v/>
      </c>
    </row>
    <row r="418" spans="1:8" x14ac:dyDescent="0.25">
      <c r="A418" s="49" t="str">
        <f>IFERROR(INDEX(Registro!$E$2:$E$500,MATCH(417,Registro!$T$2:$T$500,0)),"")</f>
        <v/>
      </c>
      <c r="B418" s="49" t="str">
        <f>IFERROR(INDEX(Registro!$F$2:$F$500,MATCH(417,Registro!$T$2:$T$500,0)),"")</f>
        <v/>
      </c>
      <c r="C418" s="49" t="str">
        <f>IFERROR(INDEX(Registro!$G$2:$G$500,MATCH(417,Registro!$T$2:$T$500,0)),"")</f>
        <v/>
      </c>
      <c r="D418" s="49" t="str">
        <f>IFERROR(INDEX(Registro!$H$2:$H$500,MATCH(417,Registro!$T$2:$T$500,0)),"")</f>
        <v/>
      </c>
      <c r="E418" s="50" t="str">
        <f>IFERROR(INDEX(Registro!$C$2:$C$500,MATCH(417,Registro!$T$2:$T$500,0)),"")</f>
        <v/>
      </c>
      <c r="F418" s="49" t="str">
        <f>IFERROR(INDEX(Registro!$B$2:$B$500,MATCH(417,Registro!$T$2:$T$500,0)),"")</f>
        <v/>
      </c>
      <c r="G418" s="49" t="str">
        <f>IFERROR(INDEX(Registro!$P$2:$P$500,MATCH(417,Registro!$T$2:$T$500,0)),"")</f>
        <v/>
      </c>
      <c r="H418" s="49" t="str">
        <f>IFERROR(INDEX(Registro!$Q$2:$Q$500,MATCH(417,Registro!$T$2:$T$500,0)),"")</f>
        <v/>
      </c>
    </row>
    <row r="419" spans="1:8" x14ac:dyDescent="0.25">
      <c r="A419" s="49" t="str">
        <f>IFERROR(INDEX(Registro!$E$2:$E$500,MATCH(418,Registro!$T$2:$T$500,0)),"")</f>
        <v/>
      </c>
      <c r="B419" s="49" t="str">
        <f>IFERROR(INDEX(Registro!$F$2:$F$500,MATCH(418,Registro!$T$2:$T$500,0)),"")</f>
        <v/>
      </c>
      <c r="C419" s="49" t="str">
        <f>IFERROR(INDEX(Registro!$G$2:$G$500,MATCH(418,Registro!$T$2:$T$500,0)),"")</f>
        <v/>
      </c>
      <c r="D419" s="49" t="str">
        <f>IFERROR(INDEX(Registro!$H$2:$H$500,MATCH(418,Registro!$T$2:$T$500,0)),"")</f>
        <v/>
      </c>
      <c r="E419" s="50" t="str">
        <f>IFERROR(INDEX(Registro!$C$2:$C$500,MATCH(418,Registro!$T$2:$T$500,0)),"")</f>
        <v/>
      </c>
      <c r="F419" s="49" t="str">
        <f>IFERROR(INDEX(Registro!$B$2:$B$500,MATCH(418,Registro!$T$2:$T$500,0)),"")</f>
        <v/>
      </c>
      <c r="G419" s="49" t="str">
        <f>IFERROR(INDEX(Registro!$P$2:$P$500,MATCH(418,Registro!$T$2:$T$500,0)),"")</f>
        <v/>
      </c>
      <c r="H419" s="49" t="str">
        <f>IFERROR(INDEX(Registro!$Q$2:$Q$500,MATCH(418,Registro!$T$2:$T$500,0)),"")</f>
        <v/>
      </c>
    </row>
    <row r="420" spans="1:8" x14ac:dyDescent="0.25">
      <c r="A420" s="49" t="str">
        <f>IFERROR(INDEX(Registro!$E$2:$E$500,MATCH(419,Registro!$T$2:$T$500,0)),"")</f>
        <v/>
      </c>
      <c r="B420" s="49" t="str">
        <f>IFERROR(INDEX(Registro!$F$2:$F$500,MATCH(419,Registro!$T$2:$T$500,0)),"")</f>
        <v/>
      </c>
      <c r="C420" s="49" t="str">
        <f>IFERROR(INDEX(Registro!$G$2:$G$500,MATCH(419,Registro!$T$2:$T$500,0)),"")</f>
        <v/>
      </c>
      <c r="D420" s="49" t="str">
        <f>IFERROR(INDEX(Registro!$H$2:$H$500,MATCH(419,Registro!$T$2:$T$500,0)),"")</f>
        <v/>
      </c>
      <c r="E420" s="50" t="str">
        <f>IFERROR(INDEX(Registro!$C$2:$C$500,MATCH(419,Registro!$T$2:$T$500,0)),"")</f>
        <v/>
      </c>
      <c r="F420" s="49" t="str">
        <f>IFERROR(INDEX(Registro!$B$2:$B$500,MATCH(419,Registro!$T$2:$T$500,0)),"")</f>
        <v/>
      </c>
      <c r="G420" s="49" t="str">
        <f>IFERROR(INDEX(Registro!$P$2:$P$500,MATCH(419,Registro!$T$2:$T$500,0)),"")</f>
        <v/>
      </c>
      <c r="H420" s="49" t="str">
        <f>IFERROR(INDEX(Registro!$Q$2:$Q$500,MATCH(419,Registro!$T$2:$T$500,0)),"")</f>
        <v/>
      </c>
    </row>
    <row r="421" spans="1:8" x14ac:dyDescent="0.25">
      <c r="A421" s="49" t="str">
        <f>IFERROR(INDEX(Registro!$E$2:$E$500,MATCH(420,Registro!$T$2:$T$500,0)),"")</f>
        <v/>
      </c>
      <c r="B421" s="49" t="str">
        <f>IFERROR(INDEX(Registro!$F$2:$F$500,MATCH(420,Registro!$T$2:$T$500,0)),"")</f>
        <v/>
      </c>
      <c r="C421" s="49" t="str">
        <f>IFERROR(INDEX(Registro!$G$2:$G$500,MATCH(420,Registro!$T$2:$T$500,0)),"")</f>
        <v/>
      </c>
      <c r="D421" s="49" t="str">
        <f>IFERROR(INDEX(Registro!$H$2:$H$500,MATCH(420,Registro!$T$2:$T$500,0)),"")</f>
        <v/>
      </c>
      <c r="E421" s="50" t="str">
        <f>IFERROR(INDEX(Registro!$C$2:$C$500,MATCH(420,Registro!$T$2:$T$500,0)),"")</f>
        <v/>
      </c>
      <c r="F421" s="49" t="str">
        <f>IFERROR(INDEX(Registro!$B$2:$B$500,MATCH(420,Registro!$T$2:$T$500,0)),"")</f>
        <v/>
      </c>
      <c r="G421" s="49" t="str">
        <f>IFERROR(INDEX(Registro!$P$2:$P$500,MATCH(420,Registro!$T$2:$T$500,0)),"")</f>
        <v/>
      </c>
      <c r="H421" s="49" t="str">
        <f>IFERROR(INDEX(Registro!$Q$2:$Q$500,MATCH(420,Registro!$T$2:$T$500,0)),"")</f>
        <v/>
      </c>
    </row>
    <row r="422" spans="1:8" x14ac:dyDescent="0.25">
      <c r="A422" s="49" t="str">
        <f>IFERROR(INDEX(Registro!$E$2:$E$500,MATCH(421,Registro!$T$2:$T$500,0)),"")</f>
        <v/>
      </c>
      <c r="B422" s="49" t="str">
        <f>IFERROR(INDEX(Registro!$F$2:$F$500,MATCH(421,Registro!$T$2:$T$500,0)),"")</f>
        <v/>
      </c>
      <c r="C422" s="49" t="str">
        <f>IFERROR(INDEX(Registro!$G$2:$G$500,MATCH(421,Registro!$T$2:$T$500,0)),"")</f>
        <v/>
      </c>
      <c r="D422" s="49" t="str">
        <f>IFERROR(INDEX(Registro!$H$2:$H$500,MATCH(421,Registro!$T$2:$T$500,0)),"")</f>
        <v/>
      </c>
      <c r="E422" s="50" t="str">
        <f>IFERROR(INDEX(Registro!$C$2:$C$500,MATCH(421,Registro!$T$2:$T$500,0)),"")</f>
        <v/>
      </c>
      <c r="F422" s="49" t="str">
        <f>IFERROR(INDEX(Registro!$B$2:$B$500,MATCH(421,Registro!$T$2:$T$500,0)),"")</f>
        <v/>
      </c>
      <c r="G422" s="49" t="str">
        <f>IFERROR(INDEX(Registro!$P$2:$P$500,MATCH(421,Registro!$T$2:$T$500,0)),"")</f>
        <v/>
      </c>
      <c r="H422" s="49" t="str">
        <f>IFERROR(INDEX(Registro!$Q$2:$Q$500,MATCH(421,Registro!$T$2:$T$500,0)),"")</f>
        <v/>
      </c>
    </row>
    <row r="423" spans="1:8" x14ac:dyDescent="0.25">
      <c r="A423" s="49" t="str">
        <f>IFERROR(INDEX(Registro!$E$2:$E$500,MATCH(422,Registro!$T$2:$T$500,0)),"")</f>
        <v/>
      </c>
      <c r="B423" s="49" t="str">
        <f>IFERROR(INDEX(Registro!$F$2:$F$500,MATCH(422,Registro!$T$2:$T$500,0)),"")</f>
        <v/>
      </c>
      <c r="C423" s="49" t="str">
        <f>IFERROR(INDEX(Registro!$G$2:$G$500,MATCH(422,Registro!$T$2:$T$500,0)),"")</f>
        <v/>
      </c>
      <c r="D423" s="49" t="str">
        <f>IFERROR(INDEX(Registro!$H$2:$H$500,MATCH(422,Registro!$T$2:$T$500,0)),"")</f>
        <v/>
      </c>
      <c r="E423" s="50" t="str">
        <f>IFERROR(INDEX(Registro!$C$2:$C$500,MATCH(422,Registro!$T$2:$T$500,0)),"")</f>
        <v/>
      </c>
      <c r="F423" s="49" t="str">
        <f>IFERROR(INDEX(Registro!$B$2:$B$500,MATCH(422,Registro!$T$2:$T$500,0)),"")</f>
        <v/>
      </c>
      <c r="G423" s="49" t="str">
        <f>IFERROR(INDEX(Registro!$P$2:$P$500,MATCH(422,Registro!$T$2:$T$500,0)),"")</f>
        <v/>
      </c>
      <c r="H423" s="49" t="str">
        <f>IFERROR(INDEX(Registro!$Q$2:$Q$500,MATCH(422,Registro!$T$2:$T$500,0)),"")</f>
        <v/>
      </c>
    </row>
    <row r="424" spans="1:8" x14ac:dyDescent="0.25">
      <c r="A424" s="49" t="str">
        <f>IFERROR(INDEX(Registro!$E$2:$E$500,MATCH(423,Registro!$T$2:$T$500,0)),"")</f>
        <v/>
      </c>
      <c r="B424" s="49" t="str">
        <f>IFERROR(INDEX(Registro!$F$2:$F$500,MATCH(423,Registro!$T$2:$T$500,0)),"")</f>
        <v/>
      </c>
      <c r="C424" s="49" t="str">
        <f>IFERROR(INDEX(Registro!$G$2:$G$500,MATCH(423,Registro!$T$2:$T$500,0)),"")</f>
        <v/>
      </c>
      <c r="D424" s="49" t="str">
        <f>IFERROR(INDEX(Registro!$H$2:$H$500,MATCH(423,Registro!$T$2:$T$500,0)),"")</f>
        <v/>
      </c>
      <c r="E424" s="50" t="str">
        <f>IFERROR(INDEX(Registro!$C$2:$C$500,MATCH(423,Registro!$T$2:$T$500,0)),"")</f>
        <v/>
      </c>
      <c r="F424" s="49" t="str">
        <f>IFERROR(INDEX(Registro!$B$2:$B$500,MATCH(423,Registro!$T$2:$T$500,0)),"")</f>
        <v/>
      </c>
      <c r="G424" s="49" t="str">
        <f>IFERROR(INDEX(Registro!$P$2:$P$500,MATCH(423,Registro!$T$2:$T$500,0)),"")</f>
        <v/>
      </c>
      <c r="H424" s="49" t="str">
        <f>IFERROR(INDEX(Registro!$Q$2:$Q$500,MATCH(423,Registro!$T$2:$T$500,0)),"")</f>
        <v/>
      </c>
    </row>
    <row r="425" spans="1:8" x14ac:dyDescent="0.25">
      <c r="A425" s="49" t="str">
        <f>IFERROR(INDEX(Registro!$E$2:$E$500,MATCH(424,Registro!$T$2:$T$500,0)),"")</f>
        <v/>
      </c>
      <c r="B425" s="49" t="str">
        <f>IFERROR(INDEX(Registro!$F$2:$F$500,MATCH(424,Registro!$T$2:$T$500,0)),"")</f>
        <v/>
      </c>
      <c r="C425" s="49" t="str">
        <f>IFERROR(INDEX(Registro!$G$2:$G$500,MATCH(424,Registro!$T$2:$T$500,0)),"")</f>
        <v/>
      </c>
      <c r="D425" s="49" t="str">
        <f>IFERROR(INDEX(Registro!$H$2:$H$500,MATCH(424,Registro!$T$2:$T$500,0)),"")</f>
        <v/>
      </c>
      <c r="E425" s="50" t="str">
        <f>IFERROR(INDEX(Registro!$C$2:$C$500,MATCH(424,Registro!$T$2:$T$500,0)),"")</f>
        <v/>
      </c>
      <c r="F425" s="49" t="str">
        <f>IFERROR(INDEX(Registro!$B$2:$B$500,MATCH(424,Registro!$T$2:$T$500,0)),"")</f>
        <v/>
      </c>
      <c r="G425" s="49" t="str">
        <f>IFERROR(INDEX(Registro!$P$2:$P$500,MATCH(424,Registro!$T$2:$T$500,0)),"")</f>
        <v/>
      </c>
      <c r="H425" s="49" t="str">
        <f>IFERROR(INDEX(Registro!$Q$2:$Q$500,MATCH(424,Registro!$T$2:$T$500,0)),"")</f>
        <v/>
      </c>
    </row>
    <row r="426" spans="1:8" x14ac:dyDescent="0.25">
      <c r="A426" s="49" t="str">
        <f>IFERROR(INDEX(Registro!$E$2:$E$500,MATCH(425,Registro!$T$2:$T$500,0)),"")</f>
        <v/>
      </c>
      <c r="B426" s="49" t="str">
        <f>IFERROR(INDEX(Registro!$F$2:$F$500,MATCH(425,Registro!$T$2:$T$500,0)),"")</f>
        <v/>
      </c>
      <c r="C426" s="49" t="str">
        <f>IFERROR(INDEX(Registro!$G$2:$G$500,MATCH(425,Registro!$T$2:$T$500,0)),"")</f>
        <v/>
      </c>
      <c r="D426" s="49" t="str">
        <f>IFERROR(INDEX(Registro!$H$2:$H$500,MATCH(425,Registro!$T$2:$T$500,0)),"")</f>
        <v/>
      </c>
      <c r="E426" s="50" t="str">
        <f>IFERROR(INDEX(Registro!$C$2:$C$500,MATCH(425,Registro!$T$2:$T$500,0)),"")</f>
        <v/>
      </c>
      <c r="F426" s="49" t="str">
        <f>IFERROR(INDEX(Registro!$B$2:$B$500,MATCH(425,Registro!$T$2:$T$500,0)),"")</f>
        <v/>
      </c>
      <c r="G426" s="49" t="str">
        <f>IFERROR(INDEX(Registro!$P$2:$P$500,MATCH(425,Registro!$T$2:$T$500,0)),"")</f>
        <v/>
      </c>
      <c r="H426" s="49" t="str">
        <f>IFERROR(INDEX(Registro!$Q$2:$Q$500,MATCH(425,Registro!$T$2:$T$500,0)),"")</f>
        <v/>
      </c>
    </row>
    <row r="427" spans="1:8" x14ac:dyDescent="0.25">
      <c r="A427" s="49" t="str">
        <f>IFERROR(INDEX(Registro!$E$2:$E$500,MATCH(426,Registro!$T$2:$T$500,0)),"")</f>
        <v/>
      </c>
      <c r="B427" s="49" t="str">
        <f>IFERROR(INDEX(Registro!$F$2:$F$500,MATCH(426,Registro!$T$2:$T$500,0)),"")</f>
        <v/>
      </c>
      <c r="C427" s="49" t="str">
        <f>IFERROR(INDEX(Registro!$G$2:$G$500,MATCH(426,Registro!$T$2:$T$500,0)),"")</f>
        <v/>
      </c>
      <c r="D427" s="49" t="str">
        <f>IFERROR(INDEX(Registro!$H$2:$H$500,MATCH(426,Registro!$T$2:$T$500,0)),"")</f>
        <v/>
      </c>
      <c r="E427" s="50" t="str">
        <f>IFERROR(INDEX(Registro!$C$2:$C$500,MATCH(426,Registro!$T$2:$T$500,0)),"")</f>
        <v/>
      </c>
      <c r="F427" s="49" t="str">
        <f>IFERROR(INDEX(Registro!$B$2:$B$500,MATCH(426,Registro!$T$2:$T$500,0)),"")</f>
        <v/>
      </c>
      <c r="G427" s="49" t="str">
        <f>IFERROR(INDEX(Registro!$P$2:$P$500,MATCH(426,Registro!$T$2:$T$500,0)),"")</f>
        <v/>
      </c>
      <c r="H427" s="49" t="str">
        <f>IFERROR(INDEX(Registro!$Q$2:$Q$500,MATCH(426,Registro!$T$2:$T$500,0)),"")</f>
        <v/>
      </c>
    </row>
    <row r="428" spans="1:8" x14ac:dyDescent="0.25">
      <c r="A428" s="49" t="str">
        <f>IFERROR(INDEX(Registro!$E$2:$E$500,MATCH(427,Registro!$T$2:$T$500,0)),"")</f>
        <v/>
      </c>
      <c r="B428" s="49" t="str">
        <f>IFERROR(INDEX(Registro!$F$2:$F$500,MATCH(427,Registro!$T$2:$T$500,0)),"")</f>
        <v/>
      </c>
      <c r="C428" s="49" t="str">
        <f>IFERROR(INDEX(Registro!$G$2:$G$500,MATCH(427,Registro!$T$2:$T$500,0)),"")</f>
        <v/>
      </c>
      <c r="D428" s="49" t="str">
        <f>IFERROR(INDEX(Registro!$H$2:$H$500,MATCH(427,Registro!$T$2:$T$500,0)),"")</f>
        <v/>
      </c>
      <c r="E428" s="50" t="str">
        <f>IFERROR(INDEX(Registro!$C$2:$C$500,MATCH(427,Registro!$T$2:$T$500,0)),"")</f>
        <v/>
      </c>
      <c r="F428" s="49" t="str">
        <f>IFERROR(INDEX(Registro!$B$2:$B$500,MATCH(427,Registro!$T$2:$T$500,0)),"")</f>
        <v/>
      </c>
      <c r="G428" s="49" t="str">
        <f>IFERROR(INDEX(Registro!$P$2:$P$500,MATCH(427,Registro!$T$2:$T$500,0)),"")</f>
        <v/>
      </c>
      <c r="H428" s="49" t="str">
        <f>IFERROR(INDEX(Registro!$Q$2:$Q$500,MATCH(427,Registro!$T$2:$T$500,0)),"")</f>
        <v/>
      </c>
    </row>
    <row r="429" spans="1:8" x14ac:dyDescent="0.25">
      <c r="A429" s="49" t="str">
        <f>IFERROR(INDEX(Registro!$E$2:$E$500,MATCH(428,Registro!$T$2:$T$500,0)),"")</f>
        <v/>
      </c>
      <c r="B429" s="49" t="str">
        <f>IFERROR(INDEX(Registro!$F$2:$F$500,MATCH(428,Registro!$T$2:$T$500,0)),"")</f>
        <v/>
      </c>
      <c r="C429" s="49" t="str">
        <f>IFERROR(INDEX(Registro!$G$2:$G$500,MATCH(428,Registro!$T$2:$T$500,0)),"")</f>
        <v/>
      </c>
      <c r="D429" s="49" t="str">
        <f>IFERROR(INDEX(Registro!$H$2:$H$500,MATCH(428,Registro!$T$2:$T$500,0)),"")</f>
        <v/>
      </c>
      <c r="E429" s="50" t="str">
        <f>IFERROR(INDEX(Registro!$C$2:$C$500,MATCH(428,Registro!$T$2:$T$500,0)),"")</f>
        <v/>
      </c>
      <c r="F429" s="49" t="str">
        <f>IFERROR(INDEX(Registro!$B$2:$B$500,MATCH(428,Registro!$T$2:$T$500,0)),"")</f>
        <v/>
      </c>
      <c r="G429" s="49" t="str">
        <f>IFERROR(INDEX(Registro!$P$2:$P$500,MATCH(428,Registro!$T$2:$T$500,0)),"")</f>
        <v/>
      </c>
      <c r="H429" s="49" t="str">
        <f>IFERROR(INDEX(Registro!$Q$2:$Q$500,MATCH(428,Registro!$T$2:$T$500,0)),"")</f>
        <v/>
      </c>
    </row>
    <row r="430" spans="1:8" x14ac:dyDescent="0.25">
      <c r="A430" s="49" t="str">
        <f>IFERROR(INDEX(Registro!$E$2:$E$500,MATCH(429,Registro!$T$2:$T$500,0)),"")</f>
        <v/>
      </c>
      <c r="B430" s="49" t="str">
        <f>IFERROR(INDEX(Registro!$F$2:$F$500,MATCH(429,Registro!$T$2:$T$500,0)),"")</f>
        <v/>
      </c>
      <c r="C430" s="49" t="str">
        <f>IFERROR(INDEX(Registro!$G$2:$G$500,MATCH(429,Registro!$T$2:$T$500,0)),"")</f>
        <v/>
      </c>
      <c r="D430" s="49" t="str">
        <f>IFERROR(INDEX(Registro!$H$2:$H$500,MATCH(429,Registro!$T$2:$T$500,0)),"")</f>
        <v/>
      </c>
      <c r="E430" s="50" t="str">
        <f>IFERROR(INDEX(Registro!$C$2:$C$500,MATCH(429,Registro!$T$2:$T$500,0)),"")</f>
        <v/>
      </c>
      <c r="F430" s="49" t="str">
        <f>IFERROR(INDEX(Registro!$B$2:$B$500,MATCH(429,Registro!$T$2:$T$500,0)),"")</f>
        <v/>
      </c>
      <c r="G430" s="49" t="str">
        <f>IFERROR(INDEX(Registro!$P$2:$P$500,MATCH(429,Registro!$T$2:$T$500,0)),"")</f>
        <v/>
      </c>
      <c r="H430" s="49" t="str">
        <f>IFERROR(INDEX(Registro!$Q$2:$Q$500,MATCH(429,Registro!$T$2:$T$500,0)),"")</f>
        <v/>
      </c>
    </row>
    <row r="431" spans="1:8" x14ac:dyDescent="0.25">
      <c r="A431" s="49" t="str">
        <f>IFERROR(INDEX(Registro!$E$2:$E$500,MATCH(430,Registro!$T$2:$T$500,0)),"")</f>
        <v/>
      </c>
      <c r="B431" s="49" t="str">
        <f>IFERROR(INDEX(Registro!$F$2:$F$500,MATCH(430,Registro!$T$2:$T$500,0)),"")</f>
        <v/>
      </c>
      <c r="C431" s="49" t="str">
        <f>IFERROR(INDEX(Registro!$G$2:$G$500,MATCH(430,Registro!$T$2:$T$500,0)),"")</f>
        <v/>
      </c>
      <c r="D431" s="49" t="str">
        <f>IFERROR(INDEX(Registro!$H$2:$H$500,MATCH(430,Registro!$T$2:$T$500,0)),"")</f>
        <v/>
      </c>
      <c r="E431" s="50" t="str">
        <f>IFERROR(INDEX(Registro!$C$2:$C$500,MATCH(430,Registro!$T$2:$T$500,0)),"")</f>
        <v/>
      </c>
      <c r="F431" s="49" t="str">
        <f>IFERROR(INDEX(Registro!$B$2:$B$500,MATCH(430,Registro!$T$2:$T$500,0)),"")</f>
        <v/>
      </c>
      <c r="G431" s="49" t="str">
        <f>IFERROR(INDEX(Registro!$P$2:$P$500,MATCH(430,Registro!$T$2:$T$500,0)),"")</f>
        <v/>
      </c>
      <c r="H431" s="49" t="str">
        <f>IFERROR(INDEX(Registro!$Q$2:$Q$500,MATCH(430,Registro!$T$2:$T$500,0)),"")</f>
        <v/>
      </c>
    </row>
    <row r="432" spans="1:8" x14ac:dyDescent="0.25">
      <c r="A432" s="49" t="str">
        <f>IFERROR(INDEX(Registro!$E$2:$E$500,MATCH(431,Registro!$T$2:$T$500,0)),"")</f>
        <v/>
      </c>
      <c r="B432" s="49" t="str">
        <f>IFERROR(INDEX(Registro!$F$2:$F$500,MATCH(431,Registro!$T$2:$T$500,0)),"")</f>
        <v/>
      </c>
      <c r="C432" s="49" t="str">
        <f>IFERROR(INDEX(Registro!$G$2:$G$500,MATCH(431,Registro!$T$2:$T$500,0)),"")</f>
        <v/>
      </c>
      <c r="D432" s="49" t="str">
        <f>IFERROR(INDEX(Registro!$H$2:$H$500,MATCH(431,Registro!$T$2:$T$500,0)),"")</f>
        <v/>
      </c>
      <c r="E432" s="50" t="str">
        <f>IFERROR(INDEX(Registro!$C$2:$C$500,MATCH(431,Registro!$T$2:$T$500,0)),"")</f>
        <v/>
      </c>
      <c r="F432" s="49" t="str">
        <f>IFERROR(INDEX(Registro!$B$2:$B$500,MATCH(431,Registro!$T$2:$T$500,0)),"")</f>
        <v/>
      </c>
      <c r="G432" s="49" t="str">
        <f>IFERROR(INDEX(Registro!$P$2:$P$500,MATCH(431,Registro!$T$2:$T$500,0)),"")</f>
        <v/>
      </c>
      <c r="H432" s="49" t="str">
        <f>IFERROR(INDEX(Registro!$Q$2:$Q$500,MATCH(431,Registro!$T$2:$T$500,0)),"")</f>
        <v/>
      </c>
    </row>
    <row r="433" spans="1:8" x14ac:dyDescent="0.25">
      <c r="A433" s="49" t="str">
        <f>IFERROR(INDEX(Registro!$E$2:$E$500,MATCH(432,Registro!$T$2:$T$500,0)),"")</f>
        <v/>
      </c>
      <c r="B433" s="49" t="str">
        <f>IFERROR(INDEX(Registro!$F$2:$F$500,MATCH(432,Registro!$T$2:$T$500,0)),"")</f>
        <v/>
      </c>
      <c r="C433" s="49" t="str">
        <f>IFERROR(INDEX(Registro!$G$2:$G$500,MATCH(432,Registro!$T$2:$T$500,0)),"")</f>
        <v/>
      </c>
      <c r="D433" s="49" t="str">
        <f>IFERROR(INDEX(Registro!$H$2:$H$500,MATCH(432,Registro!$T$2:$T$500,0)),"")</f>
        <v/>
      </c>
      <c r="E433" s="50" t="str">
        <f>IFERROR(INDEX(Registro!$C$2:$C$500,MATCH(432,Registro!$T$2:$T$500,0)),"")</f>
        <v/>
      </c>
      <c r="F433" s="49" t="str">
        <f>IFERROR(INDEX(Registro!$B$2:$B$500,MATCH(432,Registro!$T$2:$T$500,0)),"")</f>
        <v/>
      </c>
      <c r="G433" s="49" t="str">
        <f>IFERROR(INDEX(Registro!$P$2:$P$500,MATCH(432,Registro!$T$2:$T$500,0)),"")</f>
        <v/>
      </c>
      <c r="H433" s="49" t="str">
        <f>IFERROR(INDEX(Registro!$Q$2:$Q$500,MATCH(432,Registro!$T$2:$T$500,0)),"")</f>
        <v/>
      </c>
    </row>
    <row r="434" spans="1:8" x14ac:dyDescent="0.25">
      <c r="A434" s="49" t="str">
        <f>IFERROR(INDEX(Registro!$E$2:$E$500,MATCH(433,Registro!$T$2:$T$500,0)),"")</f>
        <v/>
      </c>
      <c r="B434" s="49" t="str">
        <f>IFERROR(INDEX(Registro!$F$2:$F$500,MATCH(433,Registro!$T$2:$T$500,0)),"")</f>
        <v/>
      </c>
      <c r="C434" s="49" t="str">
        <f>IFERROR(INDEX(Registro!$G$2:$G$500,MATCH(433,Registro!$T$2:$T$500,0)),"")</f>
        <v/>
      </c>
      <c r="D434" s="49" t="str">
        <f>IFERROR(INDEX(Registro!$H$2:$H$500,MATCH(433,Registro!$T$2:$T$500,0)),"")</f>
        <v/>
      </c>
      <c r="E434" s="50" t="str">
        <f>IFERROR(INDEX(Registro!$C$2:$C$500,MATCH(433,Registro!$T$2:$T$500,0)),"")</f>
        <v/>
      </c>
      <c r="F434" s="49" t="str">
        <f>IFERROR(INDEX(Registro!$B$2:$B$500,MATCH(433,Registro!$T$2:$T$500,0)),"")</f>
        <v/>
      </c>
      <c r="G434" s="49" t="str">
        <f>IFERROR(INDEX(Registro!$P$2:$P$500,MATCH(433,Registro!$T$2:$T$500,0)),"")</f>
        <v/>
      </c>
      <c r="H434" s="49" t="str">
        <f>IFERROR(INDEX(Registro!$Q$2:$Q$500,MATCH(433,Registro!$T$2:$T$500,0)),"")</f>
        <v/>
      </c>
    </row>
    <row r="435" spans="1:8" x14ac:dyDescent="0.25">
      <c r="A435" s="49" t="str">
        <f>IFERROR(INDEX(Registro!$E$2:$E$500,MATCH(434,Registro!$T$2:$T$500,0)),"")</f>
        <v/>
      </c>
      <c r="B435" s="49" t="str">
        <f>IFERROR(INDEX(Registro!$F$2:$F$500,MATCH(434,Registro!$T$2:$T$500,0)),"")</f>
        <v/>
      </c>
      <c r="C435" s="49" t="str">
        <f>IFERROR(INDEX(Registro!$G$2:$G$500,MATCH(434,Registro!$T$2:$T$500,0)),"")</f>
        <v/>
      </c>
      <c r="D435" s="49" t="str">
        <f>IFERROR(INDEX(Registro!$H$2:$H$500,MATCH(434,Registro!$T$2:$T$500,0)),"")</f>
        <v/>
      </c>
      <c r="E435" s="50" t="str">
        <f>IFERROR(INDEX(Registro!$C$2:$C$500,MATCH(434,Registro!$T$2:$T$500,0)),"")</f>
        <v/>
      </c>
      <c r="F435" s="49" t="str">
        <f>IFERROR(INDEX(Registro!$B$2:$B$500,MATCH(434,Registro!$T$2:$T$500,0)),"")</f>
        <v/>
      </c>
      <c r="G435" s="49" t="str">
        <f>IFERROR(INDEX(Registro!$P$2:$P$500,MATCH(434,Registro!$T$2:$T$500,0)),"")</f>
        <v/>
      </c>
      <c r="H435" s="49" t="str">
        <f>IFERROR(INDEX(Registro!$Q$2:$Q$500,MATCH(434,Registro!$T$2:$T$500,0)),"")</f>
        <v/>
      </c>
    </row>
    <row r="436" spans="1:8" x14ac:dyDescent="0.25">
      <c r="A436" s="49" t="str">
        <f>IFERROR(INDEX(Registro!$E$2:$E$500,MATCH(435,Registro!$T$2:$T$500,0)),"")</f>
        <v/>
      </c>
      <c r="B436" s="49" t="str">
        <f>IFERROR(INDEX(Registro!$F$2:$F$500,MATCH(435,Registro!$T$2:$T$500,0)),"")</f>
        <v/>
      </c>
      <c r="C436" s="49" t="str">
        <f>IFERROR(INDEX(Registro!$G$2:$G$500,MATCH(435,Registro!$T$2:$T$500,0)),"")</f>
        <v/>
      </c>
      <c r="D436" s="49" t="str">
        <f>IFERROR(INDEX(Registro!$H$2:$H$500,MATCH(435,Registro!$T$2:$T$500,0)),"")</f>
        <v/>
      </c>
      <c r="E436" s="50" t="str">
        <f>IFERROR(INDEX(Registro!$C$2:$C$500,MATCH(435,Registro!$T$2:$T$500,0)),"")</f>
        <v/>
      </c>
      <c r="F436" s="49" t="str">
        <f>IFERROR(INDEX(Registro!$B$2:$B$500,MATCH(435,Registro!$T$2:$T$500,0)),"")</f>
        <v/>
      </c>
      <c r="G436" s="49" t="str">
        <f>IFERROR(INDEX(Registro!$P$2:$P$500,MATCH(435,Registro!$T$2:$T$500,0)),"")</f>
        <v/>
      </c>
      <c r="H436" s="49" t="str">
        <f>IFERROR(INDEX(Registro!$Q$2:$Q$500,MATCH(435,Registro!$T$2:$T$500,0)),"")</f>
        <v/>
      </c>
    </row>
    <row r="437" spans="1:8" x14ac:dyDescent="0.25">
      <c r="A437" s="49" t="str">
        <f>IFERROR(INDEX(Registro!$E$2:$E$500,MATCH(436,Registro!$T$2:$T$500,0)),"")</f>
        <v/>
      </c>
      <c r="B437" s="49" t="str">
        <f>IFERROR(INDEX(Registro!$F$2:$F$500,MATCH(436,Registro!$T$2:$T$500,0)),"")</f>
        <v/>
      </c>
      <c r="C437" s="49" t="str">
        <f>IFERROR(INDEX(Registro!$G$2:$G$500,MATCH(436,Registro!$T$2:$T$500,0)),"")</f>
        <v/>
      </c>
      <c r="D437" s="49" t="str">
        <f>IFERROR(INDEX(Registro!$H$2:$H$500,MATCH(436,Registro!$T$2:$T$500,0)),"")</f>
        <v/>
      </c>
      <c r="E437" s="50" t="str">
        <f>IFERROR(INDEX(Registro!$C$2:$C$500,MATCH(436,Registro!$T$2:$T$500,0)),"")</f>
        <v/>
      </c>
      <c r="F437" s="49" t="str">
        <f>IFERROR(INDEX(Registro!$B$2:$B$500,MATCH(436,Registro!$T$2:$T$500,0)),"")</f>
        <v/>
      </c>
      <c r="G437" s="49" t="str">
        <f>IFERROR(INDEX(Registro!$P$2:$P$500,MATCH(436,Registro!$T$2:$T$500,0)),"")</f>
        <v/>
      </c>
      <c r="H437" s="49" t="str">
        <f>IFERROR(INDEX(Registro!$Q$2:$Q$500,MATCH(436,Registro!$T$2:$T$500,0)),"")</f>
        <v/>
      </c>
    </row>
    <row r="438" spans="1:8" x14ac:dyDescent="0.25">
      <c r="A438" s="49" t="str">
        <f>IFERROR(INDEX(Registro!$E$2:$E$500,MATCH(437,Registro!$T$2:$T$500,0)),"")</f>
        <v/>
      </c>
      <c r="B438" s="49" t="str">
        <f>IFERROR(INDEX(Registro!$F$2:$F$500,MATCH(437,Registro!$T$2:$T$500,0)),"")</f>
        <v/>
      </c>
      <c r="C438" s="49" t="str">
        <f>IFERROR(INDEX(Registro!$G$2:$G$500,MATCH(437,Registro!$T$2:$T$500,0)),"")</f>
        <v/>
      </c>
      <c r="D438" s="49" t="str">
        <f>IFERROR(INDEX(Registro!$H$2:$H$500,MATCH(437,Registro!$T$2:$T$500,0)),"")</f>
        <v/>
      </c>
      <c r="E438" s="50" t="str">
        <f>IFERROR(INDEX(Registro!$C$2:$C$500,MATCH(437,Registro!$T$2:$T$500,0)),"")</f>
        <v/>
      </c>
      <c r="F438" s="49" t="str">
        <f>IFERROR(INDEX(Registro!$B$2:$B$500,MATCH(437,Registro!$T$2:$T$500,0)),"")</f>
        <v/>
      </c>
      <c r="G438" s="49" t="str">
        <f>IFERROR(INDEX(Registro!$P$2:$P$500,MATCH(437,Registro!$T$2:$T$500,0)),"")</f>
        <v/>
      </c>
      <c r="H438" s="49" t="str">
        <f>IFERROR(INDEX(Registro!$Q$2:$Q$500,MATCH(437,Registro!$T$2:$T$500,0)),"")</f>
        <v/>
      </c>
    </row>
    <row r="439" spans="1:8" x14ac:dyDescent="0.25">
      <c r="A439" s="49" t="str">
        <f>IFERROR(INDEX(Registro!$E$2:$E$500,MATCH(438,Registro!$T$2:$T$500,0)),"")</f>
        <v/>
      </c>
      <c r="B439" s="49" t="str">
        <f>IFERROR(INDEX(Registro!$F$2:$F$500,MATCH(438,Registro!$T$2:$T$500,0)),"")</f>
        <v/>
      </c>
      <c r="C439" s="49" t="str">
        <f>IFERROR(INDEX(Registro!$G$2:$G$500,MATCH(438,Registro!$T$2:$T$500,0)),"")</f>
        <v/>
      </c>
      <c r="D439" s="49" t="str">
        <f>IFERROR(INDEX(Registro!$H$2:$H$500,MATCH(438,Registro!$T$2:$T$500,0)),"")</f>
        <v/>
      </c>
      <c r="E439" s="50" t="str">
        <f>IFERROR(INDEX(Registro!$C$2:$C$500,MATCH(438,Registro!$T$2:$T$500,0)),"")</f>
        <v/>
      </c>
      <c r="F439" s="49" t="str">
        <f>IFERROR(INDEX(Registro!$B$2:$B$500,MATCH(438,Registro!$T$2:$T$500,0)),"")</f>
        <v/>
      </c>
      <c r="G439" s="49" t="str">
        <f>IFERROR(INDEX(Registro!$P$2:$P$500,MATCH(438,Registro!$T$2:$T$500,0)),"")</f>
        <v/>
      </c>
      <c r="H439" s="49" t="str">
        <f>IFERROR(INDEX(Registro!$Q$2:$Q$500,MATCH(438,Registro!$T$2:$T$500,0)),"")</f>
        <v/>
      </c>
    </row>
    <row r="440" spans="1:8" x14ac:dyDescent="0.25">
      <c r="A440" s="49" t="str">
        <f>IFERROR(INDEX(Registro!$E$2:$E$500,MATCH(439,Registro!$T$2:$T$500,0)),"")</f>
        <v/>
      </c>
      <c r="B440" s="49" t="str">
        <f>IFERROR(INDEX(Registro!$F$2:$F$500,MATCH(439,Registro!$T$2:$T$500,0)),"")</f>
        <v/>
      </c>
      <c r="C440" s="49" t="str">
        <f>IFERROR(INDEX(Registro!$G$2:$G$500,MATCH(439,Registro!$T$2:$T$500,0)),"")</f>
        <v/>
      </c>
      <c r="D440" s="49" t="str">
        <f>IFERROR(INDEX(Registro!$H$2:$H$500,MATCH(439,Registro!$T$2:$T$500,0)),"")</f>
        <v/>
      </c>
      <c r="E440" s="50" t="str">
        <f>IFERROR(INDEX(Registro!$C$2:$C$500,MATCH(439,Registro!$T$2:$T$500,0)),"")</f>
        <v/>
      </c>
      <c r="F440" s="49" t="str">
        <f>IFERROR(INDEX(Registro!$B$2:$B$500,MATCH(439,Registro!$T$2:$T$500,0)),"")</f>
        <v/>
      </c>
      <c r="G440" s="49" t="str">
        <f>IFERROR(INDEX(Registro!$P$2:$P$500,MATCH(439,Registro!$T$2:$T$500,0)),"")</f>
        <v/>
      </c>
      <c r="H440" s="49" t="str">
        <f>IFERROR(INDEX(Registro!$Q$2:$Q$500,MATCH(439,Registro!$T$2:$T$500,0)),"")</f>
        <v/>
      </c>
    </row>
    <row r="441" spans="1:8" x14ac:dyDescent="0.25">
      <c r="A441" s="49" t="str">
        <f>IFERROR(INDEX(Registro!$E$2:$E$500,MATCH(440,Registro!$T$2:$T$500,0)),"")</f>
        <v/>
      </c>
      <c r="B441" s="49" t="str">
        <f>IFERROR(INDEX(Registro!$F$2:$F$500,MATCH(440,Registro!$T$2:$T$500,0)),"")</f>
        <v/>
      </c>
      <c r="C441" s="49" t="str">
        <f>IFERROR(INDEX(Registro!$G$2:$G$500,MATCH(440,Registro!$T$2:$T$500,0)),"")</f>
        <v/>
      </c>
      <c r="D441" s="49" t="str">
        <f>IFERROR(INDEX(Registro!$H$2:$H$500,MATCH(440,Registro!$T$2:$T$500,0)),"")</f>
        <v/>
      </c>
      <c r="E441" s="50" t="str">
        <f>IFERROR(INDEX(Registro!$C$2:$C$500,MATCH(440,Registro!$T$2:$T$500,0)),"")</f>
        <v/>
      </c>
      <c r="F441" s="49" t="str">
        <f>IFERROR(INDEX(Registro!$B$2:$B$500,MATCH(440,Registro!$T$2:$T$500,0)),"")</f>
        <v/>
      </c>
      <c r="G441" s="49" t="str">
        <f>IFERROR(INDEX(Registro!$P$2:$P$500,MATCH(440,Registro!$T$2:$T$500,0)),"")</f>
        <v/>
      </c>
      <c r="H441" s="49" t="str">
        <f>IFERROR(INDEX(Registro!$Q$2:$Q$500,MATCH(440,Registro!$T$2:$T$500,0)),"")</f>
        <v/>
      </c>
    </row>
    <row r="442" spans="1:8" x14ac:dyDescent="0.25">
      <c r="A442" s="49" t="str">
        <f>IFERROR(INDEX(Registro!$E$2:$E$500,MATCH(441,Registro!$T$2:$T$500,0)),"")</f>
        <v/>
      </c>
      <c r="B442" s="49" t="str">
        <f>IFERROR(INDEX(Registro!$F$2:$F$500,MATCH(441,Registro!$T$2:$T$500,0)),"")</f>
        <v/>
      </c>
      <c r="C442" s="49" t="str">
        <f>IFERROR(INDEX(Registro!$G$2:$G$500,MATCH(441,Registro!$T$2:$T$500,0)),"")</f>
        <v/>
      </c>
      <c r="D442" s="49" t="str">
        <f>IFERROR(INDEX(Registro!$H$2:$H$500,MATCH(441,Registro!$T$2:$T$500,0)),"")</f>
        <v/>
      </c>
      <c r="E442" s="50" t="str">
        <f>IFERROR(INDEX(Registro!$C$2:$C$500,MATCH(441,Registro!$T$2:$T$500,0)),"")</f>
        <v/>
      </c>
      <c r="F442" s="49" t="str">
        <f>IFERROR(INDEX(Registro!$B$2:$B$500,MATCH(441,Registro!$T$2:$T$500,0)),"")</f>
        <v/>
      </c>
      <c r="G442" s="49" t="str">
        <f>IFERROR(INDEX(Registro!$P$2:$P$500,MATCH(441,Registro!$T$2:$T$500,0)),"")</f>
        <v/>
      </c>
      <c r="H442" s="49" t="str">
        <f>IFERROR(INDEX(Registro!$Q$2:$Q$500,MATCH(441,Registro!$T$2:$T$500,0)),"")</f>
        <v/>
      </c>
    </row>
    <row r="443" spans="1:8" x14ac:dyDescent="0.25">
      <c r="A443" s="49" t="str">
        <f>IFERROR(INDEX(Registro!$E$2:$E$500,MATCH(442,Registro!$T$2:$T$500,0)),"")</f>
        <v/>
      </c>
      <c r="B443" s="49" t="str">
        <f>IFERROR(INDEX(Registro!$F$2:$F$500,MATCH(442,Registro!$T$2:$T$500,0)),"")</f>
        <v/>
      </c>
      <c r="C443" s="49" t="str">
        <f>IFERROR(INDEX(Registro!$G$2:$G$500,MATCH(442,Registro!$T$2:$T$500,0)),"")</f>
        <v/>
      </c>
      <c r="D443" s="49" t="str">
        <f>IFERROR(INDEX(Registro!$H$2:$H$500,MATCH(442,Registro!$T$2:$T$500,0)),"")</f>
        <v/>
      </c>
      <c r="E443" s="50" t="str">
        <f>IFERROR(INDEX(Registro!$C$2:$C$500,MATCH(442,Registro!$T$2:$T$500,0)),"")</f>
        <v/>
      </c>
      <c r="F443" s="49" t="str">
        <f>IFERROR(INDEX(Registro!$B$2:$B$500,MATCH(442,Registro!$T$2:$T$500,0)),"")</f>
        <v/>
      </c>
      <c r="G443" s="49" t="str">
        <f>IFERROR(INDEX(Registro!$P$2:$P$500,MATCH(442,Registro!$T$2:$T$500,0)),"")</f>
        <v/>
      </c>
      <c r="H443" s="49" t="str">
        <f>IFERROR(INDEX(Registro!$Q$2:$Q$500,MATCH(442,Registro!$T$2:$T$500,0)),"")</f>
        <v/>
      </c>
    </row>
    <row r="444" spans="1:8" x14ac:dyDescent="0.25">
      <c r="A444" s="49" t="str">
        <f>IFERROR(INDEX(Registro!$E$2:$E$500,MATCH(443,Registro!$T$2:$T$500,0)),"")</f>
        <v/>
      </c>
      <c r="B444" s="49" t="str">
        <f>IFERROR(INDEX(Registro!$F$2:$F$500,MATCH(443,Registro!$T$2:$T$500,0)),"")</f>
        <v/>
      </c>
      <c r="C444" s="49" t="str">
        <f>IFERROR(INDEX(Registro!$G$2:$G$500,MATCH(443,Registro!$T$2:$T$500,0)),"")</f>
        <v/>
      </c>
      <c r="D444" s="49" t="str">
        <f>IFERROR(INDEX(Registro!$H$2:$H$500,MATCH(443,Registro!$T$2:$T$500,0)),"")</f>
        <v/>
      </c>
      <c r="E444" s="50" t="str">
        <f>IFERROR(INDEX(Registro!$C$2:$C$500,MATCH(443,Registro!$T$2:$T$500,0)),"")</f>
        <v/>
      </c>
      <c r="F444" s="49" t="str">
        <f>IFERROR(INDEX(Registro!$B$2:$B$500,MATCH(443,Registro!$T$2:$T$500,0)),"")</f>
        <v/>
      </c>
      <c r="G444" s="49" t="str">
        <f>IFERROR(INDEX(Registro!$P$2:$P$500,MATCH(443,Registro!$T$2:$T$500,0)),"")</f>
        <v/>
      </c>
      <c r="H444" s="49" t="str">
        <f>IFERROR(INDEX(Registro!$Q$2:$Q$500,MATCH(443,Registro!$T$2:$T$500,0)),"")</f>
        <v/>
      </c>
    </row>
    <row r="445" spans="1:8" x14ac:dyDescent="0.25">
      <c r="A445" s="49" t="str">
        <f>IFERROR(INDEX(Registro!$E$2:$E$500,MATCH(444,Registro!$T$2:$T$500,0)),"")</f>
        <v/>
      </c>
      <c r="B445" s="49" t="str">
        <f>IFERROR(INDEX(Registro!$F$2:$F$500,MATCH(444,Registro!$T$2:$T$500,0)),"")</f>
        <v/>
      </c>
      <c r="C445" s="49" t="str">
        <f>IFERROR(INDEX(Registro!$G$2:$G$500,MATCH(444,Registro!$T$2:$T$500,0)),"")</f>
        <v/>
      </c>
      <c r="D445" s="49" t="str">
        <f>IFERROR(INDEX(Registro!$H$2:$H$500,MATCH(444,Registro!$T$2:$T$500,0)),"")</f>
        <v/>
      </c>
      <c r="E445" s="50" t="str">
        <f>IFERROR(INDEX(Registro!$C$2:$C$500,MATCH(444,Registro!$T$2:$T$500,0)),"")</f>
        <v/>
      </c>
      <c r="F445" s="49" t="str">
        <f>IFERROR(INDEX(Registro!$B$2:$B$500,MATCH(444,Registro!$T$2:$T$500,0)),"")</f>
        <v/>
      </c>
      <c r="G445" s="49" t="str">
        <f>IFERROR(INDEX(Registro!$P$2:$P$500,MATCH(444,Registro!$T$2:$T$500,0)),"")</f>
        <v/>
      </c>
      <c r="H445" s="49" t="str">
        <f>IFERROR(INDEX(Registro!$Q$2:$Q$500,MATCH(444,Registro!$T$2:$T$500,0)),"")</f>
        <v/>
      </c>
    </row>
    <row r="446" spans="1:8" x14ac:dyDescent="0.25">
      <c r="A446" s="49" t="str">
        <f>IFERROR(INDEX(Registro!$E$2:$E$500,MATCH(445,Registro!$T$2:$T$500,0)),"")</f>
        <v/>
      </c>
      <c r="B446" s="49" t="str">
        <f>IFERROR(INDEX(Registro!$F$2:$F$500,MATCH(445,Registro!$T$2:$T$500,0)),"")</f>
        <v/>
      </c>
      <c r="C446" s="49" t="str">
        <f>IFERROR(INDEX(Registro!$G$2:$G$500,MATCH(445,Registro!$T$2:$T$500,0)),"")</f>
        <v/>
      </c>
      <c r="D446" s="49" t="str">
        <f>IFERROR(INDEX(Registro!$H$2:$H$500,MATCH(445,Registro!$T$2:$T$500,0)),"")</f>
        <v/>
      </c>
      <c r="E446" s="50" t="str">
        <f>IFERROR(INDEX(Registro!$C$2:$C$500,MATCH(445,Registro!$T$2:$T$500,0)),"")</f>
        <v/>
      </c>
      <c r="F446" s="49" t="str">
        <f>IFERROR(INDEX(Registro!$B$2:$B$500,MATCH(445,Registro!$T$2:$T$500,0)),"")</f>
        <v/>
      </c>
      <c r="G446" s="49" t="str">
        <f>IFERROR(INDEX(Registro!$P$2:$P$500,MATCH(445,Registro!$T$2:$T$500,0)),"")</f>
        <v/>
      </c>
      <c r="H446" s="49" t="str">
        <f>IFERROR(INDEX(Registro!$Q$2:$Q$500,MATCH(445,Registro!$T$2:$T$500,0)),"")</f>
        <v/>
      </c>
    </row>
    <row r="447" spans="1:8" x14ac:dyDescent="0.25">
      <c r="A447" s="49" t="str">
        <f>IFERROR(INDEX(Registro!$E$2:$E$500,MATCH(446,Registro!$T$2:$T$500,0)),"")</f>
        <v/>
      </c>
      <c r="B447" s="49" t="str">
        <f>IFERROR(INDEX(Registro!$F$2:$F$500,MATCH(446,Registro!$T$2:$T$500,0)),"")</f>
        <v/>
      </c>
      <c r="C447" s="49" t="str">
        <f>IFERROR(INDEX(Registro!$G$2:$G$500,MATCH(446,Registro!$T$2:$T$500,0)),"")</f>
        <v/>
      </c>
      <c r="D447" s="49" t="str">
        <f>IFERROR(INDEX(Registro!$H$2:$H$500,MATCH(446,Registro!$T$2:$T$500,0)),"")</f>
        <v/>
      </c>
      <c r="E447" s="50" t="str">
        <f>IFERROR(INDEX(Registro!$C$2:$C$500,MATCH(446,Registro!$T$2:$T$500,0)),"")</f>
        <v/>
      </c>
      <c r="F447" s="49" t="str">
        <f>IFERROR(INDEX(Registro!$B$2:$B$500,MATCH(446,Registro!$T$2:$T$500,0)),"")</f>
        <v/>
      </c>
      <c r="G447" s="49" t="str">
        <f>IFERROR(INDEX(Registro!$P$2:$P$500,MATCH(446,Registro!$T$2:$T$500,0)),"")</f>
        <v/>
      </c>
      <c r="H447" s="49" t="str">
        <f>IFERROR(INDEX(Registro!$Q$2:$Q$500,MATCH(446,Registro!$T$2:$T$500,0)),"")</f>
        <v/>
      </c>
    </row>
    <row r="448" spans="1:8" x14ac:dyDescent="0.25">
      <c r="A448" s="49" t="str">
        <f>IFERROR(INDEX(Registro!$E$2:$E$500,MATCH(447,Registro!$T$2:$T$500,0)),"")</f>
        <v/>
      </c>
      <c r="B448" s="49" t="str">
        <f>IFERROR(INDEX(Registro!$F$2:$F$500,MATCH(447,Registro!$T$2:$T$500,0)),"")</f>
        <v/>
      </c>
      <c r="C448" s="49" t="str">
        <f>IFERROR(INDEX(Registro!$G$2:$G$500,MATCH(447,Registro!$T$2:$T$500,0)),"")</f>
        <v/>
      </c>
      <c r="D448" s="49" t="str">
        <f>IFERROR(INDEX(Registro!$H$2:$H$500,MATCH(447,Registro!$T$2:$T$500,0)),"")</f>
        <v/>
      </c>
      <c r="E448" s="50" t="str">
        <f>IFERROR(INDEX(Registro!$C$2:$C$500,MATCH(447,Registro!$T$2:$T$500,0)),"")</f>
        <v/>
      </c>
      <c r="F448" s="49" t="str">
        <f>IFERROR(INDEX(Registro!$B$2:$B$500,MATCH(447,Registro!$T$2:$T$500,0)),"")</f>
        <v/>
      </c>
      <c r="G448" s="49" t="str">
        <f>IFERROR(INDEX(Registro!$P$2:$P$500,MATCH(447,Registro!$T$2:$T$500,0)),"")</f>
        <v/>
      </c>
      <c r="H448" s="49" t="str">
        <f>IFERROR(INDEX(Registro!$Q$2:$Q$500,MATCH(447,Registro!$T$2:$T$500,0)),"")</f>
        <v/>
      </c>
    </row>
    <row r="449" spans="1:8" x14ac:dyDescent="0.25">
      <c r="A449" s="49" t="str">
        <f>IFERROR(INDEX(Registro!$E$2:$E$500,MATCH(448,Registro!$T$2:$T$500,0)),"")</f>
        <v/>
      </c>
      <c r="B449" s="49" t="str">
        <f>IFERROR(INDEX(Registro!$F$2:$F$500,MATCH(448,Registro!$T$2:$T$500,0)),"")</f>
        <v/>
      </c>
      <c r="C449" s="49" t="str">
        <f>IFERROR(INDEX(Registro!$G$2:$G$500,MATCH(448,Registro!$T$2:$T$500,0)),"")</f>
        <v/>
      </c>
      <c r="D449" s="49" t="str">
        <f>IFERROR(INDEX(Registro!$H$2:$H$500,MATCH(448,Registro!$T$2:$T$500,0)),"")</f>
        <v/>
      </c>
      <c r="E449" s="50" t="str">
        <f>IFERROR(INDEX(Registro!$C$2:$C$500,MATCH(448,Registro!$T$2:$T$500,0)),"")</f>
        <v/>
      </c>
      <c r="F449" s="49" t="str">
        <f>IFERROR(INDEX(Registro!$B$2:$B$500,MATCH(448,Registro!$T$2:$T$500,0)),"")</f>
        <v/>
      </c>
      <c r="G449" s="49" t="str">
        <f>IFERROR(INDEX(Registro!$P$2:$P$500,MATCH(448,Registro!$T$2:$T$500,0)),"")</f>
        <v/>
      </c>
      <c r="H449" s="49" t="str">
        <f>IFERROR(INDEX(Registro!$Q$2:$Q$500,MATCH(448,Registro!$T$2:$T$500,0)),"")</f>
        <v/>
      </c>
    </row>
    <row r="450" spans="1:8" x14ac:dyDescent="0.25">
      <c r="A450" s="49" t="str">
        <f>IFERROR(INDEX(Registro!$E$2:$E$500,MATCH(449,Registro!$T$2:$T$500,0)),"")</f>
        <v/>
      </c>
      <c r="B450" s="49" t="str">
        <f>IFERROR(INDEX(Registro!$F$2:$F$500,MATCH(449,Registro!$T$2:$T$500,0)),"")</f>
        <v/>
      </c>
      <c r="C450" s="49" t="str">
        <f>IFERROR(INDEX(Registro!$G$2:$G$500,MATCH(449,Registro!$T$2:$T$500,0)),"")</f>
        <v/>
      </c>
      <c r="D450" s="49" t="str">
        <f>IFERROR(INDEX(Registro!$H$2:$H$500,MATCH(449,Registro!$T$2:$T$500,0)),"")</f>
        <v/>
      </c>
      <c r="E450" s="50" t="str">
        <f>IFERROR(INDEX(Registro!$C$2:$C$500,MATCH(449,Registro!$T$2:$T$500,0)),"")</f>
        <v/>
      </c>
      <c r="F450" s="49" t="str">
        <f>IFERROR(INDEX(Registro!$B$2:$B$500,MATCH(449,Registro!$T$2:$T$500,0)),"")</f>
        <v/>
      </c>
      <c r="G450" s="49" t="str">
        <f>IFERROR(INDEX(Registro!$P$2:$P$500,MATCH(449,Registro!$T$2:$T$500,0)),"")</f>
        <v/>
      </c>
      <c r="H450" s="49" t="str">
        <f>IFERROR(INDEX(Registro!$Q$2:$Q$500,MATCH(449,Registro!$T$2:$T$500,0)),"")</f>
        <v/>
      </c>
    </row>
    <row r="451" spans="1:8" x14ac:dyDescent="0.25">
      <c r="A451" s="49" t="str">
        <f>IFERROR(INDEX(Registro!$E$2:$E$500,MATCH(450,Registro!$T$2:$T$500,0)),"")</f>
        <v/>
      </c>
      <c r="B451" s="49" t="str">
        <f>IFERROR(INDEX(Registro!$F$2:$F$500,MATCH(450,Registro!$T$2:$T$500,0)),"")</f>
        <v/>
      </c>
      <c r="C451" s="49" t="str">
        <f>IFERROR(INDEX(Registro!$G$2:$G$500,MATCH(450,Registro!$T$2:$T$500,0)),"")</f>
        <v/>
      </c>
      <c r="D451" s="49" t="str">
        <f>IFERROR(INDEX(Registro!$H$2:$H$500,MATCH(450,Registro!$T$2:$T$500,0)),"")</f>
        <v/>
      </c>
      <c r="E451" s="50" t="str">
        <f>IFERROR(INDEX(Registro!$C$2:$C$500,MATCH(450,Registro!$T$2:$T$500,0)),"")</f>
        <v/>
      </c>
      <c r="F451" s="49" t="str">
        <f>IFERROR(INDEX(Registro!$B$2:$B$500,MATCH(450,Registro!$T$2:$T$500,0)),"")</f>
        <v/>
      </c>
      <c r="G451" s="49" t="str">
        <f>IFERROR(INDEX(Registro!$P$2:$P$500,MATCH(450,Registro!$T$2:$T$500,0)),"")</f>
        <v/>
      </c>
      <c r="H451" s="49" t="str">
        <f>IFERROR(INDEX(Registro!$Q$2:$Q$500,MATCH(450,Registro!$T$2:$T$500,0)),"")</f>
        <v/>
      </c>
    </row>
    <row r="452" spans="1:8" x14ac:dyDescent="0.25">
      <c r="A452" s="49" t="str">
        <f>IFERROR(INDEX(Registro!$E$2:$E$500,MATCH(451,Registro!$T$2:$T$500,0)),"")</f>
        <v/>
      </c>
      <c r="B452" s="49" t="str">
        <f>IFERROR(INDEX(Registro!$F$2:$F$500,MATCH(451,Registro!$T$2:$T$500,0)),"")</f>
        <v/>
      </c>
      <c r="C452" s="49" t="str">
        <f>IFERROR(INDEX(Registro!$G$2:$G$500,MATCH(451,Registro!$T$2:$T$500,0)),"")</f>
        <v/>
      </c>
      <c r="D452" s="49" t="str">
        <f>IFERROR(INDEX(Registro!$H$2:$H$500,MATCH(451,Registro!$T$2:$T$500,0)),"")</f>
        <v/>
      </c>
      <c r="E452" s="50" t="str">
        <f>IFERROR(INDEX(Registro!$C$2:$C$500,MATCH(451,Registro!$T$2:$T$500,0)),"")</f>
        <v/>
      </c>
      <c r="F452" s="49" t="str">
        <f>IFERROR(INDEX(Registro!$B$2:$B$500,MATCH(451,Registro!$T$2:$T$500,0)),"")</f>
        <v/>
      </c>
      <c r="G452" s="49" t="str">
        <f>IFERROR(INDEX(Registro!$P$2:$P$500,MATCH(451,Registro!$T$2:$T$500,0)),"")</f>
        <v/>
      </c>
      <c r="H452" s="49" t="str">
        <f>IFERROR(INDEX(Registro!$Q$2:$Q$500,MATCH(451,Registro!$T$2:$T$500,0)),"")</f>
        <v/>
      </c>
    </row>
    <row r="453" spans="1:8" x14ac:dyDescent="0.25">
      <c r="A453" s="49" t="str">
        <f>IFERROR(INDEX(Registro!$E$2:$E$500,MATCH(452,Registro!$T$2:$T$500,0)),"")</f>
        <v/>
      </c>
      <c r="B453" s="49" t="str">
        <f>IFERROR(INDEX(Registro!$F$2:$F$500,MATCH(452,Registro!$T$2:$T$500,0)),"")</f>
        <v/>
      </c>
      <c r="C453" s="49" t="str">
        <f>IFERROR(INDEX(Registro!$G$2:$G$500,MATCH(452,Registro!$T$2:$T$500,0)),"")</f>
        <v/>
      </c>
      <c r="D453" s="49" t="str">
        <f>IFERROR(INDEX(Registro!$H$2:$H$500,MATCH(452,Registro!$T$2:$T$500,0)),"")</f>
        <v/>
      </c>
      <c r="E453" s="50" t="str">
        <f>IFERROR(INDEX(Registro!$C$2:$C$500,MATCH(452,Registro!$T$2:$T$500,0)),"")</f>
        <v/>
      </c>
      <c r="F453" s="49" t="str">
        <f>IFERROR(INDEX(Registro!$B$2:$B$500,MATCH(452,Registro!$T$2:$T$500,0)),"")</f>
        <v/>
      </c>
      <c r="G453" s="49" t="str">
        <f>IFERROR(INDEX(Registro!$P$2:$P$500,MATCH(452,Registro!$T$2:$T$500,0)),"")</f>
        <v/>
      </c>
      <c r="H453" s="49" t="str">
        <f>IFERROR(INDEX(Registro!$Q$2:$Q$500,MATCH(452,Registro!$T$2:$T$500,0)),"")</f>
        <v/>
      </c>
    </row>
    <row r="454" spans="1:8" x14ac:dyDescent="0.25">
      <c r="A454" s="49" t="str">
        <f>IFERROR(INDEX(Registro!$E$2:$E$500,MATCH(453,Registro!$T$2:$T$500,0)),"")</f>
        <v/>
      </c>
      <c r="B454" s="49" t="str">
        <f>IFERROR(INDEX(Registro!$F$2:$F$500,MATCH(453,Registro!$T$2:$T$500,0)),"")</f>
        <v/>
      </c>
      <c r="C454" s="49" t="str">
        <f>IFERROR(INDEX(Registro!$G$2:$G$500,MATCH(453,Registro!$T$2:$T$500,0)),"")</f>
        <v/>
      </c>
      <c r="D454" s="49" t="str">
        <f>IFERROR(INDEX(Registro!$H$2:$H$500,MATCH(453,Registro!$T$2:$T$500,0)),"")</f>
        <v/>
      </c>
      <c r="E454" s="50" t="str">
        <f>IFERROR(INDEX(Registro!$C$2:$C$500,MATCH(453,Registro!$T$2:$T$500,0)),"")</f>
        <v/>
      </c>
      <c r="F454" s="49" t="str">
        <f>IFERROR(INDEX(Registro!$B$2:$B$500,MATCH(453,Registro!$T$2:$T$500,0)),"")</f>
        <v/>
      </c>
      <c r="G454" s="49" t="str">
        <f>IFERROR(INDEX(Registro!$P$2:$P$500,MATCH(453,Registro!$T$2:$T$500,0)),"")</f>
        <v/>
      </c>
      <c r="H454" s="49" t="str">
        <f>IFERROR(INDEX(Registro!$Q$2:$Q$500,MATCH(453,Registro!$T$2:$T$500,0)),"")</f>
        <v/>
      </c>
    </row>
    <row r="455" spans="1:8" x14ac:dyDescent="0.25">
      <c r="A455" s="49" t="str">
        <f>IFERROR(INDEX(Registro!$E$2:$E$500,MATCH(454,Registro!$T$2:$T$500,0)),"")</f>
        <v/>
      </c>
      <c r="B455" s="49" t="str">
        <f>IFERROR(INDEX(Registro!$F$2:$F$500,MATCH(454,Registro!$T$2:$T$500,0)),"")</f>
        <v/>
      </c>
      <c r="C455" s="49" t="str">
        <f>IFERROR(INDEX(Registro!$G$2:$G$500,MATCH(454,Registro!$T$2:$T$500,0)),"")</f>
        <v/>
      </c>
      <c r="D455" s="49" t="str">
        <f>IFERROR(INDEX(Registro!$H$2:$H$500,MATCH(454,Registro!$T$2:$T$500,0)),"")</f>
        <v/>
      </c>
      <c r="E455" s="50" t="str">
        <f>IFERROR(INDEX(Registro!$C$2:$C$500,MATCH(454,Registro!$T$2:$T$500,0)),"")</f>
        <v/>
      </c>
      <c r="F455" s="49" t="str">
        <f>IFERROR(INDEX(Registro!$B$2:$B$500,MATCH(454,Registro!$T$2:$T$500,0)),"")</f>
        <v/>
      </c>
      <c r="G455" s="49" t="str">
        <f>IFERROR(INDEX(Registro!$P$2:$P$500,MATCH(454,Registro!$T$2:$T$500,0)),"")</f>
        <v/>
      </c>
      <c r="H455" s="49" t="str">
        <f>IFERROR(INDEX(Registro!$Q$2:$Q$500,MATCH(454,Registro!$T$2:$T$500,0)),"")</f>
        <v/>
      </c>
    </row>
    <row r="456" spans="1:8" x14ac:dyDescent="0.25">
      <c r="A456" s="49" t="str">
        <f>IFERROR(INDEX(Registro!$E$2:$E$500,MATCH(455,Registro!$T$2:$T$500,0)),"")</f>
        <v/>
      </c>
      <c r="B456" s="49" t="str">
        <f>IFERROR(INDEX(Registro!$F$2:$F$500,MATCH(455,Registro!$T$2:$T$500,0)),"")</f>
        <v/>
      </c>
      <c r="C456" s="49" t="str">
        <f>IFERROR(INDEX(Registro!$G$2:$G$500,MATCH(455,Registro!$T$2:$T$500,0)),"")</f>
        <v/>
      </c>
      <c r="D456" s="49" t="str">
        <f>IFERROR(INDEX(Registro!$H$2:$H$500,MATCH(455,Registro!$T$2:$T$500,0)),"")</f>
        <v/>
      </c>
      <c r="E456" s="50" t="str">
        <f>IFERROR(INDEX(Registro!$C$2:$C$500,MATCH(455,Registro!$T$2:$T$500,0)),"")</f>
        <v/>
      </c>
      <c r="F456" s="49" t="str">
        <f>IFERROR(INDEX(Registro!$B$2:$B$500,MATCH(455,Registro!$T$2:$T$500,0)),"")</f>
        <v/>
      </c>
      <c r="G456" s="49" t="str">
        <f>IFERROR(INDEX(Registro!$P$2:$P$500,MATCH(455,Registro!$T$2:$T$500,0)),"")</f>
        <v/>
      </c>
      <c r="H456" s="49" t="str">
        <f>IFERROR(INDEX(Registro!$Q$2:$Q$500,MATCH(455,Registro!$T$2:$T$500,0)),"")</f>
        <v/>
      </c>
    </row>
    <row r="457" spans="1:8" x14ac:dyDescent="0.25">
      <c r="A457" s="49" t="str">
        <f>IFERROR(INDEX(Registro!$E$2:$E$500,MATCH(456,Registro!$T$2:$T$500,0)),"")</f>
        <v/>
      </c>
      <c r="B457" s="49" t="str">
        <f>IFERROR(INDEX(Registro!$F$2:$F$500,MATCH(456,Registro!$T$2:$T$500,0)),"")</f>
        <v/>
      </c>
      <c r="C457" s="49" t="str">
        <f>IFERROR(INDEX(Registro!$G$2:$G$500,MATCH(456,Registro!$T$2:$T$500,0)),"")</f>
        <v/>
      </c>
      <c r="D457" s="49" t="str">
        <f>IFERROR(INDEX(Registro!$H$2:$H$500,MATCH(456,Registro!$T$2:$T$500,0)),"")</f>
        <v/>
      </c>
      <c r="E457" s="50" t="str">
        <f>IFERROR(INDEX(Registro!$C$2:$C$500,MATCH(456,Registro!$T$2:$T$500,0)),"")</f>
        <v/>
      </c>
      <c r="F457" s="49" t="str">
        <f>IFERROR(INDEX(Registro!$B$2:$B$500,MATCH(456,Registro!$T$2:$T$500,0)),"")</f>
        <v/>
      </c>
      <c r="G457" s="49" t="str">
        <f>IFERROR(INDEX(Registro!$P$2:$P$500,MATCH(456,Registro!$T$2:$T$500,0)),"")</f>
        <v/>
      </c>
      <c r="H457" s="49" t="str">
        <f>IFERROR(INDEX(Registro!$Q$2:$Q$500,MATCH(456,Registro!$T$2:$T$500,0)),"")</f>
        <v/>
      </c>
    </row>
    <row r="458" spans="1:8" x14ac:dyDescent="0.25">
      <c r="A458" s="49" t="str">
        <f>IFERROR(INDEX(Registro!$E$2:$E$500,MATCH(457,Registro!$T$2:$T$500,0)),"")</f>
        <v/>
      </c>
      <c r="B458" s="49" t="str">
        <f>IFERROR(INDEX(Registro!$F$2:$F$500,MATCH(457,Registro!$T$2:$T$500,0)),"")</f>
        <v/>
      </c>
      <c r="C458" s="49" t="str">
        <f>IFERROR(INDEX(Registro!$G$2:$G$500,MATCH(457,Registro!$T$2:$T$500,0)),"")</f>
        <v/>
      </c>
      <c r="D458" s="49" t="str">
        <f>IFERROR(INDEX(Registro!$H$2:$H$500,MATCH(457,Registro!$T$2:$T$500,0)),"")</f>
        <v/>
      </c>
      <c r="E458" s="50" t="str">
        <f>IFERROR(INDEX(Registro!$C$2:$C$500,MATCH(457,Registro!$T$2:$T$500,0)),"")</f>
        <v/>
      </c>
      <c r="F458" s="49" t="str">
        <f>IFERROR(INDEX(Registro!$B$2:$B$500,MATCH(457,Registro!$T$2:$T$500,0)),"")</f>
        <v/>
      </c>
      <c r="G458" s="49" t="str">
        <f>IFERROR(INDEX(Registro!$P$2:$P$500,MATCH(457,Registro!$T$2:$T$500,0)),"")</f>
        <v/>
      </c>
      <c r="H458" s="49" t="str">
        <f>IFERROR(INDEX(Registro!$Q$2:$Q$500,MATCH(457,Registro!$T$2:$T$500,0)),"")</f>
        <v/>
      </c>
    </row>
    <row r="459" spans="1:8" x14ac:dyDescent="0.25">
      <c r="A459" s="49" t="str">
        <f>IFERROR(INDEX(Registro!$E$2:$E$500,MATCH(458,Registro!$T$2:$T$500,0)),"")</f>
        <v/>
      </c>
      <c r="B459" s="49" t="str">
        <f>IFERROR(INDEX(Registro!$F$2:$F$500,MATCH(458,Registro!$T$2:$T$500,0)),"")</f>
        <v/>
      </c>
      <c r="C459" s="49" t="str">
        <f>IFERROR(INDEX(Registro!$G$2:$G$500,MATCH(458,Registro!$T$2:$T$500,0)),"")</f>
        <v/>
      </c>
      <c r="D459" s="49" t="str">
        <f>IFERROR(INDEX(Registro!$H$2:$H$500,MATCH(458,Registro!$T$2:$T$500,0)),"")</f>
        <v/>
      </c>
      <c r="E459" s="50" t="str">
        <f>IFERROR(INDEX(Registro!$C$2:$C$500,MATCH(458,Registro!$T$2:$T$500,0)),"")</f>
        <v/>
      </c>
      <c r="F459" s="49" t="str">
        <f>IFERROR(INDEX(Registro!$B$2:$B$500,MATCH(458,Registro!$T$2:$T$500,0)),"")</f>
        <v/>
      </c>
      <c r="G459" s="49" t="str">
        <f>IFERROR(INDEX(Registro!$P$2:$P$500,MATCH(458,Registro!$T$2:$T$500,0)),"")</f>
        <v/>
      </c>
      <c r="H459" s="49" t="str">
        <f>IFERROR(INDEX(Registro!$Q$2:$Q$500,MATCH(458,Registro!$T$2:$T$500,0)),"")</f>
        <v/>
      </c>
    </row>
    <row r="460" spans="1:8" x14ac:dyDescent="0.25">
      <c r="A460" s="49" t="str">
        <f>IFERROR(INDEX(Registro!$E$2:$E$500,MATCH(459,Registro!$T$2:$T$500,0)),"")</f>
        <v/>
      </c>
      <c r="B460" s="49" t="str">
        <f>IFERROR(INDEX(Registro!$F$2:$F$500,MATCH(459,Registro!$T$2:$T$500,0)),"")</f>
        <v/>
      </c>
      <c r="C460" s="49" t="str">
        <f>IFERROR(INDEX(Registro!$G$2:$G$500,MATCH(459,Registro!$T$2:$T$500,0)),"")</f>
        <v/>
      </c>
      <c r="D460" s="49" t="str">
        <f>IFERROR(INDEX(Registro!$H$2:$H$500,MATCH(459,Registro!$T$2:$T$500,0)),"")</f>
        <v/>
      </c>
      <c r="E460" s="50" t="str">
        <f>IFERROR(INDEX(Registro!$C$2:$C$500,MATCH(459,Registro!$T$2:$T$500,0)),"")</f>
        <v/>
      </c>
      <c r="F460" s="49" t="str">
        <f>IFERROR(INDEX(Registro!$B$2:$B$500,MATCH(459,Registro!$T$2:$T$500,0)),"")</f>
        <v/>
      </c>
      <c r="G460" s="49" t="str">
        <f>IFERROR(INDEX(Registro!$P$2:$P$500,MATCH(459,Registro!$T$2:$T$500,0)),"")</f>
        <v/>
      </c>
      <c r="H460" s="49" t="str">
        <f>IFERROR(INDEX(Registro!$Q$2:$Q$500,MATCH(459,Registro!$T$2:$T$500,0)),"")</f>
        <v/>
      </c>
    </row>
    <row r="461" spans="1:8" x14ac:dyDescent="0.25">
      <c r="A461" s="49" t="str">
        <f>IFERROR(INDEX(Registro!$E$2:$E$500,MATCH(460,Registro!$T$2:$T$500,0)),"")</f>
        <v/>
      </c>
      <c r="B461" s="49" t="str">
        <f>IFERROR(INDEX(Registro!$F$2:$F$500,MATCH(460,Registro!$T$2:$T$500,0)),"")</f>
        <v/>
      </c>
      <c r="C461" s="49" t="str">
        <f>IFERROR(INDEX(Registro!$G$2:$G$500,MATCH(460,Registro!$T$2:$T$500,0)),"")</f>
        <v/>
      </c>
      <c r="D461" s="49" t="str">
        <f>IFERROR(INDEX(Registro!$H$2:$H$500,MATCH(460,Registro!$T$2:$T$500,0)),"")</f>
        <v/>
      </c>
      <c r="E461" s="50" t="str">
        <f>IFERROR(INDEX(Registro!$C$2:$C$500,MATCH(460,Registro!$T$2:$T$500,0)),"")</f>
        <v/>
      </c>
      <c r="F461" s="49" t="str">
        <f>IFERROR(INDEX(Registro!$B$2:$B$500,MATCH(460,Registro!$T$2:$T$500,0)),"")</f>
        <v/>
      </c>
      <c r="G461" s="49" t="str">
        <f>IFERROR(INDEX(Registro!$P$2:$P$500,MATCH(460,Registro!$T$2:$T$500,0)),"")</f>
        <v/>
      </c>
      <c r="H461" s="49" t="str">
        <f>IFERROR(INDEX(Registro!$Q$2:$Q$500,MATCH(460,Registro!$T$2:$T$500,0)),"")</f>
        <v/>
      </c>
    </row>
    <row r="462" spans="1:8" x14ac:dyDescent="0.25">
      <c r="A462" s="49" t="str">
        <f>IFERROR(INDEX(Registro!$E$2:$E$500,MATCH(461,Registro!$T$2:$T$500,0)),"")</f>
        <v/>
      </c>
      <c r="B462" s="49" t="str">
        <f>IFERROR(INDEX(Registro!$F$2:$F$500,MATCH(461,Registro!$T$2:$T$500,0)),"")</f>
        <v/>
      </c>
      <c r="C462" s="49" t="str">
        <f>IFERROR(INDEX(Registro!$G$2:$G$500,MATCH(461,Registro!$T$2:$T$500,0)),"")</f>
        <v/>
      </c>
      <c r="D462" s="49" t="str">
        <f>IFERROR(INDEX(Registro!$H$2:$H$500,MATCH(461,Registro!$T$2:$T$500,0)),"")</f>
        <v/>
      </c>
      <c r="E462" s="50" t="str">
        <f>IFERROR(INDEX(Registro!$C$2:$C$500,MATCH(461,Registro!$T$2:$T$500,0)),"")</f>
        <v/>
      </c>
      <c r="F462" s="49" t="str">
        <f>IFERROR(INDEX(Registro!$B$2:$B$500,MATCH(461,Registro!$T$2:$T$500,0)),"")</f>
        <v/>
      </c>
      <c r="G462" s="49" t="str">
        <f>IFERROR(INDEX(Registro!$P$2:$P$500,MATCH(461,Registro!$T$2:$T$500,0)),"")</f>
        <v/>
      </c>
      <c r="H462" s="49" t="str">
        <f>IFERROR(INDEX(Registro!$Q$2:$Q$500,MATCH(461,Registro!$T$2:$T$500,0)),"")</f>
        <v/>
      </c>
    </row>
    <row r="463" spans="1:8" x14ac:dyDescent="0.25">
      <c r="A463" s="49" t="str">
        <f>IFERROR(INDEX(Registro!$E$2:$E$500,MATCH(462,Registro!$T$2:$T$500,0)),"")</f>
        <v/>
      </c>
      <c r="B463" s="49" t="str">
        <f>IFERROR(INDEX(Registro!$F$2:$F$500,MATCH(462,Registro!$T$2:$T$500,0)),"")</f>
        <v/>
      </c>
      <c r="C463" s="49" t="str">
        <f>IFERROR(INDEX(Registro!$G$2:$G$500,MATCH(462,Registro!$T$2:$T$500,0)),"")</f>
        <v/>
      </c>
      <c r="D463" s="49" t="str">
        <f>IFERROR(INDEX(Registro!$H$2:$H$500,MATCH(462,Registro!$T$2:$T$500,0)),"")</f>
        <v/>
      </c>
      <c r="E463" s="50" t="str">
        <f>IFERROR(INDEX(Registro!$C$2:$C$500,MATCH(462,Registro!$T$2:$T$500,0)),"")</f>
        <v/>
      </c>
      <c r="F463" s="49" t="str">
        <f>IFERROR(INDEX(Registro!$B$2:$B$500,MATCH(462,Registro!$T$2:$T$500,0)),"")</f>
        <v/>
      </c>
      <c r="G463" s="49" t="str">
        <f>IFERROR(INDEX(Registro!$P$2:$P$500,MATCH(462,Registro!$T$2:$T$500,0)),"")</f>
        <v/>
      </c>
      <c r="H463" s="49" t="str">
        <f>IFERROR(INDEX(Registro!$Q$2:$Q$500,MATCH(462,Registro!$T$2:$T$500,0)),"")</f>
        <v/>
      </c>
    </row>
    <row r="464" spans="1:8" x14ac:dyDescent="0.25">
      <c r="A464" s="49" t="str">
        <f>IFERROR(INDEX(Registro!$E$2:$E$500,MATCH(463,Registro!$T$2:$T$500,0)),"")</f>
        <v/>
      </c>
      <c r="B464" s="49" t="str">
        <f>IFERROR(INDEX(Registro!$F$2:$F$500,MATCH(463,Registro!$T$2:$T$500,0)),"")</f>
        <v/>
      </c>
      <c r="C464" s="49" t="str">
        <f>IFERROR(INDEX(Registro!$G$2:$G$500,MATCH(463,Registro!$T$2:$T$500,0)),"")</f>
        <v/>
      </c>
      <c r="D464" s="49" t="str">
        <f>IFERROR(INDEX(Registro!$H$2:$H$500,MATCH(463,Registro!$T$2:$T$500,0)),"")</f>
        <v/>
      </c>
      <c r="E464" s="50" t="str">
        <f>IFERROR(INDEX(Registro!$C$2:$C$500,MATCH(463,Registro!$T$2:$T$500,0)),"")</f>
        <v/>
      </c>
      <c r="F464" s="49" t="str">
        <f>IFERROR(INDEX(Registro!$B$2:$B$500,MATCH(463,Registro!$T$2:$T$500,0)),"")</f>
        <v/>
      </c>
      <c r="G464" s="49" t="str">
        <f>IFERROR(INDEX(Registro!$P$2:$P$500,MATCH(463,Registro!$T$2:$T$500,0)),"")</f>
        <v/>
      </c>
      <c r="H464" s="49" t="str">
        <f>IFERROR(INDEX(Registro!$Q$2:$Q$500,MATCH(463,Registro!$T$2:$T$500,0)),"")</f>
        <v/>
      </c>
    </row>
    <row r="465" spans="1:8" x14ac:dyDescent="0.25">
      <c r="A465" s="49" t="str">
        <f>IFERROR(INDEX(Registro!$E$2:$E$500,MATCH(464,Registro!$T$2:$T$500,0)),"")</f>
        <v/>
      </c>
      <c r="B465" s="49" t="str">
        <f>IFERROR(INDEX(Registro!$F$2:$F$500,MATCH(464,Registro!$T$2:$T$500,0)),"")</f>
        <v/>
      </c>
      <c r="C465" s="49" t="str">
        <f>IFERROR(INDEX(Registro!$G$2:$G$500,MATCH(464,Registro!$T$2:$T$500,0)),"")</f>
        <v/>
      </c>
      <c r="D465" s="49" t="str">
        <f>IFERROR(INDEX(Registro!$H$2:$H$500,MATCH(464,Registro!$T$2:$T$500,0)),"")</f>
        <v/>
      </c>
      <c r="E465" s="50" t="str">
        <f>IFERROR(INDEX(Registro!$C$2:$C$500,MATCH(464,Registro!$T$2:$T$500,0)),"")</f>
        <v/>
      </c>
      <c r="F465" s="49" t="str">
        <f>IFERROR(INDEX(Registro!$B$2:$B$500,MATCH(464,Registro!$T$2:$T$500,0)),"")</f>
        <v/>
      </c>
      <c r="G465" s="49" t="str">
        <f>IFERROR(INDEX(Registro!$P$2:$P$500,MATCH(464,Registro!$T$2:$T$500,0)),"")</f>
        <v/>
      </c>
      <c r="H465" s="49" t="str">
        <f>IFERROR(INDEX(Registro!$Q$2:$Q$500,MATCH(464,Registro!$T$2:$T$500,0)),"")</f>
        <v/>
      </c>
    </row>
    <row r="466" spans="1:8" x14ac:dyDescent="0.25">
      <c r="A466" s="49" t="str">
        <f>IFERROR(INDEX(Registro!$E$2:$E$500,MATCH(465,Registro!$T$2:$T$500,0)),"")</f>
        <v/>
      </c>
      <c r="B466" s="49" t="str">
        <f>IFERROR(INDEX(Registro!$F$2:$F$500,MATCH(465,Registro!$T$2:$T$500,0)),"")</f>
        <v/>
      </c>
      <c r="C466" s="49" t="str">
        <f>IFERROR(INDEX(Registro!$G$2:$G$500,MATCH(465,Registro!$T$2:$T$500,0)),"")</f>
        <v/>
      </c>
      <c r="D466" s="49" t="str">
        <f>IFERROR(INDEX(Registro!$H$2:$H$500,MATCH(465,Registro!$T$2:$T$500,0)),"")</f>
        <v/>
      </c>
      <c r="E466" s="50" t="str">
        <f>IFERROR(INDEX(Registro!$C$2:$C$500,MATCH(465,Registro!$T$2:$T$500,0)),"")</f>
        <v/>
      </c>
      <c r="F466" s="49" t="str">
        <f>IFERROR(INDEX(Registro!$B$2:$B$500,MATCH(465,Registro!$T$2:$T$500,0)),"")</f>
        <v/>
      </c>
      <c r="G466" s="49" t="str">
        <f>IFERROR(INDEX(Registro!$P$2:$P$500,MATCH(465,Registro!$T$2:$T$500,0)),"")</f>
        <v/>
      </c>
      <c r="H466" s="49" t="str">
        <f>IFERROR(INDEX(Registro!$Q$2:$Q$500,MATCH(465,Registro!$T$2:$T$500,0)),"")</f>
        <v/>
      </c>
    </row>
    <row r="467" spans="1:8" x14ac:dyDescent="0.25">
      <c r="A467" s="49" t="str">
        <f>IFERROR(INDEX(Registro!$E$2:$E$500,MATCH(466,Registro!$T$2:$T$500,0)),"")</f>
        <v/>
      </c>
      <c r="B467" s="49" t="str">
        <f>IFERROR(INDEX(Registro!$F$2:$F$500,MATCH(466,Registro!$T$2:$T$500,0)),"")</f>
        <v/>
      </c>
      <c r="C467" s="49" t="str">
        <f>IFERROR(INDEX(Registro!$G$2:$G$500,MATCH(466,Registro!$T$2:$T$500,0)),"")</f>
        <v/>
      </c>
      <c r="D467" s="49" t="str">
        <f>IFERROR(INDEX(Registro!$H$2:$H$500,MATCH(466,Registro!$T$2:$T$500,0)),"")</f>
        <v/>
      </c>
      <c r="E467" s="50" t="str">
        <f>IFERROR(INDEX(Registro!$C$2:$C$500,MATCH(466,Registro!$T$2:$T$500,0)),"")</f>
        <v/>
      </c>
      <c r="F467" s="49" t="str">
        <f>IFERROR(INDEX(Registro!$B$2:$B$500,MATCH(466,Registro!$T$2:$T$500,0)),"")</f>
        <v/>
      </c>
      <c r="G467" s="49" t="str">
        <f>IFERROR(INDEX(Registro!$P$2:$P$500,MATCH(466,Registro!$T$2:$T$500,0)),"")</f>
        <v/>
      </c>
      <c r="H467" s="49" t="str">
        <f>IFERROR(INDEX(Registro!$Q$2:$Q$500,MATCH(466,Registro!$T$2:$T$500,0)),"")</f>
        <v/>
      </c>
    </row>
    <row r="468" spans="1:8" x14ac:dyDescent="0.25">
      <c r="A468" s="49" t="str">
        <f>IFERROR(INDEX(Registro!$E$2:$E$500,MATCH(467,Registro!$T$2:$T$500,0)),"")</f>
        <v/>
      </c>
      <c r="B468" s="49" t="str">
        <f>IFERROR(INDEX(Registro!$F$2:$F$500,MATCH(467,Registro!$T$2:$T$500,0)),"")</f>
        <v/>
      </c>
      <c r="C468" s="49" t="str">
        <f>IFERROR(INDEX(Registro!$G$2:$G$500,MATCH(467,Registro!$T$2:$T$500,0)),"")</f>
        <v/>
      </c>
      <c r="D468" s="49" t="str">
        <f>IFERROR(INDEX(Registro!$H$2:$H$500,MATCH(467,Registro!$T$2:$T$500,0)),"")</f>
        <v/>
      </c>
      <c r="E468" s="50" t="str">
        <f>IFERROR(INDEX(Registro!$C$2:$C$500,MATCH(467,Registro!$T$2:$T$500,0)),"")</f>
        <v/>
      </c>
      <c r="F468" s="49" t="str">
        <f>IFERROR(INDEX(Registro!$B$2:$B$500,MATCH(467,Registro!$T$2:$T$500,0)),"")</f>
        <v/>
      </c>
      <c r="G468" s="49" t="str">
        <f>IFERROR(INDEX(Registro!$P$2:$P$500,MATCH(467,Registro!$T$2:$T$500,0)),"")</f>
        <v/>
      </c>
      <c r="H468" s="49" t="str">
        <f>IFERROR(INDEX(Registro!$Q$2:$Q$500,MATCH(467,Registro!$T$2:$T$500,0)),"")</f>
        <v/>
      </c>
    </row>
    <row r="469" spans="1:8" x14ac:dyDescent="0.25">
      <c r="A469" s="49" t="str">
        <f>IFERROR(INDEX(Registro!$E$2:$E$500,MATCH(468,Registro!$T$2:$T$500,0)),"")</f>
        <v/>
      </c>
      <c r="B469" s="49" t="str">
        <f>IFERROR(INDEX(Registro!$F$2:$F$500,MATCH(468,Registro!$T$2:$T$500,0)),"")</f>
        <v/>
      </c>
      <c r="C469" s="49" t="str">
        <f>IFERROR(INDEX(Registro!$G$2:$G$500,MATCH(468,Registro!$T$2:$T$500,0)),"")</f>
        <v/>
      </c>
      <c r="D469" s="49" t="str">
        <f>IFERROR(INDEX(Registro!$H$2:$H$500,MATCH(468,Registro!$T$2:$T$500,0)),"")</f>
        <v/>
      </c>
      <c r="E469" s="50" t="str">
        <f>IFERROR(INDEX(Registro!$C$2:$C$500,MATCH(468,Registro!$T$2:$T$500,0)),"")</f>
        <v/>
      </c>
      <c r="F469" s="49" t="str">
        <f>IFERROR(INDEX(Registro!$B$2:$B$500,MATCH(468,Registro!$T$2:$T$500,0)),"")</f>
        <v/>
      </c>
      <c r="G469" s="49" t="str">
        <f>IFERROR(INDEX(Registro!$P$2:$P$500,MATCH(468,Registro!$T$2:$T$500,0)),"")</f>
        <v/>
      </c>
      <c r="H469" s="49" t="str">
        <f>IFERROR(INDEX(Registro!$Q$2:$Q$500,MATCH(468,Registro!$T$2:$T$500,0)),"")</f>
        <v/>
      </c>
    </row>
    <row r="470" spans="1:8" x14ac:dyDescent="0.25">
      <c r="A470" s="49" t="str">
        <f>IFERROR(INDEX(Registro!$E$2:$E$500,MATCH(469,Registro!$T$2:$T$500,0)),"")</f>
        <v/>
      </c>
      <c r="B470" s="49" t="str">
        <f>IFERROR(INDEX(Registro!$F$2:$F$500,MATCH(469,Registro!$T$2:$T$500,0)),"")</f>
        <v/>
      </c>
      <c r="C470" s="49" t="str">
        <f>IFERROR(INDEX(Registro!$G$2:$G$500,MATCH(469,Registro!$T$2:$T$500,0)),"")</f>
        <v/>
      </c>
      <c r="D470" s="49" t="str">
        <f>IFERROR(INDEX(Registro!$H$2:$H$500,MATCH(469,Registro!$T$2:$T$500,0)),"")</f>
        <v/>
      </c>
      <c r="E470" s="50" t="str">
        <f>IFERROR(INDEX(Registro!$C$2:$C$500,MATCH(469,Registro!$T$2:$T$500,0)),"")</f>
        <v/>
      </c>
      <c r="F470" s="49" t="str">
        <f>IFERROR(INDEX(Registro!$B$2:$B$500,MATCH(469,Registro!$T$2:$T$500,0)),"")</f>
        <v/>
      </c>
      <c r="G470" s="49" t="str">
        <f>IFERROR(INDEX(Registro!$P$2:$P$500,MATCH(469,Registro!$T$2:$T$500,0)),"")</f>
        <v/>
      </c>
      <c r="H470" s="49" t="str">
        <f>IFERROR(INDEX(Registro!$Q$2:$Q$500,MATCH(469,Registro!$T$2:$T$500,0)),"")</f>
        <v/>
      </c>
    </row>
    <row r="471" spans="1:8" x14ac:dyDescent="0.25">
      <c r="A471" s="49" t="str">
        <f>IFERROR(INDEX(Registro!$E$2:$E$500,MATCH(470,Registro!$T$2:$T$500,0)),"")</f>
        <v/>
      </c>
      <c r="B471" s="49" t="str">
        <f>IFERROR(INDEX(Registro!$F$2:$F$500,MATCH(470,Registro!$T$2:$T$500,0)),"")</f>
        <v/>
      </c>
      <c r="C471" s="49" t="str">
        <f>IFERROR(INDEX(Registro!$G$2:$G$500,MATCH(470,Registro!$T$2:$T$500,0)),"")</f>
        <v/>
      </c>
      <c r="D471" s="49" t="str">
        <f>IFERROR(INDEX(Registro!$H$2:$H$500,MATCH(470,Registro!$T$2:$T$500,0)),"")</f>
        <v/>
      </c>
      <c r="E471" s="50" t="str">
        <f>IFERROR(INDEX(Registro!$C$2:$C$500,MATCH(470,Registro!$T$2:$T$500,0)),"")</f>
        <v/>
      </c>
      <c r="F471" s="49" t="str">
        <f>IFERROR(INDEX(Registro!$B$2:$B$500,MATCH(470,Registro!$T$2:$T$500,0)),"")</f>
        <v/>
      </c>
      <c r="G471" s="49" t="str">
        <f>IFERROR(INDEX(Registro!$P$2:$P$500,MATCH(470,Registro!$T$2:$T$500,0)),"")</f>
        <v/>
      </c>
      <c r="H471" s="49" t="str">
        <f>IFERROR(INDEX(Registro!$Q$2:$Q$500,MATCH(470,Registro!$T$2:$T$500,0)),"")</f>
        <v/>
      </c>
    </row>
    <row r="472" spans="1:8" x14ac:dyDescent="0.25">
      <c r="A472" s="49" t="str">
        <f>IFERROR(INDEX(Registro!$E$2:$E$500,MATCH(471,Registro!$T$2:$T$500,0)),"")</f>
        <v/>
      </c>
      <c r="B472" s="49" t="str">
        <f>IFERROR(INDEX(Registro!$F$2:$F$500,MATCH(471,Registro!$T$2:$T$500,0)),"")</f>
        <v/>
      </c>
      <c r="C472" s="49" t="str">
        <f>IFERROR(INDEX(Registro!$G$2:$G$500,MATCH(471,Registro!$T$2:$T$500,0)),"")</f>
        <v/>
      </c>
      <c r="D472" s="49" t="str">
        <f>IFERROR(INDEX(Registro!$H$2:$H$500,MATCH(471,Registro!$T$2:$T$500,0)),"")</f>
        <v/>
      </c>
      <c r="E472" s="50" t="str">
        <f>IFERROR(INDEX(Registro!$C$2:$C$500,MATCH(471,Registro!$T$2:$T$500,0)),"")</f>
        <v/>
      </c>
      <c r="F472" s="49" t="str">
        <f>IFERROR(INDEX(Registro!$B$2:$B$500,MATCH(471,Registro!$T$2:$T$500,0)),"")</f>
        <v/>
      </c>
      <c r="G472" s="49" t="str">
        <f>IFERROR(INDEX(Registro!$P$2:$P$500,MATCH(471,Registro!$T$2:$T$500,0)),"")</f>
        <v/>
      </c>
      <c r="H472" s="49" t="str">
        <f>IFERROR(INDEX(Registro!$Q$2:$Q$500,MATCH(471,Registro!$T$2:$T$500,0)),"")</f>
        <v/>
      </c>
    </row>
    <row r="473" spans="1:8" x14ac:dyDescent="0.25">
      <c r="A473" s="49" t="str">
        <f>IFERROR(INDEX(Registro!$E$2:$E$500,MATCH(472,Registro!$T$2:$T$500,0)),"")</f>
        <v/>
      </c>
      <c r="B473" s="49" t="str">
        <f>IFERROR(INDEX(Registro!$F$2:$F$500,MATCH(472,Registro!$T$2:$T$500,0)),"")</f>
        <v/>
      </c>
      <c r="C473" s="49" t="str">
        <f>IFERROR(INDEX(Registro!$G$2:$G$500,MATCH(472,Registro!$T$2:$T$500,0)),"")</f>
        <v/>
      </c>
      <c r="D473" s="49" t="str">
        <f>IFERROR(INDEX(Registro!$H$2:$H$500,MATCH(472,Registro!$T$2:$T$500,0)),"")</f>
        <v/>
      </c>
      <c r="E473" s="50" t="str">
        <f>IFERROR(INDEX(Registro!$C$2:$C$500,MATCH(472,Registro!$T$2:$T$500,0)),"")</f>
        <v/>
      </c>
      <c r="F473" s="49" t="str">
        <f>IFERROR(INDEX(Registro!$B$2:$B$500,MATCH(472,Registro!$T$2:$T$500,0)),"")</f>
        <v/>
      </c>
      <c r="G473" s="49" t="str">
        <f>IFERROR(INDEX(Registro!$P$2:$P$500,MATCH(472,Registro!$T$2:$T$500,0)),"")</f>
        <v/>
      </c>
      <c r="H473" s="49" t="str">
        <f>IFERROR(INDEX(Registro!$Q$2:$Q$500,MATCH(472,Registro!$T$2:$T$500,0)),"")</f>
        <v/>
      </c>
    </row>
    <row r="474" spans="1:8" x14ac:dyDescent="0.25">
      <c r="A474" s="49" t="str">
        <f>IFERROR(INDEX(Registro!$E$2:$E$500,MATCH(473,Registro!$T$2:$T$500,0)),"")</f>
        <v/>
      </c>
      <c r="B474" s="49" t="str">
        <f>IFERROR(INDEX(Registro!$F$2:$F$500,MATCH(473,Registro!$T$2:$T$500,0)),"")</f>
        <v/>
      </c>
      <c r="C474" s="49" t="str">
        <f>IFERROR(INDEX(Registro!$G$2:$G$500,MATCH(473,Registro!$T$2:$T$500,0)),"")</f>
        <v/>
      </c>
      <c r="D474" s="49" t="str">
        <f>IFERROR(INDEX(Registro!$H$2:$H$500,MATCH(473,Registro!$T$2:$T$500,0)),"")</f>
        <v/>
      </c>
      <c r="E474" s="50" t="str">
        <f>IFERROR(INDEX(Registro!$C$2:$C$500,MATCH(473,Registro!$T$2:$T$500,0)),"")</f>
        <v/>
      </c>
      <c r="F474" s="49" t="str">
        <f>IFERROR(INDEX(Registro!$B$2:$B$500,MATCH(473,Registro!$T$2:$T$500,0)),"")</f>
        <v/>
      </c>
      <c r="G474" s="49" t="str">
        <f>IFERROR(INDEX(Registro!$P$2:$P$500,MATCH(473,Registro!$T$2:$T$500,0)),"")</f>
        <v/>
      </c>
      <c r="H474" s="49" t="str">
        <f>IFERROR(INDEX(Registro!$Q$2:$Q$500,MATCH(473,Registro!$T$2:$T$500,0)),"")</f>
        <v/>
      </c>
    </row>
    <row r="475" spans="1:8" x14ac:dyDescent="0.25">
      <c r="A475" s="49" t="str">
        <f>IFERROR(INDEX(Registro!$E$2:$E$500,MATCH(474,Registro!$T$2:$T$500,0)),"")</f>
        <v/>
      </c>
      <c r="B475" s="49" t="str">
        <f>IFERROR(INDEX(Registro!$F$2:$F$500,MATCH(474,Registro!$T$2:$T$500,0)),"")</f>
        <v/>
      </c>
      <c r="C475" s="49" t="str">
        <f>IFERROR(INDEX(Registro!$G$2:$G$500,MATCH(474,Registro!$T$2:$T$500,0)),"")</f>
        <v/>
      </c>
      <c r="D475" s="49" t="str">
        <f>IFERROR(INDEX(Registro!$H$2:$H$500,MATCH(474,Registro!$T$2:$T$500,0)),"")</f>
        <v/>
      </c>
      <c r="E475" s="50" t="str">
        <f>IFERROR(INDEX(Registro!$C$2:$C$500,MATCH(474,Registro!$T$2:$T$500,0)),"")</f>
        <v/>
      </c>
      <c r="F475" s="49" t="str">
        <f>IFERROR(INDEX(Registro!$B$2:$B$500,MATCH(474,Registro!$T$2:$T$500,0)),"")</f>
        <v/>
      </c>
      <c r="G475" s="49" t="str">
        <f>IFERROR(INDEX(Registro!$P$2:$P$500,MATCH(474,Registro!$T$2:$T$500,0)),"")</f>
        <v/>
      </c>
      <c r="H475" s="49" t="str">
        <f>IFERROR(INDEX(Registro!$Q$2:$Q$500,MATCH(474,Registro!$T$2:$T$500,0)),"")</f>
        <v/>
      </c>
    </row>
    <row r="476" spans="1:8" x14ac:dyDescent="0.25">
      <c r="A476" s="49" t="str">
        <f>IFERROR(INDEX(Registro!$E$2:$E$500,MATCH(475,Registro!$T$2:$T$500,0)),"")</f>
        <v/>
      </c>
      <c r="B476" s="49" t="str">
        <f>IFERROR(INDEX(Registro!$F$2:$F$500,MATCH(475,Registro!$T$2:$T$500,0)),"")</f>
        <v/>
      </c>
      <c r="C476" s="49" t="str">
        <f>IFERROR(INDEX(Registro!$G$2:$G$500,MATCH(475,Registro!$T$2:$T$500,0)),"")</f>
        <v/>
      </c>
      <c r="D476" s="49" t="str">
        <f>IFERROR(INDEX(Registro!$H$2:$H$500,MATCH(475,Registro!$T$2:$T$500,0)),"")</f>
        <v/>
      </c>
      <c r="E476" s="50" t="str">
        <f>IFERROR(INDEX(Registro!$C$2:$C$500,MATCH(475,Registro!$T$2:$T$500,0)),"")</f>
        <v/>
      </c>
      <c r="F476" s="49" t="str">
        <f>IFERROR(INDEX(Registro!$B$2:$B$500,MATCH(475,Registro!$T$2:$T$500,0)),"")</f>
        <v/>
      </c>
      <c r="G476" s="49" t="str">
        <f>IFERROR(INDEX(Registro!$P$2:$P$500,MATCH(475,Registro!$T$2:$T$500,0)),"")</f>
        <v/>
      </c>
      <c r="H476" s="49" t="str">
        <f>IFERROR(INDEX(Registro!$Q$2:$Q$500,MATCH(475,Registro!$T$2:$T$500,0)),"")</f>
        <v/>
      </c>
    </row>
    <row r="477" spans="1:8" x14ac:dyDescent="0.25">
      <c r="A477" s="49" t="str">
        <f>IFERROR(INDEX(Registro!$E$2:$E$500,MATCH(476,Registro!$T$2:$T$500,0)),"")</f>
        <v/>
      </c>
      <c r="B477" s="49" t="str">
        <f>IFERROR(INDEX(Registro!$F$2:$F$500,MATCH(476,Registro!$T$2:$T$500,0)),"")</f>
        <v/>
      </c>
      <c r="C477" s="49" t="str">
        <f>IFERROR(INDEX(Registro!$G$2:$G$500,MATCH(476,Registro!$T$2:$T$500,0)),"")</f>
        <v/>
      </c>
      <c r="D477" s="49" t="str">
        <f>IFERROR(INDEX(Registro!$H$2:$H$500,MATCH(476,Registro!$T$2:$T$500,0)),"")</f>
        <v/>
      </c>
      <c r="E477" s="50" t="str">
        <f>IFERROR(INDEX(Registro!$C$2:$C$500,MATCH(476,Registro!$T$2:$T$500,0)),"")</f>
        <v/>
      </c>
      <c r="F477" s="49" t="str">
        <f>IFERROR(INDEX(Registro!$B$2:$B$500,MATCH(476,Registro!$T$2:$T$500,0)),"")</f>
        <v/>
      </c>
      <c r="G477" s="49" t="str">
        <f>IFERROR(INDEX(Registro!$P$2:$P$500,MATCH(476,Registro!$T$2:$T$500,0)),"")</f>
        <v/>
      </c>
      <c r="H477" s="49" t="str">
        <f>IFERROR(INDEX(Registro!$Q$2:$Q$500,MATCH(476,Registro!$T$2:$T$500,0)),"")</f>
        <v/>
      </c>
    </row>
    <row r="478" spans="1:8" x14ac:dyDescent="0.25">
      <c r="A478" s="49" t="str">
        <f>IFERROR(INDEX(Registro!$E$2:$E$500,MATCH(477,Registro!$T$2:$T$500,0)),"")</f>
        <v/>
      </c>
      <c r="B478" s="49" t="str">
        <f>IFERROR(INDEX(Registro!$F$2:$F$500,MATCH(477,Registro!$T$2:$T$500,0)),"")</f>
        <v/>
      </c>
      <c r="C478" s="49" t="str">
        <f>IFERROR(INDEX(Registro!$G$2:$G$500,MATCH(477,Registro!$T$2:$T$500,0)),"")</f>
        <v/>
      </c>
      <c r="D478" s="49" t="str">
        <f>IFERROR(INDEX(Registro!$H$2:$H$500,MATCH(477,Registro!$T$2:$T$500,0)),"")</f>
        <v/>
      </c>
      <c r="E478" s="50" t="str">
        <f>IFERROR(INDEX(Registro!$C$2:$C$500,MATCH(477,Registro!$T$2:$T$500,0)),"")</f>
        <v/>
      </c>
      <c r="F478" s="49" t="str">
        <f>IFERROR(INDEX(Registro!$B$2:$B$500,MATCH(477,Registro!$T$2:$T$500,0)),"")</f>
        <v/>
      </c>
      <c r="G478" s="49" t="str">
        <f>IFERROR(INDEX(Registro!$P$2:$P$500,MATCH(477,Registro!$T$2:$T$500,0)),"")</f>
        <v/>
      </c>
      <c r="H478" s="49" t="str">
        <f>IFERROR(INDEX(Registro!$Q$2:$Q$500,MATCH(477,Registro!$T$2:$T$500,0)),"")</f>
        <v/>
      </c>
    </row>
    <row r="479" spans="1:8" x14ac:dyDescent="0.25">
      <c r="A479" s="49" t="str">
        <f>IFERROR(INDEX(Registro!$E$2:$E$500,MATCH(478,Registro!$T$2:$T$500,0)),"")</f>
        <v/>
      </c>
      <c r="B479" s="49" t="str">
        <f>IFERROR(INDEX(Registro!$F$2:$F$500,MATCH(478,Registro!$T$2:$T$500,0)),"")</f>
        <v/>
      </c>
      <c r="C479" s="49" t="str">
        <f>IFERROR(INDEX(Registro!$G$2:$G$500,MATCH(478,Registro!$T$2:$T$500,0)),"")</f>
        <v/>
      </c>
      <c r="D479" s="49" t="str">
        <f>IFERROR(INDEX(Registro!$H$2:$H$500,MATCH(478,Registro!$T$2:$T$500,0)),"")</f>
        <v/>
      </c>
      <c r="E479" s="50" t="str">
        <f>IFERROR(INDEX(Registro!$C$2:$C$500,MATCH(478,Registro!$T$2:$T$500,0)),"")</f>
        <v/>
      </c>
      <c r="F479" s="49" t="str">
        <f>IFERROR(INDEX(Registro!$B$2:$B$500,MATCH(478,Registro!$T$2:$T$500,0)),"")</f>
        <v/>
      </c>
      <c r="G479" s="49" t="str">
        <f>IFERROR(INDEX(Registro!$P$2:$P$500,MATCH(478,Registro!$T$2:$T$500,0)),"")</f>
        <v/>
      </c>
      <c r="H479" s="49" t="str">
        <f>IFERROR(INDEX(Registro!$Q$2:$Q$500,MATCH(478,Registro!$T$2:$T$500,0)),"")</f>
        <v/>
      </c>
    </row>
    <row r="480" spans="1:8" x14ac:dyDescent="0.25">
      <c r="A480" s="49" t="str">
        <f>IFERROR(INDEX(Registro!$E$2:$E$500,MATCH(479,Registro!$T$2:$T$500,0)),"")</f>
        <v/>
      </c>
      <c r="B480" s="49" t="str">
        <f>IFERROR(INDEX(Registro!$F$2:$F$500,MATCH(479,Registro!$T$2:$T$500,0)),"")</f>
        <v/>
      </c>
      <c r="C480" s="49" t="str">
        <f>IFERROR(INDEX(Registro!$G$2:$G$500,MATCH(479,Registro!$T$2:$T$500,0)),"")</f>
        <v/>
      </c>
      <c r="D480" s="49" t="str">
        <f>IFERROR(INDEX(Registro!$H$2:$H$500,MATCH(479,Registro!$T$2:$T$500,0)),"")</f>
        <v/>
      </c>
      <c r="E480" s="50" t="str">
        <f>IFERROR(INDEX(Registro!$C$2:$C$500,MATCH(479,Registro!$T$2:$T$500,0)),"")</f>
        <v/>
      </c>
      <c r="F480" s="49" t="str">
        <f>IFERROR(INDEX(Registro!$B$2:$B$500,MATCH(479,Registro!$T$2:$T$500,0)),"")</f>
        <v/>
      </c>
      <c r="G480" s="49" t="str">
        <f>IFERROR(INDEX(Registro!$P$2:$P$500,MATCH(479,Registro!$T$2:$T$500,0)),"")</f>
        <v/>
      </c>
      <c r="H480" s="49" t="str">
        <f>IFERROR(INDEX(Registro!$Q$2:$Q$500,MATCH(479,Registro!$T$2:$T$500,0)),"")</f>
        <v/>
      </c>
    </row>
    <row r="481" spans="1:8" x14ac:dyDescent="0.25">
      <c r="A481" s="49" t="str">
        <f>IFERROR(INDEX(Registro!$E$2:$E$500,MATCH(480,Registro!$T$2:$T$500,0)),"")</f>
        <v/>
      </c>
      <c r="B481" s="49" t="str">
        <f>IFERROR(INDEX(Registro!$F$2:$F$500,MATCH(480,Registro!$T$2:$T$500,0)),"")</f>
        <v/>
      </c>
      <c r="C481" s="49" t="str">
        <f>IFERROR(INDEX(Registro!$G$2:$G$500,MATCH(480,Registro!$T$2:$T$500,0)),"")</f>
        <v/>
      </c>
      <c r="D481" s="49" t="str">
        <f>IFERROR(INDEX(Registro!$H$2:$H$500,MATCH(480,Registro!$T$2:$T$500,0)),"")</f>
        <v/>
      </c>
      <c r="E481" s="50" t="str">
        <f>IFERROR(INDEX(Registro!$C$2:$C$500,MATCH(480,Registro!$T$2:$T$500,0)),"")</f>
        <v/>
      </c>
      <c r="F481" s="49" t="str">
        <f>IFERROR(INDEX(Registro!$B$2:$B$500,MATCH(480,Registro!$T$2:$T$500,0)),"")</f>
        <v/>
      </c>
      <c r="G481" s="49" t="str">
        <f>IFERROR(INDEX(Registro!$P$2:$P$500,MATCH(480,Registro!$T$2:$T$500,0)),"")</f>
        <v/>
      </c>
      <c r="H481" s="49" t="str">
        <f>IFERROR(INDEX(Registro!$Q$2:$Q$500,MATCH(480,Registro!$T$2:$T$500,0)),"")</f>
        <v/>
      </c>
    </row>
    <row r="482" spans="1:8" x14ac:dyDescent="0.25">
      <c r="A482" s="49" t="str">
        <f>IFERROR(INDEX(Registro!$E$2:$E$500,MATCH(481,Registro!$T$2:$T$500,0)),"")</f>
        <v/>
      </c>
      <c r="B482" s="49" t="str">
        <f>IFERROR(INDEX(Registro!$F$2:$F$500,MATCH(481,Registro!$T$2:$T$500,0)),"")</f>
        <v/>
      </c>
      <c r="C482" s="49" t="str">
        <f>IFERROR(INDEX(Registro!$G$2:$G$500,MATCH(481,Registro!$T$2:$T$500,0)),"")</f>
        <v/>
      </c>
      <c r="D482" s="49" t="str">
        <f>IFERROR(INDEX(Registro!$H$2:$H$500,MATCH(481,Registro!$T$2:$T$500,0)),"")</f>
        <v/>
      </c>
      <c r="E482" s="50" t="str">
        <f>IFERROR(INDEX(Registro!$C$2:$C$500,MATCH(481,Registro!$T$2:$T$500,0)),"")</f>
        <v/>
      </c>
      <c r="F482" s="49" t="str">
        <f>IFERROR(INDEX(Registro!$B$2:$B$500,MATCH(481,Registro!$T$2:$T$500,0)),"")</f>
        <v/>
      </c>
      <c r="G482" s="49" t="str">
        <f>IFERROR(INDEX(Registro!$P$2:$P$500,MATCH(481,Registro!$T$2:$T$500,0)),"")</f>
        <v/>
      </c>
      <c r="H482" s="49" t="str">
        <f>IFERROR(INDEX(Registro!$Q$2:$Q$500,MATCH(481,Registro!$T$2:$T$500,0)),"")</f>
        <v/>
      </c>
    </row>
    <row r="483" spans="1:8" x14ac:dyDescent="0.25">
      <c r="A483" s="49" t="str">
        <f>IFERROR(INDEX(Registro!$E$2:$E$500,MATCH(482,Registro!$T$2:$T$500,0)),"")</f>
        <v/>
      </c>
      <c r="B483" s="49" t="str">
        <f>IFERROR(INDEX(Registro!$F$2:$F$500,MATCH(482,Registro!$T$2:$T$500,0)),"")</f>
        <v/>
      </c>
      <c r="C483" s="49" t="str">
        <f>IFERROR(INDEX(Registro!$G$2:$G$500,MATCH(482,Registro!$T$2:$T$500,0)),"")</f>
        <v/>
      </c>
      <c r="D483" s="49" t="str">
        <f>IFERROR(INDEX(Registro!$H$2:$H$500,MATCH(482,Registro!$T$2:$T$500,0)),"")</f>
        <v/>
      </c>
      <c r="E483" s="50" t="str">
        <f>IFERROR(INDEX(Registro!$C$2:$C$500,MATCH(482,Registro!$T$2:$T$500,0)),"")</f>
        <v/>
      </c>
      <c r="F483" s="49" t="str">
        <f>IFERROR(INDEX(Registro!$B$2:$B$500,MATCH(482,Registro!$T$2:$T$500,0)),"")</f>
        <v/>
      </c>
      <c r="G483" s="49" t="str">
        <f>IFERROR(INDEX(Registro!$P$2:$P$500,MATCH(482,Registro!$T$2:$T$500,0)),"")</f>
        <v/>
      </c>
      <c r="H483" s="49" t="str">
        <f>IFERROR(INDEX(Registro!$Q$2:$Q$500,MATCH(482,Registro!$T$2:$T$500,0)),"")</f>
        <v/>
      </c>
    </row>
    <row r="484" spans="1:8" x14ac:dyDescent="0.25">
      <c r="A484" s="49" t="str">
        <f>IFERROR(INDEX(Registro!$E$2:$E$500,MATCH(483,Registro!$T$2:$T$500,0)),"")</f>
        <v/>
      </c>
      <c r="B484" s="49" t="str">
        <f>IFERROR(INDEX(Registro!$F$2:$F$500,MATCH(483,Registro!$T$2:$T$500,0)),"")</f>
        <v/>
      </c>
      <c r="C484" s="49" t="str">
        <f>IFERROR(INDEX(Registro!$G$2:$G$500,MATCH(483,Registro!$T$2:$T$500,0)),"")</f>
        <v/>
      </c>
      <c r="D484" s="49" t="str">
        <f>IFERROR(INDEX(Registro!$H$2:$H$500,MATCH(483,Registro!$T$2:$T$500,0)),"")</f>
        <v/>
      </c>
      <c r="E484" s="50" t="str">
        <f>IFERROR(INDEX(Registro!$C$2:$C$500,MATCH(483,Registro!$T$2:$T$500,0)),"")</f>
        <v/>
      </c>
      <c r="F484" s="49" t="str">
        <f>IFERROR(INDEX(Registro!$B$2:$B$500,MATCH(483,Registro!$T$2:$T$500,0)),"")</f>
        <v/>
      </c>
      <c r="G484" s="49" t="str">
        <f>IFERROR(INDEX(Registro!$P$2:$P$500,MATCH(483,Registro!$T$2:$T$500,0)),"")</f>
        <v/>
      </c>
      <c r="H484" s="49" t="str">
        <f>IFERROR(INDEX(Registro!$Q$2:$Q$500,MATCH(483,Registro!$T$2:$T$500,0)),"")</f>
        <v/>
      </c>
    </row>
    <row r="485" spans="1:8" x14ac:dyDescent="0.25">
      <c r="A485" s="49" t="str">
        <f>IFERROR(INDEX(Registro!$E$2:$E$500,MATCH(484,Registro!$T$2:$T$500,0)),"")</f>
        <v/>
      </c>
      <c r="B485" s="49" t="str">
        <f>IFERROR(INDEX(Registro!$F$2:$F$500,MATCH(484,Registro!$T$2:$T$500,0)),"")</f>
        <v/>
      </c>
      <c r="C485" s="49" t="str">
        <f>IFERROR(INDEX(Registro!$G$2:$G$500,MATCH(484,Registro!$T$2:$T$500,0)),"")</f>
        <v/>
      </c>
      <c r="D485" s="49" t="str">
        <f>IFERROR(INDEX(Registro!$H$2:$H$500,MATCH(484,Registro!$T$2:$T$500,0)),"")</f>
        <v/>
      </c>
      <c r="E485" s="50" t="str">
        <f>IFERROR(INDEX(Registro!$C$2:$C$500,MATCH(484,Registro!$T$2:$T$500,0)),"")</f>
        <v/>
      </c>
      <c r="F485" s="49" t="str">
        <f>IFERROR(INDEX(Registro!$B$2:$B$500,MATCH(484,Registro!$T$2:$T$500,0)),"")</f>
        <v/>
      </c>
      <c r="G485" s="49" t="str">
        <f>IFERROR(INDEX(Registro!$P$2:$P$500,MATCH(484,Registro!$T$2:$T$500,0)),"")</f>
        <v/>
      </c>
      <c r="H485" s="49" t="str">
        <f>IFERROR(INDEX(Registro!$Q$2:$Q$500,MATCH(484,Registro!$T$2:$T$500,0)),"")</f>
        <v/>
      </c>
    </row>
    <row r="486" spans="1:8" x14ac:dyDescent="0.25">
      <c r="A486" s="49" t="str">
        <f>IFERROR(INDEX(Registro!$E$2:$E$500,MATCH(485,Registro!$T$2:$T$500,0)),"")</f>
        <v/>
      </c>
      <c r="B486" s="49" t="str">
        <f>IFERROR(INDEX(Registro!$F$2:$F$500,MATCH(485,Registro!$T$2:$T$500,0)),"")</f>
        <v/>
      </c>
      <c r="C486" s="49" t="str">
        <f>IFERROR(INDEX(Registro!$G$2:$G$500,MATCH(485,Registro!$T$2:$T$500,0)),"")</f>
        <v/>
      </c>
      <c r="D486" s="49" t="str">
        <f>IFERROR(INDEX(Registro!$H$2:$H$500,MATCH(485,Registro!$T$2:$T$500,0)),"")</f>
        <v/>
      </c>
      <c r="E486" s="50" t="str">
        <f>IFERROR(INDEX(Registro!$C$2:$C$500,MATCH(485,Registro!$T$2:$T$500,0)),"")</f>
        <v/>
      </c>
      <c r="F486" s="49" t="str">
        <f>IFERROR(INDEX(Registro!$B$2:$B$500,MATCH(485,Registro!$T$2:$T$500,0)),"")</f>
        <v/>
      </c>
      <c r="G486" s="49" t="str">
        <f>IFERROR(INDEX(Registro!$P$2:$P$500,MATCH(485,Registro!$T$2:$T$500,0)),"")</f>
        <v/>
      </c>
      <c r="H486" s="49" t="str">
        <f>IFERROR(INDEX(Registro!$Q$2:$Q$500,MATCH(485,Registro!$T$2:$T$500,0)),"")</f>
        <v/>
      </c>
    </row>
    <row r="487" spans="1:8" x14ac:dyDescent="0.25">
      <c r="A487" s="49" t="str">
        <f>IFERROR(INDEX(Registro!$E$2:$E$500,MATCH(486,Registro!$T$2:$T$500,0)),"")</f>
        <v/>
      </c>
      <c r="B487" s="49" t="str">
        <f>IFERROR(INDEX(Registro!$F$2:$F$500,MATCH(486,Registro!$T$2:$T$500,0)),"")</f>
        <v/>
      </c>
      <c r="C487" s="49" t="str">
        <f>IFERROR(INDEX(Registro!$G$2:$G$500,MATCH(486,Registro!$T$2:$T$500,0)),"")</f>
        <v/>
      </c>
      <c r="D487" s="49" t="str">
        <f>IFERROR(INDEX(Registro!$H$2:$H$500,MATCH(486,Registro!$T$2:$T$500,0)),"")</f>
        <v/>
      </c>
      <c r="E487" s="50" t="str">
        <f>IFERROR(INDEX(Registro!$C$2:$C$500,MATCH(486,Registro!$T$2:$T$500,0)),"")</f>
        <v/>
      </c>
      <c r="F487" s="49" t="str">
        <f>IFERROR(INDEX(Registro!$B$2:$B$500,MATCH(486,Registro!$T$2:$T$500,0)),"")</f>
        <v/>
      </c>
      <c r="G487" s="49" t="str">
        <f>IFERROR(INDEX(Registro!$P$2:$P$500,MATCH(486,Registro!$T$2:$T$500,0)),"")</f>
        <v/>
      </c>
      <c r="H487" s="49" t="str">
        <f>IFERROR(INDEX(Registro!$Q$2:$Q$500,MATCH(486,Registro!$T$2:$T$500,0)),"")</f>
        <v/>
      </c>
    </row>
    <row r="488" spans="1:8" x14ac:dyDescent="0.25">
      <c r="A488" s="49" t="str">
        <f>IFERROR(INDEX(Registro!$E$2:$E$500,MATCH(487,Registro!$T$2:$T$500,0)),"")</f>
        <v/>
      </c>
      <c r="B488" s="49" t="str">
        <f>IFERROR(INDEX(Registro!$F$2:$F$500,MATCH(487,Registro!$T$2:$T$500,0)),"")</f>
        <v/>
      </c>
      <c r="C488" s="49" t="str">
        <f>IFERROR(INDEX(Registro!$G$2:$G$500,MATCH(487,Registro!$T$2:$T$500,0)),"")</f>
        <v/>
      </c>
      <c r="D488" s="49" t="str">
        <f>IFERROR(INDEX(Registro!$H$2:$H$500,MATCH(487,Registro!$T$2:$T$500,0)),"")</f>
        <v/>
      </c>
      <c r="E488" s="50" t="str">
        <f>IFERROR(INDEX(Registro!$C$2:$C$500,MATCH(487,Registro!$T$2:$T$500,0)),"")</f>
        <v/>
      </c>
      <c r="F488" s="49" t="str">
        <f>IFERROR(INDEX(Registro!$B$2:$B$500,MATCH(487,Registro!$T$2:$T$500,0)),"")</f>
        <v/>
      </c>
      <c r="G488" s="49" t="str">
        <f>IFERROR(INDEX(Registro!$P$2:$P$500,MATCH(487,Registro!$T$2:$T$500,0)),"")</f>
        <v/>
      </c>
      <c r="H488" s="49" t="str">
        <f>IFERROR(INDEX(Registro!$Q$2:$Q$500,MATCH(487,Registro!$T$2:$T$500,0)),"")</f>
        <v/>
      </c>
    </row>
    <row r="489" spans="1:8" x14ac:dyDescent="0.25">
      <c r="A489" s="49" t="str">
        <f>IFERROR(INDEX(Registro!$E$2:$E$500,MATCH(488,Registro!$T$2:$T$500,0)),"")</f>
        <v/>
      </c>
      <c r="B489" s="49" t="str">
        <f>IFERROR(INDEX(Registro!$F$2:$F$500,MATCH(488,Registro!$T$2:$T$500,0)),"")</f>
        <v/>
      </c>
      <c r="C489" s="49" t="str">
        <f>IFERROR(INDEX(Registro!$G$2:$G$500,MATCH(488,Registro!$T$2:$T$500,0)),"")</f>
        <v/>
      </c>
      <c r="D489" s="49" t="str">
        <f>IFERROR(INDEX(Registro!$H$2:$H$500,MATCH(488,Registro!$T$2:$T$500,0)),"")</f>
        <v/>
      </c>
      <c r="E489" s="50" t="str">
        <f>IFERROR(INDEX(Registro!$C$2:$C$500,MATCH(488,Registro!$T$2:$T$500,0)),"")</f>
        <v/>
      </c>
      <c r="F489" s="49" t="str">
        <f>IFERROR(INDEX(Registro!$B$2:$B$500,MATCH(488,Registro!$T$2:$T$500,0)),"")</f>
        <v/>
      </c>
      <c r="G489" s="49" t="str">
        <f>IFERROR(INDEX(Registro!$P$2:$P$500,MATCH(488,Registro!$T$2:$T$500,0)),"")</f>
        <v/>
      </c>
      <c r="H489" s="49" t="str">
        <f>IFERROR(INDEX(Registro!$Q$2:$Q$500,MATCH(488,Registro!$T$2:$T$500,0)),"")</f>
        <v/>
      </c>
    </row>
    <row r="490" spans="1:8" x14ac:dyDescent="0.25">
      <c r="A490" s="49" t="str">
        <f>IFERROR(INDEX(Registro!$E$2:$E$500,MATCH(489,Registro!$T$2:$T$500,0)),"")</f>
        <v/>
      </c>
      <c r="B490" s="49" t="str">
        <f>IFERROR(INDEX(Registro!$F$2:$F$500,MATCH(489,Registro!$T$2:$T$500,0)),"")</f>
        <v/>
      </c>
      <c r="C490" s="49" t="str">
        <f>IFERROR(INDEX(Registro!$G$2:$G$500,MATCH(489,Registro!$T$2:$T$500,0)),"")</f>
        <v/>
      </c>
      <c r="D490" s="49" t="str">
        <f>IFERROR(INDEX(Registro!$H$2:$H$500,MATCH(489,Registro!$T$2:$T$500,0)),"")</f>
        <v/>
      </c>
      <c r="E490" s="50" t="str">
        <f>IFERROR(INDEX(Registro!$C$2:$C$500,MATCH(489,Registro!$T$2:$T$500,0)),"")</f>
        <v/>
      </c>
      <c r="F490" s="49" t="str">
        <f>IFERROR(INDEX(Registro!$B$2:$B$500,MATCH(489,Registro!$T$2:$T$500,0)),"")</f>
        <v/>
      </c>
      <c r="G490" s="49" t="str">
        <f>IFERROR(INDEX(Registro!$P$2:$P$500,MATCH(489,Registro!$T$2:$T$500,0)),"")</f>
        <v/>
      </c>
      <c r="H490" s="49" t="str">
        <f>IFERROR(INDEX(Registro!$Q$2:$Q$500,MATCH(489,Registro!$T$2:$T$500,0)),"")</f>
        <v/>
      </c>
    </row>
    <row r="491" spans="1:8" x14ac:dyDescent="0.25">
      <c r="A491" s="49" t="str">
        <f>IFERROR(INDEX(Registro!$E$2:$E$500,MATCH(490,Registro!$T$2:$T$500,0)),"")</f>
        <v/>
      </c>
      <c r="B491" s="49" t="str">
        <f>IFERROR(INDEX(Registro!$F$2:$F$500,MATCH(490,Registro!$T$2:$T$500,0)),"")</f>
        <v/>
      </c>
      <c r="C491" s="49" t="str">
        <f>IFERROR(INDEX(Registro!$G$2:$G$500,MATCH(490,Registro!$T$2:$T$500,0)),"")</f>
        <v/>
      </c>
      <c r="D491" s="49" t="str">
        <f>IFERROR(INDEX(Registro!$H$2:$H$500,MATCH(490,Registro!$T$2:$T$500,0)),"")</f>
        <v/>
      </c>
      <c r="E491" s="50" t="str">
        <f>IFERROR(INDEX(Registro!$C$2:$C$500,MATCH(490,Registro!$T$2:$T$500,0)),"")</f>
        <v/>
      </c>
      <c r="F491" s="49" t="str">
        <f>IFERROR(INDEX(Registro!$B$2:$B$500,MATCH(490,Registro!$T$2:$T$500,0)),"")</f>
        <v/>
      </c>
      <c r="G491" s="49" t="str">
        <f>IFERROR(INDEX(Registro!$P$2:$P$500,MATCH(490,Registro!$T$2:$T$500,0)),"")</f>
        <v/>
      </c>
      <c r="H491" s="49" t="str">
        <f>IFERROR(INDEX(Registro!$Q$2:$Q$500,MATCH(490,Registro!$T$2:$T$500,0)),"")</f>
        <v/>
      </c>
    </row>
    <row r="492" spans="1:8" x14ac:dyDescent="0.25">
      <c r="A492" s="49" t="str">
        <f>IFERROR(INDEX(Registro!$E$2:$E$500,MATCH(491,Registro!$T$2:$T$500,0)),"")</f>
        <v/>
      </c>
      <c r="B492" s="49" t="str">
        <f>IFERROR(INDEX(Registro!$F$2:$F$500,MATCH(491,Registro!$T$2:$T$500,0)),"")</f>
        <v/>
      </c>
      <c r="C492" s="49" t="str">
        <f>IFERROR(INDEX(Registro!$G$2:$G$500,MATCH(491,Registro!$T$2:$T$500,0)),"")</f>
        <v/>
      </c>
      <c r="D492" s="49" t="str">
        <f>IFERROR(INDEX(Registro!$H$2:$H$500,MATCH(491,Registro!$T$2:$T$500,0)),"")</f>
        <v/>
      </c>
      <c r="E492" s="50" t="str">
        <f>IFERROR(INDEX(Registro!$C$2:$C$500,MATCH(491,Registro!$T$2:$T$500,0)),"")</f>
        <v/>
      </c>
      <c r="F492" s="49" t="str">
        <f>IFERROR(INDEX(Registro!$B$2:$B$500,MATCH(491,Registro!$T$2:$T$500,0)),"")</f>
        <v/>
      </c>
      <c r="G492" s="49" t="str">
        <f>IFERROR(INDEX(Registro!$P$2:$P$500,MATCH(491,Registro!$T$2:$T$500,0)),"")</f>
        <v/>
      </c>
      <c r="H492" s="49" t="str">
        <f>IFERROR(INDEX(Registro!$Q$2:$Q$500,MATCH(491,Registro!$T$2:$T$500,0)),"")</f>
        <v/>
      </c>
    </row>
    <row r="493" spans="1:8" x14ac:dyDescent="0.25">
      <c r="A493" s="49" t="str">
        <f>IFERROR(INDEX(Registro!$E$2:$E$500,MATCH(492,Registro!$T$2:$T$500,0)),"")</f>
        <v/>
      </c>
      <c r="B493" s="49" t="str">
        <f>IFERROR(INDEX(Registro!$F$2:$F$500,MATCH(492,Registro!$T$2:$T$500,0)),"")</f>
        <v/>
      </c>
      <c r="C493" s="49" t="str">
        <f>IFERROR(INDEX(Registro!$G$2:$G$500,MATCH(492,Registro!$T$2:$T$500,0)),"")</f>
        <v/>
      </c>
      <c r="D493" s="49" t="str">
        <f>IFERROR(INDEX(Registro!$H$2:$H$500,MATCH(492,Registro!$T$2:$T$500,0)),"")</f>
        <v/>
      </c>
      <c r="E493" s="50" t="str">
        <f>IFERROR(INDEX(Registro!$C$2:$C$500,MATCH(492,Registro!$T$2:$T$500,0)),"")</f>
        <v/>
      </c>
      <c r="F493" s="49" t="str">
        <f>IFERROR(INDEX(Registro!$B$2:$B$500,MATCH(492,Registro!$T$2:$T$500,0)),"")</f>
        <v/>
      </c>
      <c r="G493" s="49" t="str">
        <f>IFERROR(INDEX(Registro!$P$2:$P$500,MATCH(492,Registro!$T$2:$T$500,0)),"")</f>
        <v/>
      </c>
      <c r="H493" s="49" t="str">
        <f>IFERROR(INDEX(Registro!$Q$2:$Q$500,MATCH(492,Registro!$T$2:$T$500,0)),"")</f>
        <v/>
      </c>
    </row>
    <row r="494" spans="1:8" x14ac:dyDescent="0.25">
      <c r="A494" s="49" t="str">
        <f>IFERROR(INDEX(Registro!$E$2:$E$500,MATCH(493,Registro!$T$2:$T$500,0)),"")</f>
        <v/>
      </c>
      <c r="B494" s="49" t="str">
        <f>IFERROR(INDEX(Registro!$F$2:$F$500,MATCH(493,Registro!$T$2:$T$500,0)),"")</f>
        <v/>
      </c>
      <c r="C494" s="49" t="str">
        <f>IFERROR(INDEX(Registro!$G$2:$G$500,MATCH(493,Registro!$T$2:$T$500,0)),"")</f>
        <v/>
      </c>
      <c r="D494" s="49" t="str">
        <f>IFERROR(INDEX(Registro!$H$2:$H$500,MATCH(493,Registro!$T$2:$T$500,0)),"")</f>
        <v/>
      </c>
      <c r="E494" s="50" t="str">
        <f>IFERROR(INDEX(Registro!$C$2:$C$500,MATCH(493,Registro!$T$2:$T$500,0)),"")</f>
        <v/>
      </c>
      <c r="F494" s="49" t="str">
        <f>IFERROR(INDEX(Registro!$B$2:$B$500,MATCH(493,Registro!$T$2:$T$500,0)),"")</f>
        <v/>
      </c>
      <c r="G494" s="49" t="str">
        <f>IFERROR(INDEX(Registro!$P$2:$P$500,MATCH(493,Registro!$T$2:$T$500,0)),"")</f>
        <v/>
      </c>
      <c r="H494" s="49" t="str">
        <f>IFERROR(INDEX(Registro!$Q$2:$Q$500,MATCH(493,Registro!$T$2:$T$500,0)),"")</f>
        <v/>
      </c>
    </row>
    <row r="495" spans="1:8" x14ac:dyDescent="0.25">
      <c r="A495" s="49" t="str">
        <f>IFERROR(INDEX(Registro!$E$2:$E$500,MATCH(494,Registro!$T$2:$T$500,0)),"")</f>
        <v/>
      </c>
      <c r="B495" s="49" t="str">
        <f>IFERROR(INDEX(Registro!$F$2:$F$500,MATCH(494,Registro!$T$2:$T$500,0)),"")</f>
        <v/>
      </c>
      <c r="C495" s="49" t="str">
        <f>IFERROR(INDEX(Registro!$G$2:$G$500,MATCH(494,Registro!$T$2:$T$500,0)),"")</f>
        <v/>
      </c>
      <c r="D495" s="49" t="str">
        <f>IFERROR(INDEX(Registro!$H$2:$H$500,MATCH(494,Registro!$T$2:$T$500,0)),"")</f>
        <v/>
      </c>
      <c r="E495" s="50" t="str">
        <f>IFERROR(INDEX(Registro!$C$2:$C$500,MATCH(494,Registro!$T$2:$T$500,0)),"")</f>
        <v/>
      </c>
      <c r="F495" s="49" t="str">
        <f>IFERROR(INDEX(Registro!$B$2:$B$500,MATCH(494,Registro!$T$2:$T$500,0)),"")</f>
        <v/>
      </c>
      <c r="G495" s="49" t="str">
        <f>IFERROR(INDEX(Registro!$P$2:$P$500,MATCH(494,Registro!$T$2:$T$500,0)),"")</f>
        <v/>
      </c>
      <c r="H495" s="49" t="str">
        <f>IFERROR(INDEX(Registro!$Q$2:$Q$500,MATCH(494,Registro!$T$2:$T$500,0)),"")</f>
        <v/>
      </c>
    </row>
    <row r="496" spans="1:8" x14ac:dyDescent="0.25">
      <c r="A496" s="49" t="str">
        <f>IFERROR(INDEX(Registro!$E$2:$E$500,MATCH(495,Registro!$T$2:$T$500,0)),"")</f>
        <v/>
      </c>
      <c r="B496" s="49" t="str">
        <f>IFERROR(INDEX(Registro!$F$2:$F$500,MATCH(495,Registro!$T$2:$T$500,0)),"")</f>
        <v/>
      </c>
      <c r="C496" s="49" t="str">
        <f>IFERROR(INDEX(Registro!$G$2:$G$500,MATCH(495,Registro!$T$2:$T$500,0)),"")</f>
        <v/>
      </c>
      <c r="D496" s="49" t="str">
        <f>IFERROR(INDEX(Registro!$H$2:$H$500,MATCH(495,Registro!$T$2:$T$500,0)),"")</f>
        <v/>
      </c>
      <c r="E496" s="50" t="str">
        <f>IFERROR(INDEX(Registro!$C$2:$C$500,MATCH(495,Registro!$T$2:$T$500,0)),"")</f>
        <v/>
      </c>
      <c r="F496" s="49" t="str">
        <f>IFERROR(INDEX(Registro!$B$2:$B$500,MATCH(495,Registro!$T$2:$T$500,0)),"")</f>
        <v/>
      </c>
      <c r="G496" s="49" t="str">
        <f>IFERROR(INDEX(Registro!$P$2:$P$500,MATCH(495,Registro!$T$2:$T$500,0)),"")</f>
        <v/>
      </c>
      <c r="H496" s="49" t="str">
        <f>IFERROR(INDEX(Registro!$Q$2:$Q$500,MATCH(495,Registro!$T$2:$T$500,0)),"")</f>
        <v/>
      </c>
    </row>
    <row r="497" spans="1:8" x14ac:dyDescent="0.25">
      <c r="A497" s="49" t="str">
        <f>IFERROR(INDEX(Registro!$E$2:$E$500,MATCH(496,Registro!$T$2:$T$500,0)),"")</f>
        <v/>
      </c>
      <c r="B497" s="49" t="str">
        <f>IFERROR(INDEX(Registro!$F$2:$F$500,MATCH(496,Registro!$T$2:$T$500,0)),"")</f>
        <v/>
      </c>
      <c r="C497" s="49" t="str">
        <f>IFERROR(INDEX(Registro!$G$2:$G$500,MATCH(496,Registro!$T$2:$T$500,0)),"")</f>
        <v/>
      </c>
      <c r="D497" s="49" t="str">
        <f>IFERROR(INDEX(Registro!$H$2:$H$500,MATCH(496,Registro!$T$2:$T$500,0)),"")</f>
        <v/>
      </c>
      <c r="E497" s="50" t="str">
        <f>IFERROR(INDEX(Registro!$C$2:$C$500,MATCH(496,Registro!$T$2:$T$500,0)),"")</f>
        <v/>
      </c>
      <c r="F497" s="49" t="str">
        <f>IFERROR(INDEX(Registro!$B$2:$B$500,MATCH(496,Registro!$T$2:$T$500,0)),"")</f>
        <v/>
      </c>
      <c r="G497" s="49" t="str">
        <f>IFERROR(INDEX(Registro!$P$2:$P$500,MATCH(496,Registro!$T$2:$T$500,0)),"")</f>
        <v/>
      </c>
      <c r="H497" s="49" t="str">
        <f>IFERROR(INDEX(Registro!$Q$2:$Q$500,MATCH(496,Registro!$T$2:$T$500,0)),"")</f>
        <v/>
      </c>
    </row>
    <row r="498" spans="1:8" x14ac:dyDescent="0.25">
      <c r="A498" s="49" t="str">
        <f>IFERROR(INDEX(Registro!$E$2:$E$500,MATCH(497,Registro!$T$2:$T$500,0)),"")</f>
        <v/>
      </c>
      <c r="B498" s="49" t="str">
        <f>IFERROR(INDEX(Registro!$F$2:$F$500,MATCH(497,Registro!$T$2:$T$500,0)),"")</f>
        <v/>
      </c>
      <c r="C498" s="49" t="str">
        <f>IFERROR(INDEX(Registro!$G$2:$G$500,MATCH(497,Registro!$T$2:$T$500,0)),"")</f>
        <v/>
      </c>
      <c r="D498" s="49" t="str">
        <f>IFERROR(INDEX(Registro!$H$2:$H$500,MATCH(497,Registro!$T$2:$T$500,0)),"")</f>
        <v/>
      </c>
      <c r="E498" s="50" t="str">
        <f>IFERROR(INDEX(Registro!$C$2:$C$500,MATCH(497,Registro!$T$2:$T$500,0)),"")</f>
        <v/>
      </c>
      <c r="F498" s="49" t="str">
        <f>IFERROR(INDEX(Registro!$B$2:$B$500,MATCH(497,Registro!$T$2:$T$500,0)),"")</f>
        <v/>
      </c>
      <c r="G498" s="49" t="str">
        <f>IFERROR(INDEX(Registro!$P$2:$P$500,MATCH(497,Registro!$T$2:$T$500,0)),"")</f>
        <v/>
      </c>
      <c r="H498" s="49" t="str">
        <f>IFERROR(INDEX(Registro!$Q$2:$Q$500,MATCH(497,Registro!$T$2:$T$500,0)),"")</f>
        <v/>
      </c>
    </row>
    <row r="499" spans="1:8" x14ac:dyDescent="0.25">
      <c r="A499" s="49" t="str">
        <f>IFERROR(INDEX(Registro!$E$2:$E$500,MATCH(498,Registro!$T$2:$T$500,0)),"")</f>
        <v/>
      </c>
      <c r="B499" s="49" t="str">
        <f>IFERROR(INDEX(Registro!$F$2:$F$500,MATCH(498,Registro!$T$2:$T$500,0)),"")</f>
        <v/>
      </c>
      <c r="C499" s="49" t="str">
        <f>IFERROR(INDEX(Registro!$G$2:$G$500,MATCH(498,Registro!$T$2:$T$500,0)),"")</f>
        <v/>
      </c>
      <c r="D499" s="49" t="str">
        <f>IFERROR(INDEX(Registro!$H$2:$H$500,MATCH(498,Registro!$T$2:$T$500,0)),"")</f>
        <v/>
      </c>
      <c r="E499" s="50" t="str">
        <f>IFERROR(INDEX(Registro!$C$2:$C$500,MATCH(498,Registro!$T$2:$T$500,0)),"")</f>
        <v/>
      </c>
      <c r="F499" s="49" t="str">
        <f>IFERROR(INDEX(Registro!$B$2:$B$500,MATCH(498,Registro!$T$2:$T$500,0)),"")</f>
        <v/>
      </c>
      <c r="G499" s="49" t="str">
        <f>IFERROR(INDEX(Registro!$P$2:$P$500,MATCH(498,Registro!$T$2:$T$500,0)),"")</f>
        <v/>
      </c>
      <c r="H499" s="49" t="str">
        <f>IFERROR(INDEX(Registro!$Q$2:$Q$500,MATCH(498,Registro!$T$2:$T$500,0)),"")</f>
        <v/>
      </c>
    </row>
    <row r="500" spans="1:8" x14ac:dyDescent="0.25">
      <c r="A500" s="49" t="str">
        <f>IFERROR(INDEX(Registro!$E$2:$E$500,MATCH(499,Registro!$T$2:$T$500,0)),"")</f>
        <v/>
      </c>
      <c r="B500" s="49" t="str">
        <f>IFERROR(INDEX(Registro!$F$2:$F$500,MATCH(499,Registro!$T$2:$T$500,0)),"")</f>
        <v/>
      </c>
      <c r="C500" s="49" t="str">
        <f>IFERROR(INDEX(Registro!$G$2:$G$500,MATCH(499,Registro!$T$2:$T$500,0)),"")</f>
        <v/>
      </c>
      <c r="D500" s="49" t="str">
        <f>IFERROR(INDEX(Registro!$H$2:$H$500,MATCH(499,Registro!$T$2:$T$500,0)),"")</f>
        <v/>
      </c>
      <c r="E500" s="50" t="str">
        <f>IFERROR(INDEX(Registro!$C$2:$C$500,MATCH(499,Registro!$T$2:$T$500,0)),"")</f>
        <v/>
      </c>
      <c r="F500" s="49" t="str">
        <f>IFERROR(INDEX(Registro!$B$2:$B$500,MATCH(499,Registro!$T$2:$T$500,0)),"")</f>
        <v/>
      </c>
      <c r="G500" s="49" t="str">
        <f>IFERROR(INDEX(Registro!$P$2:$P$500,MATCH(499,Registro!$T$2:$T$500,0)),"")</f>
        <v/>
      </c>
      <c r="H500" s="49" t="str">
        <f>IFERROR(INDEX(Registro!$Q$2:$Q$500,MATCH(499,Registro!$T$2:$T$500,0)),"")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Registro</vt:lpstr>
      <vt:lpstr>Resumen</vt:lpstr>
      <vt:lpstr>Parametros</vt:lpstr>
      <vt:lpstr>OJT</vt:lpstr>
      <vt:lpstr>Lista_Aprueba</vt:lpstr>
      <vt:lpstr>Lista_Campana</vt:lpstr>
      <vt:lpstr>Lista_Cargo</vt:lpstr>
      <vt:lpstr>Lista_Estado</vt:lpstr>
      <vt:lpstr>Lista_Formador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YEISON HERNAN OLAYA TRIVIÑO</cp:lastModifiedBy>
  <cp:revision>0</cp:revision>
  <dcterms:created xsi:type="dcterms:W3CDTF">2026-07-03T17:03:29Z</dcterms:created>
  <dcterms:modified xsi:type="dcterms:W3CDTF">2026-07-24T16:22:03Z</dcterms:modified>
  <dc:language>en-US</dc:language>
</cp:coreProperties>
</file>