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cuneduco-my.sharepoint.com/personal/yeison_oyolat_cun_edu_co/Documents/Documentos/Margaret/"/>
    </mc:Choice>
  </mc:AlternateContent>
  <xr:revisionPtr revIDLastSave="0" documentId="8_{589C2D09-FBE3-4F23-A151-F36AE985B844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Registro" sheetId="2" r:id="rId1"/>
    <sheet name="Parametros" sheetId="1" r:id="rId2"/>
    <sheet name="Resumen" sheetId="3" r:id="rId3"/>
    <sheet name="OJ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7" i="4" l="1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E150" i="4"/>
  <c r="E187" i="4" s="1"/>
  <c r="C150" i="4"/>
  <c r="C187" i="4" s="1"/>
  <c r="B145" i="4"/>
  <c r="B186" i="4" s="1"/>
  <c r="C140" i="4"/>
  <c r="C185" i="4" s="1"/>
  <c r="A130" i="4"/>
  <c r="D115" i="4"/>
  <c r="D180" i="4" s="1"/>
  <c r="B105" i="4"/>
  <c r="B178" i="4" s="1"/>
  <c r="E90" i="4"/>
  <c r="E175" i="4" s="1"/>
  <c r="C80" i="4"/>
  <c r="C173" i="4" s="1"/>
  <c r="A70" i="4"/>
  <c r="D55" i="4"/>
  <c r="D168" i="4" s="1"/>
  <c r="B45" i="4"/>
  <c r="B166" i="4" s="1"/>
  <c r="E30" i="4"/>
  <c r="E163" i="4" s="1"/>
  <c r="C20" i="4"/>
  <c r="C161" i="4" s="1"/>
  <c r="A10" i="4"/>
  <c r="B10" i="3"/>
  <c r="B9" i="3"/>
  <c r="B7" i="3"/>
  <c r="B6" i="3"/>
  <c r="B5" i="3"/>
  <c r="T100" i="2"/>
  <c r="N100" i="2"/>
  <c r="A100" i="2"/>
  <c r="T99" i="2"/>
  <c r="N99" i="2"/>
  <c r="A99" i="2"/>
  <c r="T98" i="2"/>
  <c r="N98" i="2"/>
  <c r="A98" i="2"/>
  <c r="T97" i="2"/>
  <c r="N97" i="2"/>
  <c r="A97" i="2"/>
  <c r="T96" i="2"/>
  <c r="N96" i="2"/>
  <c r="A96" i="2"/>
  <c r="T95" i="2"/>
  <c r="N95" i="2"/>
  <c r="A95" i="2"/>
  <c r="T94" i="2"/>
  <c r="N94" i="2"/>
  <c r="A94" i="2"/>
  <c r="T93" i="2"/>
  <c r="N93" i="2"/>
  <c r="A93" i="2"/>
  <c r="T92" i="2"/>
  <c r="N92" i="2"/>
  <c r="A92" i="2"/>
  <c r="T91" i="2"/>
  <c r="N91" i="2"/>
  <c r="A91" i="2"/>
  <c r="T90" i="2"/>
  <c r="N90" i="2"/>
  <c r="A90" i="2"/>
  <c r="T89" i="2"/>
  <c r="N89" i="2"/>
  <c r="A89" i="2"/>
  <c r="T88" i="2"/>
  <c r="N88" i="2"/>
  <c r="A88" i="2"/>
  <c r="T87" i="2"/>
  <c r="N87" i="2"/>
  <c r="A87" i="2"/>
  <c r="T86" i="2"/>
  <c r="N86" i="2"/>
  <c r="A86" i="2"/>
  <c r="T85" i="2"/>
  <c r="N85" i="2"/>
  <c r="A85" i="2"/>
  <c r="T84" i="2"/>
  <c r="N84" i="2"/>
  <c r="A84" i="2"/>
  <c r="T83" i="2"/>
  <c r="N83" i="2"/>
  <c r="A83" i="2"/>
  <c r="T82" i="2"/>
  <c r="N82" i="2"/>
  <c r="A82" i="2"/>
  <c r="T81" i="2"/>
  <c r="N81" i="2"/>
  <c r="A81" i="2"/>
  <c r="T80" i="2"/>
  <c r="N80" i="2"/>
  <c r="A80" i="2"/>
  <c r="T79" i="2"/>
  <c r="N79" i="2"/>
  <c r="A79" i="2"/>
  <c r="T78" i="2"/>
  <c r="N78" i="2"/>
  <c r="A78" i="2"/>
  <c r="T77" i="2"/>
  <c r="N77" i="2"/>
  <c r="A77" i="2"/>
  <c r="T76" i="2"/>
  <c r="N76" i="2"/>
  <c r="A76" i="2"/>
  <c r="T75" i="2"/>
  <c r="N75" i="2"/>
  <c r="A75" i="2"/>
  <c r="T74" i="2"/>
  <c r="N74" i="2"/>
  <c r="A74" i="2"/>
  <c r="T73" i="2"/>
  <c r="N73" i="2"/>
  <c r="A73" i="2"/>
  <c r="T72" i="2"/>
  <c r="N72" i="2"/>
  <c r="A72" i="2"/>
  <c r="T71" i="2"/>
  <c r="N71" i="2"/>
  <c r="A71" i="2"/>
  <c r="T70" i="2"/>
  <c r="N70" i="2"/>
  <c r="A70" i="2"/>
  <c r="T69" i="2"/>
  <c r="N69" i="2"/>
  <c r="A69" i="2"/>
  <c r="T68" i="2"/>
  <c r="N68" i="2"/>
  <c r="A68" i="2"/>
  <c r="T67" i="2"/>
  <c r="N67" i="2"/>
  <c r="A67" i="2"/>
  <c r="T66" i="2"/>
  <c r="N66" i="2"/>
  <c r="A66" i="2"/>
  <c r="T65" i="2"/>
  <c r="N65" i="2"/>
  <c r="A65" i="2"/>
  <c r="T64" i="2"/>
  <c r="N64" i="2"/>
  <c r="A64" i="2"/>
  <c r="T63" i="2"/>
  <c r="N63" i="2"/>
  <c r="A63" i="2"/>
  <c r="T62" i="2"/>
  <c r="N62" i="2"/>
  <c r="A62" i="2"/>
  <c r="T61" i="2"/>
  <c r="N61" i="2"/>
  <c r="A61" i="2"/>
  <c r="T60" i="2"/>
  <c r="N60" i="2"/>
  <c r="A60" i="2"/>
  <c r="T59" i="2"/>
  <c r="N59" i="2"/>
  <c r="A59" i="2"/>
  <c r="T58" i="2"/>
  <c r="N58" i="2"/>
  <c r="A58" i="2"/>
  <c r="T57" i="2"/>
  <c r="N57" i="2"/>
  <c r="A57" i="2"/>
  <c r="T56" i="2"/>
  <c r="N56" i="2"/>
  <c r="A56" i="2"/>
  <c r="T55" i="2"/>
  <c r="N55" i="2"/>
  <c r="A55" i="2"/>
  <c r="T54" i="2"/>
  <c r="N54" i="2"/>
  <c r="A54" i="2"/>
  <c r="T53" i="2"/>
  <c r="N53" i="2"/>
  <c r="A53" i="2"/>
  <c r="T52" i="2"/>
  <c r="N52" i="2"/>
  <c r="A52" i="2"/>
  <c r="T51" i="2"/>
  <c r="N51" i="2"/>
  <c r="A51" i="2"/>
  <c r="T50" i="2"/>
  <c r="N50" i="2"/>
  <c r="A50" i="2"/>
  <c r="T49" i="2"/>
  <c r="N49" i="2"/>
  <c r="A49" i="2"/>
  <c r="T48" i="2"/>
  <c r="N48" i="2"/>
  <c r="A48" i="2"/>
  <c r="T47" i="2"/>
  <c r="N47" i="2"/>
  <c r="A47" i="2"/>
  <c r="T46" i="2"/>
  <c r="N46" i="2"/>
  <c r="A46" i="2"/>
  <c r="T45" i="2"/>
  <c r="N45" i="2"/>
  <c r="A45" i="2"/>
  <c r="T44" i="2"/>
  <c r="N44" i="2"/>
  <c r="A44" i="2"/>
  <c r="T43" i="2"/>
  <c r="N43" i="2"/>
  <c r="A43" i="2"/>
  <c r="T42" i="2"/>
  <c r="N42" i="2"/>
  <c r="A42" i="2"/>
  <c r="T41" i="2"/>
  <c r="N41" i="2"/>
  <c r="A41" i="2"/>
  <c r="T40" i="2"/>
  <c r="N40" i="2"/>
  <c r="A40" i="2"/>
  <c r="T39" i="2"/>
  <c r="N39" i="2"/>
  <c r="A39" i="2"/>
  <c r="T38" i="2"/>
  <c r="N38" i="2"/>
  <c r="A38" i="2"/>
  <c r="T37" i="2"/>
  <c r="N37" i="2"/>
  <c r="A37" i="2"/>
  <c r="T36" i="2"/>
  <c r="N36" i="2"/>
  <c r="A36" i="2"/>
  <c r="T35" i="2"/>
  <c r="N35" i="2"/>
  <c r="A35" i="2"/>
  <c r="T34" i="2"/>
  <c r="N34" i="2"/>
  <c r="A34" i="2"/>
  <c r="T33" i="2"/>
  <c r="N33" i="2"/>
  <c r="A33" i="2"/>
  <c r="T32" i="2"/>
  <c r="N32" i="2"/>
  <c r="A32" i="2"/>
  <c r="T31" i="2"/>
  <c r="N31" i="2"/>
  <c r="A31" i="2"/>
  <c r="T30" i="2"/>
  <c r="N30" i="2"/>
  <c r="A30" i="2"/>
  <c r="T29" i="2"/>
  <c r="N29" i="2"/>
  <c r="A29" i="2"/>
  <c r="T28" i="2"/>
  <c r="N28" i="2"/>
  <c r="A28" i="2"/>
  <c r="T27" i="2"/>
  <c r="N27" i="2"/>
  <c r="A27" i="2"/>
  <c r="T26" i="2"/>
  <c r="N26" i="2"/>
  <c r="A26" i="2"/>
  <c r="T25" i="2"/>
  <c r="N25" i="2"/>
  <c r="A25" i="2"/>
  <c r="T24" i="2"/>
  <c r="N24" i="2"/>
  <c r="A24" i="2"/>
  <c r="T23" i="2"/>
  <c r="N23" i="2"/>
  <c r="A23" i="2"/>
  <c r="T22" i="2"/>
  <c r="N22" i="2"/>
  <c r="A22" i="2"/>
  <c r="T21" i="2"/>
  <c r="N21" i="2"/>
  <c r="A21" i="2"/>
  <c r="T20" i="2"/>
  <c r="N20" i="2"/>
  <c r="A20" i="2"/>
  <c r="T19" i="2"/>
  <c r="N19" i="2"/>
  <c r="A19" i="2"/>
  <c r="T18" i="2"/>
  <c r="N18" i="2"/>
  <c r="A18" i="2"/>
  <c r="T17" i="2"/>
  <c r="N17" i="2"/>
  <c r="A17" i="2"/>
  <c r="T16" i="2"/>
  <c r="N16" i="2"/>
  <c r="A16" i="2"/>
  <c r="T15" i="2"/>
  <c r="N15" i="2"/>
  <c r="A15" i="2"/>
  <c r="T14" i="2"/>
  <c r="N14" i="2"/>
  <c r="A14" i="2"/>
  <c r="T13" i="2"/>
  <c r="N13" i="2"/>
  <c r="A13" i="2"/>
  <c r="T12" i="2"/>
  <c r="N12" i="2"/>
  <c r="A12" i="2"/>
  <c r="T11" i="2"/>
  <c r="N11" i="2"/>
  <c r="A11" i="2"/>
  <c r="T10" i="2"/>
  <c r="N10" i="2"/>
  <c r="A10" i="2"/>
  <c r="T9" i="2"/>
  <c r="N9" i="2"/>
  <c r="A9" i="2"/>
  <c r="T8" i="2"/>
  <c r="N8" i="2"/>
  <c r="A8" i="2"/>
  <c r="T7" i="2"/>
  <c r="N7" i="2"/>
  <c r="A7" i="2"/>
  <c r="T6" i="2"/>
  <c r="N6" i="2"/>
  <c r="A6" i="2"/>
  <c r="T5" i="2"/>
  <c r="D35" i="4" s="1"/>
  <c r="D164" i="4" s="1"/>
  <c r="N5" i="2"/>
  <c r="A5" i="2"/>
  <c r="T4" i="2"/>
  <c r="N4" i="2"/>
  <c r="A4" i="2"/>
  <c r="T3" i="2"/>
  <c r="E130" i="4" s="1"/>
  <c r="E183" i="4" s="1"/>
  <c r="N3" i="2"/>
  <c r="A3" i="2"/>
  <c r="T2" i="2"/>
  <c r="D145" i="4" s="1"/>
  <c r="D186" i="4" s="1"/>
  <c r="N2" i="2"/>
  <c r="A2" i="2"/>
  <c r="F186" i="4" l="1"/>
  <c r="A186" i="4"/>
  <c r="G186" i="4"/>
  <c r="F166" i="4"/>
  <c r="A166" i="4"/>
  <c r="G166" i="4"/>
  <c r="F178" i="4"/>
  <c r="A178" i="4"/>
  <c r="G178" i="4"/>
  <c r="E10" i="4"/>
  <c r="E159" i="4" s="1"/>
  <c r="C120" i="4"/>
  <c r="C181" i="4" s="1"/>
  <c r="A5" i="4"/>
  <c r="C15" i="4"/>
  <c r="C160" i="4" s="1"/>
  <c r="E25" i="4"/>
  <c r="E162" i="4" s="1"/>
  <c r="B40" i="4"/>
  <c r="B165" i="4" s="1"/>
  <c r="D50" i="4"/>
  <c r="D167" i="4" s="1"/>
  <c r="A65" i="4"/>
  <c r="C75" i="4"/>
  <c r="C172" i="4" s="1"/>
  <c r="E85" i="4"/>
  <c r="E174" i="4" s="1"/>
  <c r="B100" i="4"/>
  <c r="B177" i="4" s="1"/>
  <c r="D110" i="4"/>
  <c r="D179" i="4" s="1"/>
  <c r="A125" i="4"/>
  <c r="C135" i="4"/>
  <c r="C184" i="4" s="1"/>
  <c r="E145" i="4"/>
  <c r="E186" i="4" s="1"/>
  <c r="D15" i="4"/>
  <c r="D160" i="4" s="1"/>
  <c r="A30" i="4"/>
  <c r="C40" i="4"/>
  <c r="C165" i="4" s="1"/>
  <c r="E50" i="4"/>
  <c r="E167" i="4" s="1"/>
  <c r="B65" i="4"/>
  <c r="B170" i="4" s="1"/>
  <c r="D75" i="4"/>
  <c r="D172" i="4" s="1"/>
  <c r="A90" i="4"/>
  <c r="E110" i="4"/>
  <c r="E179" i="4" s="1"/>
  <c r="B125" i="4"/>
  <c r="B182" i="4" s="1"/>
  <c r="D135" i="4"/>
  <c r="D184" i="4" s="1"/>
  <c r="A150" i="4"/>
  <c r="B158" i="4"/>
  <c r="C100" i="4"/>
  <c r="C177" i="4" s="1"/>
  <c r="C5" i="4"/>
  <c r="C158" i="4" s="1"/>
  <c r="E15" i="4"/>
  <c r="E160" i="4" s="1"/>
  <c r="B30" i="4"/>
  <c r="B163" i="4" s="1"/>
  <c r="D40" i="4"/>
  <c r="D165" i="4" s="1"/>
  <c r="A55" i="4"/>
  <c r="C65" i="4"/>
  <c r="C170" i="4" s="1"/>
  <c r="E75" i="4"/>
  <c r="E172" i="4" s="1"/>
  <c r="B90" i="4"/>
  <c r="B175" i="4" s="1"/>
  <c r="D100" i="4"/>
  <c r="D177" i="4" s="1"/>
  <c r="A115" i="4"/>
  <c r="C125" i="4"/>
  <c r="C182" i="4" s="1"/>
  <c r="E135" i="4"/>
  <c r="E184" i="4" s="1"/>
  <c r="B150" i="4"/>
  <c r="B187" i="4" s="1"/>
  <c r="B25" i="4"/>
  <c r="B162" i="4" s="1"/>
  <c r="D5" i="4"/>
  <c r="D158" i="4" s="1"/>
  <c r="A20" i="4"/>
  <c r="C30" i="4"/>
  <c r="C163" i="4" s="1"/>
  <c r="E40" i="4"/>
  <c r="E165" i="4" s="1"/>
  <c r="B55" i="4"/>
  <c r="B168" i="4" s="1"/>
  <c r="D65" i="4"/>
  <c r="D170" i="4" s="1"/>
  <c r="A80" i="4"/>
  <c r="C90" i="4"/>
  <c r="C175" i="4" s="1"/>
  <c r="E100" i="4"/>
  <c r="E177" i="4" s="1"/>
  <c r="B115" i="4"/>
  <c r="B180" i="4" s="1"/>
  <c r="D125" i="4"/>
  <c r="D182" i="4" s="1"/>
  <c r="A140" i="4"/>
  <c r="E5" i="4"/>
  <c r="E158" i="4" s="1"/>
  <c r="B20" i="4"/>
  <c r="B161" i="4" s="1"/>
  <c r="D30" i="4"/>
  <c r="D163" i="4" s="1"/>
  <c r="A45" i="4"/>
  <c r="C55" i="4"/>
  <c r="C168" i="4" s="1"/>
  <c r="E65" i="4"/>
  <c r="E170" i="4" s="1"/>
  <c r="B80" i="4"/>
  <c r="B173" i="4" s="1"/>
  <c r="D90" i="4"/>
  <c r="D175" i="4" s="1"/>
  <c r="A105" i="4"/>
  <c r="C115" i="4"/>
  <c r="C180" i="4" s="1"/>
  <c r="E125" i="4"/>
  <c r="E182" i="4" s="1"/>
  <c r="B140" i="4"/>
  <c r="B185" i="4" s="1"/>
  <c r="D150" i="4"/>
  <c r="D187" i="4" s="1"/>
  <c r="B10" i="4"/>
  <c r="B159" i="4" s="1"/>
  <c r="D20" i="4"/>
  <c r="D161" i="4" s="1"/>
  <c r="A35" i="4"/>
  <c r="C45" i="4"/>
  <c r="C166" i="4" s="1"/>
  <c r="E55" i="4"/>
  <c r="E168" i="4" s="1"/>
  <c r="B70" i="4"/>
  <c r="B171" i="4" s="1"/>
  <c r="D80" i="4"/>
  <c r="D173" i="4" s="1"/>
  <c r="A95" i="4"/>
  <c r="C105" i="4"/>
  <c r="C178" i="4" s="1"/>
  <c r="E115" i="4"/>
  <c r="E180" i="4" s="1"/>
  <c r="B130" i="4"/>
  <c r="B183" i="4" s="1"/>
  <c r="D140" i="4"/>
  <c r="D185" i="4" s="1"/>
  <c r="C10" i="4"/>
  <c r="C159" i="4" s="1"/>
  <c r="E20" i="4"/>
  <c r="E161" i="4" s="1"/>
  <c r="B35" i="4"/>
  <c r="B164" i="4" s="1"/>
  <c r="D45" i="4"/>
  <c r="D166" i="4" s="1"/>
  <c r="A60" i="4"/>
  <c r="C70" i="4"/>
  <c r="C171" i="4" s="1"/>
  <c r="E80" i="4"/>
  <c r="E173" i="4" s="1"/>
  <c r="B95" i="4"/>
  <c r="B176" i="4" s="1"/>
  <c r="D105" i="4"/>
  <c r="D178" i="4" s="1"/>
  <c r="A120" i="4"/>
  <c r="C130" i="4"/>
  <c r="C183" i="4" s="1"/>
  <c r="E140" i="4"/>
  <c r="E185" i="4" s="1"/>
  <c r="D10" i="4"/>
  <c r="D159" i="4" s="1"/>
  <c r="A25" i="4"/>
  <c r="C35" i="4"/>
  <c r="C164" i="4" s="1"/>
  <c r="E45" i="4"/>
  <c r="E166" i="4" s="1"/>
  <c r="B60" i="4"/>
  <c r="B169" i="4" s="1"/>
  <c r="D70" i="4"/>
  <c r="D171" i="4" s="1"/>
  <c r="A85" i="4"/>
  <c r="C95" i="4"/>
  <c r="C176" i="4" s="1"/>
  <c r="E105" i="4"/>
  <c r="E178" i="4" s="1"/>
  <c r="B120" i="4"/>
  <c r="B181" i="4" s="1"/>
  <c r="D130" i="4"/>
  <c r="D183" i="4" s="1"/>
  <c r="A145" i="4"/>
  <c r="A110" i="4"/>
  <c r="A15" i="4"/>
  <c r="C25" i="4"/>
  <c r="C162" i="4" s="1"/>
  <c r="E35" i="4"/>
  <c r="E164" i="4" s="1"/>
  <c r="B50" i="4"/>
  <c r="B167" i="4" s="1"/>
  <c r="D60" i="4"/>
  <c r="D169" i="4" s="1"/>
  <c r="A75" i="4"/>
  <c r="C85" i="4"/>
  <c r="C174" i="4" s="1"/>
  <c r="E95" i="4"/>
  <c r="E176" i="4" s="1"/>
  <c r="B110" i="4"/>
  <c r="B179" i="4" s="1"/>
  <c r="D120" i="4"/>
  <c r="D181" i="4" s="1"/>
  <c r="A135" i="4"/>
  <c r="C145" i="4"/>
  <c r="C186" i="4" s="1"/>
  <c r="A50" i="4"/>
  <c r="C60" i="4"/>
  <c r="C169" i="4" s="1"/>
  <c r="E70" i="4"/>
  <c r="E171" i="4" s="1"/>
  <c r="B85" i="4"/>
  <c r="B174" i="4" s="1"/>
  <c r="D95" i="4"/>
  <c r="D176" i="4" s="1"/>
  <c r="B15" i="4"/>
  <c r="B160" i="4" s="1"/>
  <c r="D25" i="4"/>
  <c r="D162" i="4" s="1"/>
  <c r="A40" i="4"/>
  <c r="C50" i="4"/>
  <c r="C167" i="4" s="1"/>
  <c r="E60" i="4"/>
  <c r="E169" i="4" s="1"/>
  <c r="B75" i="4"/>
  <c r="B172" i="4" s="1"/>
  <c r="D85" i="4"/>
  <c r="D174" i="4" s="1"/>
  <c r="A100" i="4"/>
  <c r="C110" i="4"/>
  <c r="C179" i="4" s="1"/>
  <c r="E120" i="4"/>
  <c r="E181" i="4" s="1"/>
  <c r="B135" i="4"/>
  <c r="B184" i="4" s="1"/>
  <c r="A169" i="4" l="1"/>
  <c r="G169" i="4"/>
  <c r="F169" i="4"/>
  <c r="G168" i="4"/>
  <c r="F168" i="4"/>
  <c r="A168" i="4"/>
  <c r="A177" i="4"/>
  <c r="G177" i="4"/>
  <c r="F177" i="4"/>
  <c r="F182" i="4"/>
  <c r="A182" i="4"/>
  <c r="G182" i="4"/>
  <c r="G164" i="4"/>
  <c r="F164" i="4"/>
  <c r="A164" i="4"/>
  <c r="G175" i="4"/>
  <c r="F175" i="4"/>
  <c r="A175" i="4"/>
  <c r="G159" i="4"/>
  <c r="F159" i="4"/>
  <c r="A159" i="4"/>
  <c r="A161" i="4"/>
  <c r="G161" i="4"/>
  <c r="F161" i="4"/>
  <c r="F170" i="4"/>
  <c r="A170" i="4"/>
  <c r="G170" i="4"/>
  <c r="G167" i="4"/>
  <c r="F167" i="4"/>
  <c r="A167" i="4"/>
  <c r="G172" i="4"/>
  <c r="F172" i="4"/>
  <c r="A172" i="4"/>
  <c r="G163" i="4"/>
  <c r="F163" i="4"/>
  <c r="A163" i="4"/>
  <c r="G184" i="4"/>
  <c r="F184" i="4"/>
  <c r="A184" i="4"/>
  <c r="G183" i="4"/>
  <c r="F183" i="4"/>
  <c r="A183" i="4"/>
  <c r="A185" i="4"/>
  <c r="G185" i="4"/>
  <c r="F185" i="4"/>
  <c r="F162" i="4"/>
  <c r="A162" i="4"/>
  <c r="G162" i="4"/>
  <c r="A165" i="4"/>
  <c r="G165" i="4"/>
  <c r="F165" i="4"/>
  <c r="G179" i="4"/>
  <c r="F179" i="4"/>
  <c r="A179" i="4"/>
  <c r="A181" i="4"/>
  <c r="G181" i="4"/>
  <c r="F181" i="4"/>
  <c r="G187" i="4"/>
  <c r="F187" i="4"/>
  <c r="A187" i="4"/>
  <c r="F174" i="4"/>
  <c r="A174" i="4"/>
  <c r="G174" i="4"/>
  <c r="G180" i="4"/>
  <c r="F180" i="4"/>
  <c r="A180" i="4"/>
  <c r="G176" i="4"/>
  <c r="F176" i="4"/>
  <c r="A176" i="4"/>
  <c r="F158" i="4"/>
  <c r="B8" i="3"/>
  <c r="B11" i="3" s="1"/>
  <c r="A158" i="4"/>
  <c r="G158" i="4"/>
  <c r="G160" i="4"/>
  <c r="F160" i="4"/>
  <c r="A160" i="4"/>
  <c r="G171" i="4"/>
  <c r="F171" i="4"/>
  <c r="A171" i="4"/>
  <c r="A173" i="4"/>
  <c r="G173" i="4"/>
  <c r="F173" i="4"/>
</calcChain>
</file>

<file path=xl/sharedStrings.xml><?xml version="1.0" encoding="utf-8"?>
<sst xmlns="http://schemas.openxmlformats.org/spreadsheetml/2006/main" count="65" uniqueCount="51">
  <si>
    <t>N°</t>
  </si>
  <si>
    <t>CAMPAÑA</t>
  </si>
  <si>
    <t>FECHA INGRESO</t>
  </si>
  <si>
    <t>CARGO</t>
  </si>
  <si>
    <t>No. DOCUMENTO</t>
  </si>
  <si>
    <t>NOMBRE COMPLETO</t>
  </si>
  <si>
    <t>TELÉFONO</t>
  </si>
  <si>
    <t>CORREO</t>
  </si>
  <si>
    <t>FORMADOR</t>
  </si>
  <si>
    <t>ASISTENCIA</t>
  </si>
  <si>
    <t>CONOCIMIENTO (1-5)</t>
  </si>
  <si>
    <t>HABILIDAD COMERCIAL (1-5)</t>
  </si>
  <si>
    <t>ACTITUD (1-5)</t>
  </si>
  <si>
    <t>PROMEDIO</t>
  </si>
  <si>
    <t>RESULTADO FORMACIÓN</t>
  </si>
  <si>
    <t>OBSERVACIONES</t>
  </si>
  <si>
    <t>FECHA CIERRE</t>
  </si>
  <si>
    <t>RESPONSABLE CIERRE</t>
  </si>
  <si>
    <t>RESULTADO FINAL</t>
  </si>
  <si>
    <t>ORDEN APROBADOS</t>
  </si>
  <si>
    <t>PARÁMETROS — ONBOARDING ESCUELA COMERCIAL</t>
  </si>
  <si>
    <t>RESPUESTA</t>
  </si>
  <si>
    <t>RESULTADO REGISTRO</t>
  </si>
  <si>
    <t>DÍA</t>
  </si>
  <si>
    <t>Sí</t>
  </si>
  <si>
    <t>Aprueba</t>
  </si>
  <si>
    <t>No</t>
  </si>
  <si>
    <t>No aprueba</t>
  </si>
  <si>
    <t>INSTRUCCIONES DE USO</t>
  </si>
  <si>
    <t>1. Registra a cada participante en la hoja Registro.
2. Selecciona 'Aprueba' en RESULTADO FINAL para enviarlo automáticamente a OJT.
3. Diligencia los cinco días de seguimiento en OJT.
4. Registra manualmente si PASA OJT en la tabla final.
5. Consulta los indicadores consolidados en Resumen.</t>
  </si>
  <si>
    <t>RESUMEN — ONBOARDING ESCUELA COMERCIAL</t>
  </si>
  <si>
    <t>Indicadores automáticos de Registro y del seguimiento OJT.</t>
  </si>
  <si>
    <t>REGISTROS CREADOS</t>
  </si>
  <si>
    <t>Flujo operativo
Registro → aprobación final → seguimiento OJT de 5 días → decisión PASA OJT.
Las métricas se actualizan al abrir el archivo en Excel y recalcular las fórmulas.</t>
  </si>
  <si>
    <t>APROBADOS EN REGISTRO</t>
  </si>
  <si>
    <t>NO APROBADOS EN REGISTRO</t>
  </si>
  <si>
    <t>PARTICIPANTES EN OJT</t>
  </si>
  <si>
    <t>PASA OJT</t>
  </si>
  <si>
    <t>NO PASA OJT</t>
  </si>
  <si>
    <t>PENDIENTES DE DECISIÓN OJT</t>
  </si>
  <si>
    <t>SEGUIMIENTO OJT — ESCUELA COMERCIAL (5 DÍAS x PERSONA)</t>
  </si>
  <si>
    <t>Solo ingresan aquí quienes obtuvieron 'Aprueba' en la hoja Registro. Cada persona ocupa 5 filas (una por día); elige el día en el desplegable de la columna DÍA.</t>
  </si>
  <si>
    <t>FECHA</t>
  </si>
  <si>
    <t>MATRÍCULAS</t>
  </si>
  <si>
    <t xml:space="preserve">ADERECIA </t>
  </si>
  <si>
    <t>=SI.ERROR(INDICE(Registro!$E$2:$E$100;COINCIDIR(1;Registro!$T$2:$T$100;0));"")</t>
  </si>
  <si>
    <t>RESULTADO FINAL OJT</t>
  </si>
  <si>
    <t>TOTAL LLAMADAS (5 días)</t>
  </si>
  <si>
    <t>TOTAL MATRÍCULAS</t>
  </si>
  <si>
    <t>PROMEDIO ACTITUD</t>
  </si>
  <si>
    <t>OBSERVACIONES 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</si>
</sst>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name val="Carlito"/>
    </font>
    <font>
      <b/>
      <sz val="14"/>
      <color rgb="FFFFFFFF"/>
      <name val="Calibri"/>
    </font>
    <font>
      <b/>
      <sz val="9"/>
      <color rgb="FF1F3D2B"/>
      <name val="Calibri"/>
    </font>
    <font>
      <sz val="10"/>
      <name val="Calibri"/>
    </font>
    <font>
      <b/>
      <sz val="10"/>
      <color rgb="FF1F3350"/>
      <name val="Calibri"/>
    </font>
    <font>
      <sz val="10"/>
      <color rgb="FF374151"/>
      <name val="Calibri"/>
    </font>
    <font>
      <b/>
      <sz val="9"/>
      <color rgb="FFFFFFFF"/>
      <name val="Calibri"/>
    </font>
    <font>
      <b/>
      <sz val="15"/>
      <color rgb="FFFFFFFF"/>
      <name val="Calibri"/>
    </font>
    <font>
      <i/>
      <sz val="10"/>
      <color rgb="FF6B7280"/>
      <name val="Calibri"/>
    </font>
    <font>
      <b/>
      <sz val="15"/>
      <color rgb="FF1F3350"/>
      <name val="Calibri"/>
    </font>
    <font>
      <sz val="10"/>
      <color rgb="FF475569"/>
      <name val="Calibri"/>
    </font>
    <font>
      <b/>
      <sz val="13"/>
      <color rgb="FF1F3D2B"/>
      <name val="Calibri"/>
    </font>
    <font>
      <i/>
      <sz val="9"/>
      <color rgb="FF808080"/>
      <name val="Calibri"/>
    </font>
    <font>
      <b/>
      <sz val="12"/>
      <color rgb="FF1F3D2B"/>
      <name val="Calibri"/>
    </font>
    <font>
      <b/>
      <sz val="9"/>
      <color rgb="FF1F335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3D2B"/>
      </patternFill>
    </fill>
    <fill>
      <patternFill patternType="solid">
        <fgColor rgb="FFA6E3B6"/>
      </patternFill>
    </fill>
    <fill>
      <patternFill patternType="solid">
        <fgColor rgb="FFBBD6F2"/>
      </patternFill>
    </fill>
    <fill>
      <patternFill patternType="solid">
        <fgColor rgb="FFF8FAFC"/>
      </patternFill>
    </fill>
    <fill>
      <patternFill patternType="solid">
        <fgColor rgb="FFF2F2F2"/>
      </patternFill>
    </fill>
    <fill>
      <patternFill patternType="solid">
        <fgColor rgb="FFFFF7D6"/>
      </patternFill>
    </fill>
    <fill>
      <patternFill patternType="solid">
        <fgColor rgb="FFEEF5FF"/>
      </patternFill>
    </fill>
    <fill>
      <patternFill patternType="solid">
        <fgColor rgb="FF1F3350"/>
      </patternFill>
    </fill>
    <fill>
      <patternFill patternType="solid">
        <fgColor rgb="FFEFF6FF"/>
      </patternFill>
    </fill>
    <fill>
      <patternFill patternType="solid">
        <fgColor rgb="FFFFF4E8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vertical="center" wrapText="1"/>
    </xf>
    <xf numFmtId="14" fontId="3" fillId="7" borderId="10" xfId="0" applyNumberFormat="1" applyFont="1" applyFill="1" applyBorder="1" applyAlignment="1">
      <alignment vertical="center" wrapText="1"/>
    </xf>
    <xf numFmtId="49" fontId="3" fillId="7" borderId="10" xfId="0" applyNumberFormat="1" applyFont="1" applyFill="1" applyBorder="1" applyAlignment="1">
      <alignment vertical="center" wrapText="1"/>
    </xf>
    <xf numFmtId="0" fontId="3" fillId="7" borderId="10" xfId="0" applyFont="1" applyFill="1" applyBorder="1" applyAlignment="1">
      <alignment horizontal="center" vertical="center" wrapText="1"/>
    </xf>
    <xf numFmtId="1" fontId="3" fillId="7" borderId="10" xfId="0" applyNumberFormat="1" applyFont="1" applyFill="1" applyBorder="1" applyAlignment="1">
      <alignment horizontal="center" vertical="center" wrapText="1"/>
    </xf>
    <xf numFmtId="164" fontId="3" fillId="8" borderId="10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4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1" fillId="11" borderId="0" xfId="0" applyFont="1" applyFill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5" fillId="5" borderId="4" xfId="0" applyFont="1" applyFill="1" applyBorder="1" applyAlignment="1">
      <alignment vertical="top" wrapText="1"/>
    </xf>
    <xf numFmtId="0" fontId="5" fillId="5" borderId="5" xfId="0" applyFont="1" applyFill="1" applyBorder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5" borderId="6" xfId="0" applyFont="1" applyFill="1" applyBorder="1" applyAlignment="1">
      <alignment vertical="top" wrapText="1"/>
    </xf>
    <xf numFmtId="0" fontId="5" fillId="5" borderId="7" xfId="0" applyFont="1" applyFill="1" applyBorder="1" applyAlignment="1">
      <alignment vertical="top" wrapText="1"/>
    </xf>
    <xf numFmtId="0" fontId="5" fillId="5" borderId="8" xfId="0" applyFont="1" applyFill="1" applyBorder="1" applyAlignment="1">
      <alignment vertical="top" wrapText="1"/>
    </xf>
    <xf numFmtId="0" fontId="5" fillId="5" borderId="9" xfId="0" applyFont="1" applyFill="1" applyBorder="1" applyAlignment="1">
      <alignment vertical="top" wrapText="1"/>
    </xf>
    <xf numFmtId="0" fontId="7" fillId="9" borderId="0" xfId="0" applyFont="1" applyFill="1" applyAlignment="1">
      <alignment horizontal="center" vertical="center"/>
    </xf>
    <xf numFmtId="0" fontId="8" fillId="0" borderId="0" xfId="0" applyFont="1" applyAlignment="1">
      <alignment horizontal="left"/>
    </xf>
    <xf numFmtId="0" fontId="10" fillId="5" borderId="11" xfId="0" applyFont="1" applyFill="1" applyBorder="1" applyAlignment="1">
      <alignment vertical="top" wrapText="1"/>
    </xf>
    <xf numFmtId="0" fontId="10" fillId="5" borderId="12" xfId="0" applyFont="1" applyFill="1" applyBorder="1" applyAlignment="1">
      <alignment vertical="top" wrapText="1"/>
    </xf>
    <xf numFmtId="0" fontId="10" fillId="5" borderId="13" xfId="0" applyFont="1" applyFill="1" applyBorder="1" applyAlignment="1">
      <alignment vertical="top" wrapText="1"/>
    </xf>
    <xf numFmtId="0" fontId="10" fillId="5" borderId="14" xfId="0" applyFont="1" applyFill="1" applyBorder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10" fillId="5" borderId="15" xfId="0" applyFont="1" applyFill="1" applyBorder="1" applyAlignment="1">
      <alignment vertical="top" wrapText="1"/>
    </xf>
    <xf numFmtId="0" fontId="10" fillId="5" borderId="16" xfId="0" applyFont="1" applyFill="1" applyBorder="1" applyAlignment="1">
      <alignment vertical="top" wrapText="1"/>
    </xf>
    <xf numFmtId="0" fontId="10" fillId="5" borderId="17" xfId="0" applyFont="1" applyFill="1" applyBorder="1" applyAlignment="1">
      <alignment vertical="top" wrapText="1"/>
    </xf>
    <xf numFmtId="0" fontId="10" fillId="5" borderId="18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1F7A3D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1F7A3D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topLeftCell="G75" workbookViewId="0">
      <selection activeCell="O5" sqref="O5"/>
    </sheetView>
  </sheetViews>
  <sheetFormatPr defaultColWidth="8.625" defaultRowHeight="14.25"/>
  <cols>
    <col min="1" max="1" width="5" customWidth="1"/>
    <col min="2" max="2" width="16" customWidth="1"/>
    <col min="3" max="3" width="13" customWidth="1"/>
    <col min="4" max="4" width="18" customWidth="1"/>
    <col min="5" max="5" width="16" customWidth="1"/>
    <col min="6" max="6" width="26" customWidth="1"/>
    <col min="7" max="7" width="15" customWidth="1"/>
    <col min="8" max="8" width="26" customWidth="1"/>
    <col min="9" max="9" width="20" customWidth="1"/>
    <col min="10" max="10" width="12" customWidth="1"/>
    <col min="11" max="11" width="14" customWidth="1"/>
    <col min="12" max="12" width="18" customWidth="1"/>
    <col min="13" max="13" width="13" customWidth="1"/>
    <col min="14" max="14" width="11" customWidth="1"/>
    <col min="15" max="15" width="18" customWidth="1"/>
    <col min="16" max="16" width="30" customWidth="1"/>
    <col min="17" max="17" width="13" customWidth="1"/>
    <col min="18" max="18" width="20" customWidth="1"/>
    <col min="19" max="19" width="16" customWidth="1"/>
    <col min="20" max="20" width="14" customWidth="1"/>
  </cols>
  <sheetData>
    <row r="1" spans="1:20" ht="22.7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4" t="str">
        <f t="shared" ref="A2:A33" si="0">IF(E2="","",ROW()-1)</f>
        <v/>
      </c>
      <c r="B2" s="6"/>
      <c r="C2" s="7"/>
      <c r="D2" s="6"/>
      <c r="E2" s="8"/>
      <c r="F2" s="6"/>
      <c r="G2" s="6"/>
      <c r="H2" s="6"/>
      <c r="I2" s="6"/>
      <c r="J2" s="9"/>
      <c r="K2" s="10"/>
      <c r="L2" s="10"/>
      <c r="M2" s="10"/>
      <c r="N2" s="11" t="str">
        <f t="shared" ref="N2:N33" si="1">IF(COUNTA(K2:M2)=0,"",AVERAGE(K2:M2))</f>
        <v/>
      </c>
      <c r="P2" s="6"/>
      <c r="Q2" s="7"/>
      <c r="R2" s="6"/>
      <c r="S2" s="9"/>
      <c r="T2" s="5" t="str">
        <f>IF(S2="Aprueba",COUNTIF($S$2:S2,"Aprueba"),"")</f>
        <v/>
      </c>
    </row>
    <row r="3" spans="1:20">
      <c r="A3" s="4" t="str">
        <f t="shared" si="0"/>
        <v/>
      </c>
      <c r="B3" s="6"/>
      <c r="C3" s="7"/>
      <c r="D3" s="6"/>
      <c r="E3" s="8"/>
      <c r="F3" s="6"/>
      <c r="G3" s="6"/>
      <c r="H3" s="6"/>
      <c r="I3" s="6"/>
      <c r="J3" s="9"/>
      <c r="K3" s="10"/>
      <c r="L3" s="10"/>
      <c r="M3" s="10"/>
      <c r="N3" s="11" t="str">
        <f t="shared" si="1"/>
        <v/>
      </c>
      <c r="O3" s="6"/>
      <c r="P3" s="6"/>
      <c r="Q3" s="7"/>
      <c r="R3" s="6"/>
      <c r="S3" s="9"/>
      <c r="T3" s="5" t="str">
        <f>IF(S3="Aprueba",COUNTIF($S$2:S3,"Aprueba"),"")</f>
        <v/>
      </c>
    </row>
    <row r="4" spans="1:20">
      <c r="A4" s="4" t="str">
        <f t="shared" si="0"/>
        <v/>
      </c>
      <c r="B4" s="6"/>
      <c r="C4" s="7"/>
      <c r="D4" s="6"/>
      <c r="E4" s="8"/>
      <c r="F4" s="6"/>
      <c r="G4" s="6"/>
      <c r="H4" s="6"/>
      <c r="I4" s="6"/>
      <c r="J4" s="9"/>
      <c r="K4" s="10"/>
      <c r="L4" s="10"/>
      <c r="M4" s="10"/>
      <c r="N4" s="11" t="str">
        <f t="shared" si="1"/>
        <v/>
      </c>
      <c r="O4" s="6"/>
      <c r="P4" s="6"/>
      <c r="Q4" s="7"/>
      <c r="R4" s="6"/>
      <c r="S4" s="9"/>
      <c r="T4" s="5" t="str">
        <f>IF(S4="Aprueba",COUNTIF($S$2:S4,"Aprueba"),"")</f>
        <v/>
      </c>
    </row>
    <row r="5" spans="1:20">
      <c r="A5" s="4" t="str">
        <f t="shared" si="0"/>
        <v/>
      </c>
      <c r="B5" s="6"/>
      <c r="C5" s="7"/>
      <c r="D5" s="6"/>
      <c r="E5" s="8"/>
      <c r="F5" s="6"/>
      <c r="G5" s="6"/>
      <c r="H5" s="6"/>
      <c r="I5" s="6"/>
      <c r="J5" s="9"/>
      <c r="K5" s="10"/>
      <c r="L5" s="10"/>
      <c r="M5" s="10"/>
      <c r="N5" s="11" t="str">
        <f t="shared" si="1"/>
        <v/>
      </c>
      <c r="O5" s="6"/>
      <c r="P5" s="6"/>
      <c r="Q5" s="7"/>
      <c r="R5" s="6"/>
      <c r="S5" s="9"/>
      <c r="T5" s="5" t="str">
        <f>IF(S5="Aprueba",COUNTIF($S$2:S5,"Aprueba"),"")</f>
        <v/>
      </c>
    </row>
    <row r="6" spans="1:20">
      <c r="A6" s="4" t="str">
        <f t="shared" si="0"/>
        <v/>
      </c>
      <c r="B6" s="6"/>
      <c r="C6" s="7"/>
      <c r="D6" s="6"/>
      <c r="E6" s="8"/>
      <c r="F6" s="6"/>
      <c r="G6" s="6"/>
      <c r="H6" s="6"/>
      <c r="I6" s="6"/>
      <c r="J6" s="9"/>
      <c r="K6" s="10"/>
      <c r="L6" s="10"/>
      <c r="M6" s="10"/>
      <c r="N6" s="11" t="str">
        <f t="shared" si="1"/>
        <v/>
      </c>
      <c r="O6" s="6"/>
      <c r="P6" s="6"/>
      <c r="Q6" s="7"/>
      <c r="R6" s="6"/>
      <c r="S6" s="9"/>
      <c r="T6" s="5" t="str">
        <f>IF(S6="Aprueba",COUNTIF($S$2:S6,"Aprueba"),"")</f>
        <v/>
      </c>
    </row>
    <row r="7" spans="1:20">
      <c r="A7" s="4" t="str">
        <f t="shared" si="0"/>
        <v/>
      </c>
      <c r="B7" s="6"/>
      <c r="C7" s="7"/>
      <c r="D7" s="6"/>
      <c r="E7" s="8"/>
      <c r="F7" s="6"/>
      <c r="G7" s="6"/>
      <c r="H7" s="6"/>
      <c r="I7" s="6"/>
      <c r="J7" s="9"/>
      <c r="K7" s="10"/>
      <c r="L7" s="10"/>
      <c r="M7" s="10"/>
      <c r="N7" s="11" t="str">
        <f t="shared" si="1"/>
        <v/>
      </c>
      <c r="O7" s="6"/>
      <c r="P7" s="6"/>
      <c r="Q7" s="7"/>
      <c r="R7" s="6"/>
      <c r="S7" s="9"/>
      <c r="T7" s="5" t="str">
        <f>IF(S7="Aprueba",COUNTIF($S$2:S7,"Aprueba"),"")</f>
        <v/>
      </c>
    </row>
    <row r="8" spans="1:20">
      <c r="A8" s="4" t="str">
        <f t="shared" si="0"/>
        <v/>
      </c>
      <c r="B8" s="6"/>
      <c r="C8" s="7"/>
      <c r="D8" s="6"/>
      <c r="E8" s="8"/>
      <c r="F8" s="6"/>
      <c r="G8" s="6"/>
      <c r="H8" s="6"/>
      <c r="I8" s="6"/>
      <c r="J8" s="9"/>
      <c r="K8" s="10"/>
      <c r="L8" s="10"/>
      <c r="M8" s="10"/>
      <c r="N8" s="11" t="str">
        <f t="shared" si="1"/>
        <v/>
      </c>
      <c r="O8" s="6"/>
      <c r="P8" s="6"/>
      <c r="Q8" s="7"/>
      <c r="R8" s="6"/>
      <c r="S8" s="9"/>
      <c r="T8" s="5" t="str">
        <f>IF(S8="Aprueba",COUNTIF($S$2:S8,"Aprueba"),"")</f>
        <v/>
      </c>
    </row>
    <row r="9" spans="1:20">
      <c r="A9" s="4" t="str">
        <f t="shared" si="0"/>
        <v/>
      </c>
      <c r="B9" s="6"/>
      <c r="C9" s="7"/>
      <c r="D9" s="6"/>
      <c r="E9" s="8"/>
      <c r="F9" s="6"/>
      <c r="G9" s="6"/>
      <c r="H9" s="6"/>
      <c r="I9" s="6"/>
      <c r="J9" s="9"/>
      <c r="K9" s="10"/>
      <c r="L9" s="10"/>
      <c r="M9" s="10"/>
      <c r="N9" s="11" t="str">
        <f t="shared" si="1"/>
        <v/>
      </c>
      <c r="O9" s="6"/>
      <c r="P9" s="6"/>
      <c r="Q9" s="7"/>
      <c r="R9" s="6"/>
      <c r="S9" s="9"/>
      <c r="T9" s="5" t="str">
        <f>IF(S9="Aprueba",COUNTIF($S$2:S9,"Aprueba"),"")</f>
        <v/>
      </c>
    </row>
    <row r="10" spans="1:20">
      <c r="A10" s="4" t="str">
        <f t="shared" si="0"/>
        <v/>
      </c>
      <c r="B10" s="6"/>
      <c r="C10" s="7"/>
      <c r="D10" s="6"/>
      <c r="E10" s="8"/>
      <c r="F10" s="6"/>
      <c r="G10" s="6"/>
      <c r="H10" s="6"/>
      <c r="I10" s="6"/>
      <c r="J10" s="9"/>
      <c r="K10" s="10"/>
      <c r="L10" s="10"/>
      <c r="M10" s="10"/>
      <c r="N10" s="11" t="str">
        <f t="shared" si="1"/>
        <v/>
      </c>
      <c r="O10" s="6"/>
      <c r="P10" s="6"/>
      <c r="Q10" s="7"/>
      <c r="R10" s="6"/>
      <c r="S10" s="9"/>
      <c r="T10" s="5" t="str">
        <f>IF(S10="Aprueba",COUNTIF($S$2:S10,"Aprueba"),"")</f>
        <v/>
      </c>
    </row>
    <row r="11" spans="1:20">
      <c r="A11" s="4" t="str">
        <f t="shared" si="0"/>
        <v/>
      </c>
      <c r="B11" s="6"/>
      <c r="C11" s="7"/>
      <c r="D11" s="6"/>
      <c r="E11" s="8"/>
      <c r="F11" s="6"/>
      <c r="G11" s="6"/>
      <c r="H11" s="6"/>
      <c r="I11" s="6"/>
      <c r="J11" s="9"/>
      <c r="K11" s="10"/>
      <c r="L11" s="10"/>
      <c r="M11" s="10"/>
      <c r="N11" s="11" t="str">
        <f t="shared" si="1"/>
        <v/>
      </c>
      <c r="O11" s="6"/>
      <c r="P11" s="6"/>
      <c r="Q11" s="7"/>
      <c r="R11" s="6"/>
      <c r="S11" s="9"/>
      <c r="T11" s="5" t="str">
        <f>IF(S11="Aprueba",COUNTIF($S$2:S11,"Aprueba"),"")</f>
        <v/>
      </c>
    </row>
    <row r="12" spans="1:20">
      <c r="A12" s="4" t="str">
        <f t="shared" si="0"/>
        <v/>
      </c>
      <c r="B12" s="6"/>
      <c r="C12" s="7"/>
      <c r="D12" s="6"/>
      <c r="E12" s="8"/>
      <c r="F12" s="6"/>
      <c r="G12" s="6"/>
      <c r="H12" s="6"/>
      <c r="I12" s="6"/>
      <c r="J12" s="9"/>
      <c r="K12" s="10"/>
      <c r="L12" s="10"/>
      <c r="M12" s="10"/>
      <c r="N12" s="11" t="str">
        <f t="shared" si="1"/>
        <v/>
      </c>
      <c r="O12" s="6"/>
      <c r="P12" s="6"/>
      <c r="Q12" s="7"/>
      <c r="R12" s="6"/>
      <c r="S12" s="9"/>
      <c r="T12" s="5" t="str">
        <f>IF(S12="Aprueba",COUNTIF($S$2:S12,"Aprueba"),"")</f>
        <v/>
      </c>
    </row>
    <row r="13" spans="1:20">
      <c r="A13" s="4" t="str">
        <f t="shared" si="0"/>
        <v/>
      </c>
      <c r="B13" s="6"/>
      <c r="C13" s="7"/>
      <c r="D13" s="6"/>
      <c r="E13" s="8"/>
      <c r="F13" s="6"/>
      <c r="G13" s="6"/>
      <c r="H13" s="6"/>
      <c r="I13" s="6"/>
      <c r="J13" s="9"/>
      <c r="K13" s="10"/>
      <c r="L13" s="10"/>
      <c r="M13" s="10"/>
      <c r="N13" s="11" t="str">
        <f t="shared" si="1"/>
        <v/>
      </c>
      <c r="O13" s="6"/>
      <c r="P13" s="6"/>
      <c r="Q13" s="7"/>
      <c r="R13" s="6"/>
      <c r="S13" s="9"/>
      <c r="T13" s="5" t="str">
        <f>IF(S13="Aprueba",COUNTIF($S$2:S13,"Aprueba"),"")</f>
        <v/>
      </c>
    </row>
    <row r="14" spans="1:20">
      <c r="A14" s="4" t="str">
        <f t="shared" si="0"/>
        <v/>
      </c>
      <c r="B14" s="6"/>
      <c r="C14" s="7"/>
      <c r="D14" s="6"/>
      <c r="E14" s="8"/>
      <c r="F14" s="6"/>
      <c r="G14" s="6"/>
      <c r="H14" s="6"/>
      <c r="I14" s="6"/>
      <c r="J14" s="9"/>
      <c r="K14" s="10"/>
      <c r="L14" s="10"/>
      <c r="M14" s="10"/>
      <c r="N14" s="11" t="str">
        <f t="shared" si="1"/>
        <v/>
      </c>
      <c r="O14" s="6"/>
      <c r="P14" s="6"/>
      <c r="Q14" s="7"/>
      <c r="R14" s="6"/>
      <c r="S14" s="9"/>
      <c r="T14" s="5" t="str">
        <f>IF(S14="Aprueba",COUNTIF($S$2:S14,"Aprueba"),"")</f>
        <v/>
      </c>
    </row>
    <row r="15" spans="1:20">
      <c r="A15" s="4" t="str">
        <f t="shared" si="0"/>
        <v/>
      </c>
      <c r="B15" s="6"/>
      <c r="C15" s="7"/>
      <c r="D15" s="6"/>
      <c r="E15" s="8"/>
      <c r="F15" s="6"/>
      <c r="G15" s="6"/>
      <c r="H15" s="6"/>
      <c r="I15" s="6"/>
      <c r="J15" s="9"/>
      <c r="K15" s="10"/>
      <c r="L15" s="10"/>
      <c r="M15" s="10"/>
      <c r="N15" s="11" t="str">
        <f t="shared" si="1"/>
        <v/>
      </c>
      <c r="O15" s="6"/>
      <c r="P15" s="6"/>
      <c r="Q15" s="7"/>
      <c r="R15" s="6"/>
      <c r="S15" s="9"/>
      <c r="T15" s="5" t="str">
        <f>IF(S15="Aprueba",COUNTIF($S$2:S15,"Aprueba"),"")</f>
        <v/>
      </c>
    </row>
    <row r="16" spans="1:20">
      <c r="A16" s="4" t="str">
        <f t="shared" si="0"/>
        <v/>
      </c>
      <c r="B16" s="6"/>
      <c r="C16" s="7"/>
      <c r="D16" s="6"/>
      <c r="E16" s="8"/>
      <c r="F16" s="6"/>
      <c r="G16" s="6"/>
      <c r="H16" s="6"/>
      <c r="I16" s="6"/>
      <c r="J16" s="9"/>
      <c r="K16" s="10"/>
      <c r="L16" s="10"/>
      <c r="M16" s="10"/>
      <c r="N16" s="11" t="str">
        <f t="shared" si="1"/>
        <v/>
      </c>
      <c r="O16" s="6"/>
      <c r="P16" s="6"/>
      <c r="Q16" s="7"/>
      <c r="R16" s="6"/>
      <c r="S16" s="9"/>
      <c r="T16" s="5" t="str">
        <f>IF(S16="Aprueba",COUNTIF($S$2:S16,"Aprueba"),"")</f>
        <v/>
      </c>
    </row>
    <row r="17" spans="1:20">
      <c r="A17" s="4" t="str">
        <f t="shared" si="0"/>
        <v/>
      </c>
      <c r="B17" s="6"/>
      <c r="C17" s="7"/>
      <c r="D17" s="6"/>
      <c r="E17" s="8"/>
      <c r="F17" s="6"/>
      <c r="G17" s="6"/>
      <c r="H17" s="6"/>
      <c r="I17" s="6"/>
      <c r="J17" s="9"/>
      <c r="K17" s="10"/>
      <c r="L17" s="10"/>
      <c r="M17" s="10"/>
      <c r="N17" s="11" t="str">
        <f t="shared" si="1"/>
        <v/>
      </c>
      <c r="O17" s="6"/>
      <c r="P17" s="6"/>
      <c r="Q17" s="7"/>
      <c r="R17" s="6"/>
      <c r="S17" s="9"/>
      <c r="T17" s="5" t="str">
        <f>IF(S17="Aprueba",COUNTIF($S$2:S17,"Aprueba"),"")</f>
        <v/>
      </c>
    </row>
    <row r="18" spans="1:20">
      <c r="A18" s="4" t="str">
        <f t="shared" si="0"/>
        <v/>
      </c>
      <c r="B18" s="6"/>
      <c r="C18" s="7"/>
      <c r="D18" s="6"/>
      <c r="E18" s="8"/>
      <c r="F18" s="6"/>
      <c r="G18" s="6"/>
      <c r="H18" s="6"/>
      <c r="I18" s="6"/>
      <c r="J18" s="9"/>
      <c r="K18" s="10"/>
      <c r="L18" s="10"/>
      <c r="M18" s="10"/>
      <c r="N18" s="11" t="str">
        <f t="shared" si="1"/>
        <v/>
      </c>
      <c r="O18" s="6"/>
      <c r="P18" s="6"/>
      <c r="Q18" s="7"/>
      <c r="R18" s="6"/>
      <c r="S18" s="9"/>
      <c r="T18" s="5" t="str">
        <f>IF(S18="Aprueba",COUNTIF($S$2:S18,"Aprueba"),"")</f>
        <v/>
      </c>
    </row>
    <row r="19" spans="1:20">
      <c r="A19" s="4" t="str">
        <f t="shared" si="0"/>
        <v/>
      </c>
      <c r="B19" s="6"/>
      <c r="C19" s="7"/>
      <c r="D19" s="6"/>
      <c r="E19" s="8"/>
      <c r="F19" s="6"/>
      <c r="G19" s="6"/>
      <c r="H19" s="6"/>
      <c r="I19" s="6"/>
      <c r="J19" s="9"/>
      <c r="K19" s="10"/>
      <c r="L19" s="10"/>
      <c r="M19" s="10"/>
      <c r="N19" s="11" t="str">
        <f t="shared" si="1"/>
        <v/>
      </c>
      <c r="O19" s="6"/>
      <c r="P19" s="6"/>
      <c r="Q19" s="7"/>
      <c r="R19" s="6"/>
      <c r="S19" s="9"/>
      <c r="T19" s="5" t="str">
        <f>IF(S19="Aprueba",COUNTIF($S$2:S19,"Aprueba"),"")</f>
        <v/>
      </c>
    </row>
    <row r="20" spans="1:20">
      <c r="A20" s="4" t="str">
        <f t="shared" si="0"/>
        <v/>
      </c>
      <c r="B20" s="6"/>
      <c r="C20" s="7"/>
      <c r="D20" s="6"/>
      <c r="E20" s="8"/>
      <c r="F20" s="6"/>
      <c r="G20" s="6"/>
      <c r="H20" s="6"/>
      <c r="I20" s="6"/>
      <c r="J20" s="9"/>
      <c r="K20" s="10"/>
      <c r="L20" s="10"/>
      <c r="M20" s="10"/>
      <c r="N20" s="11" t="str">
        <f t="shared" si="1"/>
        <v/>
      </c>
      <c r="O20" s="6"/>
      <c r="P20" s="6"/>
      <c r="Q20" s="7"/>
      <c r="R20" s="6"/>
      <c r="S20" s="9"/>
      <c r="T20" s="5" t="str">
        <f>IF(S20="Aprueba",COUNTIF($S$2:S20,"Aprueba"),"")</f>
        <v/>
      </c>
    </row>
    <row r="21" spans="1:20">
      <c r="A21" s="4" t="str">
        <f t="shared" si="0"/>
        <v/>
      </c>
      <c r="B21" s="6"/>
      <c r="C21" s="7"/>
      <c r="D21" s="6"/>
      <c r="E21" s="8"/>
      <c r="F21" s="6"/>
      <c r="G21" s="6"/>
      <c r="H21" s="6"/>
      <c r="I21" s="6"/>
      <c r="J21" s="9"/>
      <c r="K21" s="10"/>
      <c r="L21" s="10"/>
      <c r="M21" s="10"/>
      <c r="N21" s="11" t="str">
        <f t="shared" si="1"/>
        <v/>
      </c>
      <c r="O21" s="6"/>
      <c r="P21" s="6"/>
      <c r="Q21" s="7"/>
      <c r="R21" s="6"/>
      <c r="S21" s="9"/>
      <c r="T21" s="5" t="str">
        <f>IF(S21="Aprueba",COUNTIF($S$2:S21,"Aprueba"),"")</f>
        <v/>
      </c>
    </row>
    <row r="22" spans="1:20">
      <c r="A22" s="4" t="str">
        <f t="shared" si="0"/>
        <v/>
      </c>
      <c r="B22" s="6"/>
      <c r="C22" s="7"/>
      <c r="D22" s="6"/>
      <c r="E22" s="8"/>
      <c r="F22" s="6"/>
      <c r="G22" s="6"/>
      <c r="H22" s="6"/>
      <c r="I22" s="6"/>
      <c r="J22" s="9"/>
      <c r="K22" s="10"/>
      <c r="L22" s="10"/>
      <c r="M22" s="10"/>
      <c r="N22" s="11" t="str">
        <f t="shared" si="1"/>
        <v/>
      </c>
      <c r="O22" s="6"/>
      <c r="P22" s="6"/>
      <c r="Q22" s="7"/>
      <c r="R22" s="6"/>
      <c r="S22" s="9"/>
      <c r="T22" s="5" t="str">
        <f>IF(S22="Aprueba",COUNTIF($S$2:S22,"Aprueba"),"")</f>
        <v/>
      </c>
    </row>
    <row r="23" spans="1:20">
      <c r="A23" s="4" t="str">
        <f t="shared" si="0"/>
        <v/>
      </c>
      <c r="B23" s="6"/>
      <c r="C23" s="7"/>
      <c r="D23" s="6"/>
      <c r="E23" s="8"/>
      <c r="F23" s="6"/>
      <c r="G23" s="6"/>
      <c r="H23" s="6"/>
      <c r="I23" s="6"/>
      <c r="J23" s="9"/>
      <c r="K23" s="10"/>
      <c r="L23" s="10"/>
      <c r="M23" s="10"/>
      <c r="N23" s="11" t="str">
        <f t="shared" si="1"/>
        <v/>
      </c>
      <c r="O23" s="6"/>
      <c r="P23" s="6"/>
      <c r="Q23" s="7"/>
      <c r="R23" s="6"/>
      <c r="S23" s="9"/>
      <c r="T23" s="5" t="str">
        <f>IF(S23="Aprueba",COUNTIF($S$2:S23,"Aprueba"),"")</f>
        <v/>
      </c>
    </row>
    <row r="24" spans="1:20">
      <c r="A24" s="4" t="str">
        <f t="shared" si="0"/>
        <v/>
      </c>
      <c r="B24" s="6"/>
      <c r="C24" s="7"/>
      <c r="D24" s="6"/>
      <c r="E24" s="8"/>
      <c r="F24" s="6"/>
      <c r="G24" s="6"/>
      <c r="H24" s="6"/>
      <c r="I24" s="6"/>
      <c r="J24" s="9"/>
      <c r="K24" s="10"/>
      <c r="L24" s="10"/>
      <c r="M24" s="10"/>
      <c r="N24" s="11" t="str">
        <f t="shared" si="1"/>
        <v/>
      </c>
      <c r="O24" s="6"/>
      <c r="P24" s="6"/>
      <c r="Q24" s="7"/>
      <c r="R24" s="6"/>
      <c r="S24" s="9"/>
      <c r="T24" s="5" t="str">
        <f>IF(S24="Aprueba",COUNTIF($S$2:S24,"Aprueba"),"")</f>
        <v/>
      </c>
    </row>
    <row r="25" spans="1:20">
      <c r="A25" s="4" t="str">
        <f t="shared" si="0"/>
        <v/>
      </c>
      <c r="B25" s="6"/>
      <c r="C25" s="7"/>
      <c r="D25" s="6"/>
      <c r="E25" s="8"/>
      <c r="F25" s="6"/>
      <c r="G25" s="6"/>
      <c r="H25" s="6"/>
      <c r="I25" s="6"/>
      <c r="J25" s="9"/>
      <c r="K25" s="10"/>
      <c r="L25" s="10"/>
      <c r="M25" s="10"/>
      <c r="N25" s="11" t="str">
        <f t="shared" si="1"/>
        <v/>
      </c>
      <c r="O25" s="6"/>
      <c r="P25" s="6"/>
      <c r="Q25" s="7"/>
      <c r="R25" s="6"/>
      <c r="S25" s="9"/>
      <c r="T25" s="5" t="str">
        <f>IF(S25="Aprueba",COUNTIF($S$2:S25,"Aprueba"),"")</f>
        <v/>
      </c>
    </row>
    <row r="26" spans="1:20">
      <c r="A26" s="4" t="str">
        <f t="shared" si="0"/>
        <v/>
      </c>
      <c r="B26" s="6"/>
      <c r="C26" s="7"/>
      <c r="D26" s="6"/>
      <c r="E26" s="8"/>
      <c r="F26" s="6"/>
      <c r="G26" s="6"/>
      <c r="H26" s="6"/>
      <c r="I26" s="6"/>
      <c r="J26" s="9"/>
      <c r="K26" s="10"/>
      <c r="L26" s="10"/>
      <c r="M26" s="10"/>
      <c r="N26" s="11" t="str">
        <f t="shared" si="1"/>
        <v/>
      </c>
      <c r="O26" s="6"/>
      <c r="P26" s="6"/>
      <c r="Q26" s="7"/>
      <c r="R26" s="6"/>
      <c r="S26" s="9"/>
      <c r="T26" s="5" t="str">
        <f>IF(S26="Aprueba",COUNTIF($S$2:S26,"Aprueba"),"")</f>
        <v/>
      </c>
    </row>
    <row r="27" spans="1:20">
      <c r="A27" s="4" t="str">
        <f t="shared" si="0"/>
        <v/>
      </c>
      <c r="B27" s="6"/>
      <c r="C27" s="7"/>
      <c r="D27" s="6"/>
      <c r="E27" s="8"/>
      <c r="F27" s="6"/>
      <c r="G27" s="6"/>
      <c r="H27" s="6"/>
      <c r="I27" s="6"/>
      <c r="J27" s="9"/>
      <c r="K27" s="10"/>
      <c r="L27" s="10"/>
      <c r="M27" s="10"/>
      <c r="N27" s="11" t="str">
        <f t="shared" si="1"/>
        <v/>
      </c>
      <c r="O27" s="6"/>
      <c r="P27" s="6"/>
      <c r="Q27" s="7"/>
      <c r="R27" s="6"/>
      <c r="S27" s="9"/>
      <c r="T27" s="5" t="str">
        <f>IF(S27="Aprueba",COUNTIF($S$2:S27,"Aprueba"),"")</f>
        <v/>
      </c>
    </row>
    <row r="28" spans="1:20">
      <c r="A28" s="4" t="str">
        <f t="shared" si="0"/>
        <v/>
      </c>
      <c r="B28" s="6"/>
      <c r="C28" s="7"/>
      <c r="D28" s="6"/>
      <c r="E28" s="8"/>
      <c r="F28" s="6"/>
      <c r="G28" s="6"/>
      <c r="H28" s="6"/>
      <c r="I28" s="6"/>
      <c r="J28" s="9"/>
      <c r="K28" s="10"/>
      <c r="L28" s="10"/>
      <c r="M28" s="10"/>
      <c r="N28" s="11" t="str">
        <f t="shared" si="1"/>
        <v/>
      </c>
      <c r="O28" s="6"/>
      <c r="P28" s="6"/>
      <c r="Q28" s="7"/>
      <c r="R28" s="6"/>
      <c r="S28" s="9"/>
      <c r="T28" s="5" t="str">
        <f>IF(S28="Aprueba",COUNTIF($S$2:S28,"Aprueba"),"")</f>
        <v/>
      </c>
    </row>
    <row r="29" spans="1:20">
      <c r="A29" s="4" t="str">
        <f t="shared" si="0"/>
        <v/>
      </c>
      <c r="B29" s="6"/>
      <c r="C29" s="7"/>
      <c r="D29" s="6"/>
      <c r="E29" s="8"/>
      <c r="F29" s="6"/>
      <c r="G29" s="6"/>
      <c r="H29" s="6"/>
      <c r="I29" s="6"/>
      <c r="J29" s="9"/>
      <c r="K29" s="10"/>
      <c r="L29" s="10"/>
      <c r="M29" s="10"/>
      <c r="N29" s="11" t="str">
        <f t="shared" si="1"/>
        <v/>
      </c>
      <c r="O29" s="6"/>
      <c r="P29" s="6"/>
      <c r="Q29" s="7"/>
      <c r="R29" s="6"/>
      <c r="S29" s="9"/>
      <c r="T29" s="5" t="str">
        <f>IF(S29="Aprueba",COUNTIF($S$2:S29,"Aprueba"),"")</f>
        <v/>
      </c>
    </row>
    <row r="30" spans="1:20">
      <c r="A30" s="4" t="str">
        <f t="shared" si="0"/>
        <v/>
      </c>
      <c r="B30" s="6"/>
      <c r="C30" s="7"/>
      <c r="D30" s="6"/>
      <c r="E30" s="8"/>
      <c r="F30" s="6"/>
      <c r="G30" s="6"/>
      <c r="H30" s="6"/>
      <c r="I30" s="6"/>
      <c r="J30" s="9"/>
      <c r="K30" s="10"/>
      <c r="L30" s="10"/>
      <c r="M30" s="10"/>
      <c r="N30" s="11" t="str">
        <f t="shared" si="1"/>
        <v/>
      </c>
      <c r="O30" s="6"/>
      <c r="P30" s="6"/>
      <c r="Q30" s="7"/>
      <c r="R30" s="6"/>
      <c r="S30" s="9"/>
      <c r="T30" s="5" t="str">
        <f>IF(S30="Aprueba",COUNTIF($S$2:S30,"Aprueba"),"")</f>
        <v/>
      </c>
    </row>
    <row r="31" spans="1:20">
      <c r="A31" s="4" t="str">
        <f t="shared" si="0"/>
        <v/>
      </c>
      <c r="B31" s="6"/>
      <c r="C31" s="7"/>
      <c r="D31" s="6"/>
      <c r="E31" s="8"/>
      <c r="F31" s="6"/>
      <c r="G31" s="6"/>
      <c r="H31" s="6"/>
      <c r="I31" s="6"/>
      <c r="J31" s="9"/>
      <c r="K31" s="10"/>
      <c r="L31" s="10"/>
      <c r="M31" s="10"/>
      <c r="N31" s="11" t="str">
        <f t="shared" si="1"/>
        <v/>
      </c>
      <c r="O31" s="6"/>
      <c r="P31" s="6"/>
      <c r="Q31" s="7"/>
      <c r="R31" s="6"/>
      <c r="S31" s="9"/>
      <c r="T31" s="5" t="str">
        <f>IF(S31="Aprueba",COUNTIF($S$2:S31,"Aprueba"),"")</f>
        <v/>
      </c>
    </row>
    <row r="32" spans="1:20">
      <c r="A32" s="4" t="str">
        <f t="shared" si="0"/>
        <v/>
      </c>
      <c r="B32" s="6"/>
      <c r="C32" s="7"/>
      <c r="D32" s="6"/>
      <c r="E32" s="8"/>
      <c r="F32" s="6"/>
      <c r="G32" s="6"/>
      <c r="H32" s="6"/>
      <c r="I32" s="6"/>
      <c r="J32" s="9"/>
      <c r="K32" s="10"/>
      <c r="L32" s="10"/>
      <c r="M32" s="10"/>
      <c r="N32" s="11" t="str">
        <f t="shared" si="1"/>
        <v/>
      </c>
      <c r="O32" s="6"/>
      <c r="P32" s="6"/>
      <c r="Q32" s="7"/>
      <c r="R32" s="6"/>
      <c r="S32" s="9"/>
      <c r="T32" s="5" t="str">
        <f>IF(S32="Aprueba",COUNTIF($S$2:S32,"Aprueba"),"")</f>
        <v/>
      </c>
    </row>
    <row r="33" spans="1:20">
      <c r="A33" s="4" t="str">
        <f t="shared" si="0"/>
        <v/>
      </c>
      <c r="B33" s="6"/>
      <c r="C33" s="7"/>
      <c r="D33" s="6"/>
      <c r="E33" s="8"/>
      <c r="F33" s="6"/>
      <c r="G33" s="6"/>
      <c r="H33" s="6"/>
      <c r="I33" s="6"/>
      <c r="J33" s="9"/>
      <c r="K33" s="10"/>
      <c r="L33" s="10"/>
      <c r="M33" s="10"/>
      <c r="N33" s="11" t="str">
        <f t="shared" si="1"/>
        <v/>
      </c>
      <c r="O33" s="6"/>
      <c r="P33" s="6"/>
      <c r="Q33" s="7"/>
      <c r="R33" s="6"/>
      <c r="S33" s="9"/>
      <c r="T33" s="5" t="str">
        <f>IF(S33="Aprueba",COUNTIF($S$2:S33,"Aprueba"),"")</f>
        <v/>
      </c>
    </row>
    <row r="34" spans="1:20">
      <c r="A34" s="4" t="str">
        <f t="shared" ref="A34:A65" si="2">IF(E34="","",ROW()-1)</f>
        <v/>
      </c>
      <c r="B34" s="6"/>
      <c r="C34" s="7"/>
      <c r="D34" s="6"/>
      <c r="E34" s="8"/>
      <c r="F34" s="6"/>
      <c r="G34" s="6"/>
      <c r="H34" s="6"/>
      <c r="I34" s="6"/>
      <c r="J34" s="9"/>
      <c r="K34" s="10"/>
      <c r="L34" s="10"/>
      <c r="M34" s="10"/>
      <c r="N34" s="11" t="str">
        <f t="shared" ref="N34:N65" si="3">IF(COUNTA(K34:M34)=0,"",AVERAGE(K34:M34))</f>
        <v/>
      </c>
      <c r="O34" s="6"/>
      <c r="P34" s="6"/>
      <c r="Q34" s="7"/>
      <c r="R34" s="6"/>
      <c r="S34" s="9"/>
      <c r="T34" s="5" t="str">
        <f>IF(S34="Aprueba",COUNTIF($S$2:S34,"Aprueba"),"")</f>
        <v/>
      </c>
    </row>
    <row r="35" spans="1:20">
      <c r="A35" s="4" t="str">
        <f t="shared" si="2"/>
        <v/>
      </c>
      <c r="B35" s="6"/>
      <c r="C35" s="7"/>
      <c r="D35" s="6"/>
      <c r="E35" s="8"/>
      <c r="F35" s="6"/>
      <c r="G35" s="6"/>
      <c r="H35" s="6"/>
      <c r="I35" s="6"/>
      <c r="J35" s="9"/>
      <c r="K35" s="10"/>
      <c r="L35" s="10"/>
      <c r="M35" s="10"/>
      <c r="N35" s="11" t="str">
        <f t="shared" si="3"/>
        <v/>
      </c>
      <c r="O35" s="6"/>
      <c r="P35" s="6"/>
      <c r="Q35" s="7"/>
      <c r="R35" s="6"/>
      <c r="S35" s="9"/>
      <c r="T35" s="5" t="str">
        <f>IF(S35="Aprueba",COUNTIF($S$2:S35,"Aprueba"),"")</f>
        <v/>
      </c>
    </row>
    <row r="36" spans="1:20">
      <c r="A36" s="4" t="str">
        <f t="shared" si="2"/>
        <v/>
      </c>
      <c r="B36" s="6"/>
      <c r="C36" s="7"/>
      <c r="D36" s="6"/>
      <c r="E36" s="8"/>
      <c r="F36" s="6"/>
      <c r="G36" s="6"/>
      <c r="H36" s="6"/>
      <c r="I36" s="6"/>
      <c r="J36" s="9"/>
      <c r="K36" s="10"/>
      <c r="L36" s="10"/>
      <c r="M36" s="10"/>
      <c r="N36" s="11" t="str">
        <f t="shared" si="3"/>
        <v/>
      </c>
      <c r="O36" s="6"/>
      <c r="P36" s="6"/>
      <c r="Q36" s="7"/>
      <c r="R36" s="6"/>
      <c r="S36" s="9"/>
      <c r="T36" s="5" t="str">
        <f>IF(S36="Aprueba",COUNTIF($S$2:S36,"Aprueba"),"")</f>
        <v/>
      </c>
    </row>
    <row r="37" spans="1:20">
      <c r="A37" s="4" t="str">
        <f t="shared" si="2"/>
        <v/>
      </c>
      <c r="B37" s="6"/>
      <c r="C37" s="7"/>
      <c r="D37" s="6"/>
      <c r="E37" s="8"/>
      <c r="F37" s="6"/>
      <c r="G37" s="6"/>
      <c r="H37" s="6"/>
      <c r="I37" s="6"/>
      <c r="J37" s="9"/>
      <c r="K37" s="10"/>
      <c r="L37" s="10"/>
      <c r="M37" s="10"/>
      <c r="N37" s="11" t="str">
        <f t="shared" si="3"/>
        <v/>
      </c>
      <c r="O37" s="6"/>
      <c r="P37" s="6"/>
      <c r="Q37" s="7"/>
      <c r="R37" s="6"/>
      <c r="S37" s="9"/>
      <c r="T37" s="5" t="str">
        <f>IF(S37="Aprueba",COUNTIF($S$2:S37,"Aprueba"),"")</f>
        <v/>
      </c>
    </row>
    <row r="38" spans="1:20">
      <c r="A38" s="4" t="str">
        <f t="shared" si="2"/>
        <v/>
      </c>
      <c r="B38" s="6"/>
      <c r="C38" s="7"/>
      <c r="D38" s="6"/>
      <c r="E38" s="8"/>
      <c r="F38" s="6"/>
      <c r="G38" s="6"/>
      <c r="H38" s="6"/>
      <c r="I38" s="6"/>
      <c r="J38" s="9"/>
      <c r="K38" s="10"/>
      <c r="L38" s="10"/>
      <c r="M38" s="10"/>
      <c r="N38" s="11" t="str">
        <f t="shared" si="3"/>
        <v/>
      </c>
      <c r="O38" s="6"/>
      <c r="P38" s="6"/>
      <c r="Q38" s="7"/>
      <c r="R38" s="6"/>
      <c r="S38" s="9"/>
      <c r="T38" s="5" t="str">
        <f>IF(S38="Aprueba",COUNTIF($S$2:S38,"Aprueba"),"")</f>
        <v/>
      </c>
    </row>
    <row r="39" spans="1:20">
      <c r="A39" s="4" t="str">
        <f t="shared" si="2"/>
        <v/>
      </c>
      <c r="B39" s="6"/>
      <c r="C39" s="7"/>
      <c r="D39" s="6"/>
      <c r="E39" s="8"/>
      <c r="F39" s="6"/>
      <c r="G39" s="6"/>
      <c r="H39" s="6"/>
      <c r="I39" s="6"/>
      <c r="J39" s="9"/>
      <c r="K39" s="10"/>
      <c r="L39" s="10"/>
      <c r="M39" s="10"/>
      <c r="N39" s="11" t="str">
        <f t="shared" si="3"/>
        <v/>
      </c>
      <c r="O39" s="6"/>
      <c r="P39" s="6"/>
      <c r="Q39" s="7"/>
      <c r="R39" s="6"/>
      <c r="S39" s="9"/>
      <c r="T39" s="5" t="str">
        <f>IF(S39="Aprueba",COUNTIF($S$2:S39,"Aprueba"),"")</f>
        <v/>
      </c>
    </row>
    <row r="40" spans="1:20">
      <c r="A40" s="4" t="str">
        <f t="shared" si="2"/>
        <v/>
      </c>
      <c r="B40" s="6"/>
      <c r="C40" s="7"/>
      <c r="D40" s="6"/>
      <c r="E40" s="8"/>
      <c r="F40" s="6"/>
      <c r="G40" s="6"/>
      <c r="H40" s="6"/>
      <c r="I40" s="6"/>
      <c r="J40" s="9"/>
      <c r="K40" s="10"/>
      <c r="L40" s="10"/>
      <c r="M40" s="10"/>
      <c r="N40" s="11" t="str">
        <f t="shared" si="3"/>
        <v/>
      </c>
      <c r="O40" s="6"/>
      <c r="P40" s="6"/>
      <c r="Q40" s="7"/>
      <c r="R40" s="6"/>
      <c r="S40" s="9"/>
      <c r="T40" s="5" t="str">
        <f>IF(S40="Aprueba",COUNTIF($S$2:S40,"Aprueba"),"")</f>
        <v/>
      </c>
    </row>
    <row r="41" spans="1:20">
      <c r="A41" s="4" t="str">
        <f t="shared" si="2"/>
        <v/>
      </c>
      <c r="B41" s="6"/>
      <c r="C41" s="7"/>
      <c r="D41" s="6"/>
      <c r="E41" s="8"/>
      <c r="F41" s="6"/>
      <c r="G41" s="6"/>
      <c r="H41" s="6"/>
      <c r="I41" s="6"/>
      <c r="J41" s="9"/>
      <c r="K41" s="10"/>
      <c r="L41" s="10"/>
      <c r="M41" s="10"/>
      <c r="N41" s="11" t="str">
        <f t="shared" si="3"/>
        <v/>
      </c>
      <c r="O41" s="6"/>
      <c r="P41" s="6"/>
      <c r="Q41" s="7"/>
      <c r="R41" s="6"/>
      <c r="S41" s="9"/>
      <c r="T41" s="5" t="str">
        <f>IF(S41="Aprueba",COUNTIF($S$2:S41,"Aprueba"),"")</f>
        <v/>
      </c>
    </row>
    <row r="42" spans="1:20">
      <c r="A42" s="4" t="str">
        <f t="shared" si="2"/>
        <v/>
      </c>
      <c r="B42" s="6"/>
      <c r="C42" s="7"/>
      <c r="D42" s="6"/>
      <c r="E42" s="8"/>
      <c r="F42" s="6"/>
      <c r="G42" s="6"/>
      <c r="H42" s="6"/>
      <c r="I42" s="6"/>
      <c r="J42" s="9"/>
      <c r="K42" s="10"/>
      <c r="L42" s="10"/>
      <c r="M42" s="10"/>
      <c r="N42" s="11" t="str">
        <f t="shared" si="3"/>
        <v/>
      </c>
      <c r="O42" s="6"/>
      <c r="P42" s="6"/>
      <c r="Q42" s="7"/>
      <c r="R42" s="6"/>
      <c r="S42" s="9"/>
      <c r="T42" s="5" t="str">
        <f>IF(S42="Aprueba",COUNTIF($S$2:S42,"Aprueba"),"")</f>
        <v/>
      </c>
    </row>
    <row r="43" spans="1:20">
      <c r="A43" s="4" t="str">
        <f t="shared" si="2"/>
        <v/>
      </c>
      <c r="B43" s="6"/>
      <c r="C43" s="7"/>
      <c r="D43" s="6"/>
      <c r="E43" s="8"/>
      <c r="F43" s="6"/>
      <c r="G43" s="6"/>
      <c r="H43" s="6"/>
      <c r="I43" s="6"/>
      <c r="J43" s="9"/>
      <c r="K43" s="10"/>
      <c r="L43" s="10"/>
      <c r="M43" s="10"/>
      <c r="N43" s="11" t="str">
        <f t="shared" si="3"/>
        <v/>
      </c>
      <c r="O43" s="6"/>
      <c r="P43" s="6"/>
      <c r="Q43" s="7"/>
      <c r="R43" s="6"/>
      <c r="S43" s="9"/>
      <c r="T43" s="5" t="str">
        <f>IF(S43="Aprueba",COUNTIF($S$2:S43,"Aprueba"),"")</f>
        <v/>
      </c>
    </row>
    <row r="44" spans="1:20">
      <c r="A44" s="4" t="str">
        <f t="shared" si="2"/>
        <v/>
      </c>
      <c r="B44" s="6"/>
      <c r="C44" s="7"/>
      <c r="D44" s="6"/>
      <c r="E44" s="8"/>
      <c r="F44" s="6"/>
      <c r="G44" s="6"/>
      <c r="H44" s="6"/>
      <c r="I44" s="6"/>
      <c r="J44" s="9"/>
      <c r="K44" s="10"/>
      <c r="L44" s="10"/>
      <c r="M44" s="10"/>
      <c r="N44" s="11" t="str">
        <f t="shared" si="3"/>
        <v/>
      </c>
      <c r="O44" s="6"/>
      <c r="P44" s="6"/>
      <c r="Q44" s="7"/>
      <c r="R44" s="6"/>
      <c r="S44" s="9"/>
      <c r="T44" s="5" t="str">
        <f>IF(S44="Aprueba",COUNTIF($S$2:S44,"Aprueba"),"")</f>
        <v/>
      </c>
    </row>
    <row r="45" spans="1:20">
      <c r="A45" s="4" t="str">
        <f t="shared" si="2"/>
        <v/>
      </c>
      <c r="B45" s="6"/>
      <c r="C45" s="7"/>
      <c r="D45" s="6"/>
      <c r="E45" s="8"/>
      <c r="F45" s="6"/>
      <c r="G45" s="6"/>
      <c r="H45" s="6"/>
      <c r="I45" s="6"/>
      <c r="J45" s="9"/>
      <c r="K45" s="10"/>
      <c r="L45" s="10"/>
      <c r="M45" s="10"/>
      <c r="N45" s="11" t="str">
        <f t="shared" si="3"/>
        <v/>
      </c>
      <c r="O45" s="6"/>
      <c r="P45" s="6"/>
      <c r="Q45" s="7"/>
      <c r="R45" s="6"/>
      <c r="S45" s="9"/>
      <c r="T45" s="5" t="str">
        <f>IF(S45="Aprueba",COUNTIF($S$2:S45,"Aprueba"),"")</f>
        <v/>
      </c>
    </row>
    <row r="46" spans="1:20">
      <c r="A46" s="4" t="str">
        <f t="shared" si="2"/>
        <v/>
      </c>
      <c r="B46" s="6"/>
      <c r="C46" s="7"/>
      <c r="D46" s="6"/>
      <c r="E46" s="8"/>
      <c r="F46" s="6"/>
      <c r="G46" s="6"/>
      <c r="H46" s="6"/>
      <c r="I46" s="6"/>
      <c r="J46" s="9"/>
      <c r="K46" s="10"/>
      <c r="L46" s="10"/>
      <c r="M46" s="10"/>
      <c r="N46" s="11" t="str">
        <f t="shared" si="3"/>
        <v/>
      </c>
      <c r="O46" s="6"/>
      <c r="P46" s="6"/>
      <c r="Q46" s="7"/>
      <c r="R46" s="6"/>
      <c r="S46" s="9"/>
      <c r="T46" s="5" t="str">
        <f>IF(S46="Aprueba",COUNTIF($S$2:S46,"Aprueba"),"")</f>
        <v/>
      </c>
    </row>
    <row r="47" spans="1:20">
      <c r="A47" s="4" t="str">
        <f t="shared" si="2"/>
        <v/>
      </c>
      <c r="B47" s="6"/>
      <c r="C47" s="7"/>
      <c r="D47" s="6"/>
      <c r="E47" s="8"/>
      <c r="F47" s="6"/>
      <c r="G47" s="6"/>
      <c r="H47" s="6"/>
      <c r="I47" s="6"/>
      <c r="J47" s="9"/>
      <c r="K47" s="10"/>
      <c r="L47" s="10"/>
      <c r="M47" s="10"/>
      <c r="N47" s="11" t="str">
        <f t="shared" si="3"/>
        <v/>
      </c>
      <c r="O47" s="6"/>
      <c r="P47" s="6"/>
      <c r="Q47" s="7"/>
      <c r="R47" s="6"/>
      <c r="S47" s="9"/>
      <c r="T47" s="5" t="str">
        <f>IF(S47="Aprueba",COUNTIF($S$2:S47,"Aprueba"),"")</f>
        <v/>
      </c>
    </row>
    <row r="48" spans="1:20">
      <c r="A48" s="4" t="str">
        <f t="shared" si="2"/>
        <v/>
      </c>
      <c r="B48" s="6"/>
      <c r="C48" s="7"/>
      <c r="D48" s="6"/>
      <c r="E48" s="8"/>
      <c r="F48" s="6"/>
      <c r="G48" s="6"/>
      <c r="H48" s="6"/>
      <c r="I48" s="6"/>
      <c r="J48" s="9"/>
      <c r="K48" s="10"/>
      <c r="L48" s="10"/>
      <c r="M48" s="10"/>
      <c r="N48" s="11" t="str">
        <f t="shared" si="3"/>
        <v/>
      </c>
      <c r="O48" s="6"/>
      <c r="P48" s="6"/>
      <c r="Q48" s="7"/>
      <c r="R48" s="6"/>
      <c r="S48" s="9"/>
      <c r="T48" s="5" t="str">
        <f>IF(S48="Aprueba",COUNTIF($S$2:S48,"Aprueba"),"")</f>
        <v/>
      </c>
    </row>
    <row r="49" spans="1:20">
      <c r="A49" s="4" t="str">
        <f t="shared" si="2"/>
        <v/>
      </c>
      <c r="B49" s="6"/>
      <c r="C49" s="7"/>
      <c r="D49" s="6"/>
      <c r="E49" s="8"/>
      <c r="F49" s="6"/>
      <c r="G49" s="6"/>
      <c r="H49" s="6"/>
      <c r="I49" s="6"/>
      <c r="J49" s="9"/>
      <c r="K49" s="10"/>
      <c r="L49" s="10"/>
      <c r="M49" s="10"/>
      <c r="N49" s="11" t="str">
        <f t="shared" si="3"/>
        <v/>
      </c>
      <c r="O49" s="6"/>
      <c r="P49" s="6"/>
      <c r="Q49" s="7"/>
      <c r="R49" s="6"/>
      <c r="S49" s="9"/>
      <c r="T49" s="5" t="str">
        <f>IF(S49="Aprueba",COUNTIF($S$2:S49,"Aprueba"),"")</f>
        <v/>
      </c>
    </row>
    <row r="50" spans="1:20">
      <c r="A50" s="4" t="str">
        <f t="shared" si="2"/>
        <v/>
      </c>
      <c r="B50" s="6"/>
      <c r="C50" s="7"/>
      <c r="D50" s="6"/>
      <c r="E50" s="8"/>
      <c r="F50" s="6"/>
      <c r="G50" s="6"/>
      <c r="H50" s="6"/>
      <c r="I50" s="6"/>
      <c r="J50" s="9"/>
      <c r="K50" s="10"/>
      <c r="L50" s="10"/>
      <c r="M50" s="10"/>
      <c r="N50" s="11" t="str">
        <f t="shared" si="3"/>
        <v/>
      </c>
      <c r="O50" s="6"/>
      <c r="P50" s="6"/>
      <c r="Q50" s="7"/>
      <c r="R50" s="6"/>
      <c r="S50" s="9"/>
      <c r="T50" s="5" t="str">
        <f>IF(S50="Aprueba",COUNTIF($S$2:S50,"Aprueba"),"")</f>
        <v/>
      </c>
    </row>
    <row r="51" spans="1:20">
      <c r="A51" s="4" t="str">
        <f t="shared" si="2"/>
        <v/>
      </c>
      <c r="B51" s="6"/>
      <c r="C51" s="7"/>
      <c r="D51" s="6"/>
      <c r="E51" s="8"/>
      <c r="F51" s="6"/>
      <c r="G51" s="6"/>
      <c r="H51" s="6"/>
      <c r="I51" s="6"/>
      <c r="J51" s="9"/>
      <c r="K51" s="10"/>
      <c r="L51" s="10"/>
      <c r="M51" s="10"/>
      <c r="N51" s="11" t="str">
        <f t="shared" si="3"/>
        <v/>
      </c>
      <c r="O51" s="6"/>
      <c r="P51" s="6"/>
      <c r="Q51" s="7"/>
      <c r="R51" s="6"/>
      <c r="S51" s="9"/>
      <c r="T51" s="5" t="str">
        <f>IF(S51="Aprueba",COUNTIF($S$2:S51,"Aprueba"),"")</f>
        <v/>
      </c>
    </row>
    <row r="52" spans="1:20">
      <c r="A52" s="4" t="str">
        <f t="shared" si="2"/>
        <v/>
      </c>
      <c r="B52" s="6"/>
      <c r="C52" s="7"/>
      <c r="D52" s="6"/>
      <c r="E52" s="8"/>
      <c r="F52" s="6"/>
      <c r="G52" s="6"/>
      <c r="H52" s="6"/>
      <c r="I52" s="6"/>
      <c r="J52" s="9"/>
      <c r="K52" s="10"/>
      <c r="L52" s="10"/>
      <c r="M52" s="10"/>
      <c r="N52" s="11" t="str">
        <f t="shared" si="3"/>
        <v/>
      </c>
      <c r="O52" s="6"/>
      <c r="P52" s="6"/>
      <c r="Q52" s="7"/>
      <c r="R52" s="6"/>
      <c r="S52" s="9"/>
      <c r="T52" s="5" t="str">
        <f>IF(S52="Aprueba",COUNTIF($S$2:S52,"Aprueba"),"")</f>
        <v/>
      </c>
    </row>
    <row r="53" spans="1:20">
      <c r="A53" s="4" t="str">
        <f t="shared" si="2"/>
        <v/>
      </c>
      <c r="B53" s="6"/>
      <c r="C53" s="7"/>
      <c r="D53" s="6"/>
      <c r="E53" s="8"/>
      <c r="F53" s="6"/>
      <c r="G53" s="6"/>
      <c r="H53" s="6"/>
      <c r="I53" s="6"/>
      <c r="J53" s="9"/>
      <c r="K53" s="10"/>
      <c r="L53" s="10"/>
      <c r="M53" s="10"/>
      <c r="N53" s="11" t="str">
        <f t="shared" si="3"/>
        <v/>
      </c>
      <c r="O53" s="6"/>
      <c r="P53" s="6"/>
      <c r="Q53" s="7"/>
      <c r="R53" s="6"/>
      <c r="S53" s="9"/>
      <c r="T53" s="5" t="str">
        <f>IF(S53="Aprueba",COUNTIF($S$2:S53,"Aprueba"),"")</f>
        <v/>
      </c>
    </row>
    <row r="54" spans="1:20">
      <c r="A54" s="4" t="str">
        <f t="shared" si="2"/>
        <v/>
      </c>
      <c r="B54" s="6"/>
      <c r="C54" s="7"/>
      <c r="D54" s="6"/>
      <c r="E54" s="8"/>
      <c r="F54" s="6"/>
      <c r="G54" s="6"/>
      <c r="H54" s="6"/>
      <c r="I54" s="6"/>
      <c r="J54" s="9"/>
      <c r="K54" s="10"/>
      <c r="L54" s="10"/>
      <c r="M54" s="10"/>
      <c r="N54" s="11" t="str">
        <f t="shared" si="3"/>
        <v/>
      </c>
      <c r="O54" s="6"/>
      <c r="P54" s="6"/>
      <c r="Q54" s="7"/>
      <c r="R54" s="6"/>
      <c r="S54" s="9"/>
      <c r="T54" s="5" t="str">
        <f>IF(S54="Aprueba",COUNTIF($S$2:S54,"Aprueba"),"")</f>
        <v/>
      </c>
    </row>
    <row r="55" spans="1:20">
      <c r="A55" s="4" t="str">
        <f t="shared" si="2"/>
        <v/>
      </c>
      <c r="B55" s="6"/>
      <c r="C55" s="7"/>
      <c r="D55" s="6"/>
      <c r="E55" s="8"/>
      <c r="F55" s="6"/>
      <c r="G55" s="6"/>
      <c r="H55" s="6"/>
      <c r="I55" s="6"/>
      <c r="J55" s="9"/>
      <c r="K55" s="10"/>
      <c r="L55" s="10"/>
      <c r="M55" s="10"/>
      <c r="N55" s="11" t="str">
        <f t="shared" si="3"/>
        <v/>
      </c>
      <c r="O55" s="6"/>
      <c r="P55" s="6"/>
      <c r="Q55" s="7"/>
      <c r="R55" s="6"/>
      <c r="S55" s="9"/>
      <c r="T55" s="5" t="str">
        <f>IF(S55="Aprueba",COUNTIF($S$2:S55,"Aprueba"),"")</f>
        <v/>
      </c>
    </row>
    <row r="56" spans="1:20">
      <c r="A56" s="4" t="str">
        <f t="shared" si="2"/>
        <v/>
      </c>
      <c r="B56" s="6"/>
      <c r="C56" s="7"/>
      <c r="D56" s="6"/>
      <c r="E56" s="8"/>
      <c r="F56" s="6"/>
      <c r="G56" s="6"/>
      <c r="H56" s="6"/>
      <c r="I56" s="6"/>
      <c r="J56" s="9"/>
      <c r="K56" s="10"/>
      <c r="L56" s="10"/>
      <c r="M56" s="10"/>
      <c r="N56" s="11" t="str">
        <f t="shared" si="3"/>
        <v/>
      </c>
      <c r="O56" s="6"/>
      <c r="P56" s="6"/>
      <c r="Q56" s="7"/>
      <c r="R56" s="6"/>
      <c r="S56" s="9"/>
      <c r="T56" s="5" t="str">
        <f>IF(S56="Aprueba",COUNTIF($S$2:S56,"Aprueba"),"")</f>
        <v/>
      </c>
    </row>
    <row r="57" spans="1:20">
      <c r="A57" s="4" t="str">
        <f t="shared" si="2"/>
        <v/>
      </c>
      <c r="B57" s="6"/>
      <c r="C57" s="7"/>
      <c r="D57" s="6"/>
      <c r="E57" s="8"/>
      <c r="F57" s="6"/>
      <c r="G57" s="6"/>
      <c r="H57" s="6"/>
      <c r="I57" s="6"/>
      <c r="J57" s="9"/>
      <c r="K57" s="10"/>
      <c r="L57" s="10"/>
      <c r="M57" s="10"/>
      <c r="N57" s="11" t="str">
        <f t="shared" si="3"/>
        <v/>
      </c>
      <c r="O57" s="6"/>
      <c r="P57" s="6"/>
      <c r="Q57" s="7"/>
      <c r="R57" s="6"/>
      <c r="S57" s="9"/>
      <c r="T57" s="5" t="str">
        <f>IF(S57="Aprueba",COUNTIF($S$2:S57,"Aprueba"),"")</f>
        <v/>
      </c>
    </row>
    <row r="58" spans="1:20">
      <c r="A58" s="4" t="str">
        <f t="shared" si="2"/>
        <v/>
      </c>
      <c r="B58" s="6"/>
      <c r="C58" s="7"/>
      <c r="D58" s="6"/>
      <c r="E58" s="8"/>
      <c r="F58" s="6"/>
      <c r="G58" s="6"/>
      <c r="H58" s="6"/>
      <c r="I58" s="6"/>
      <c r="J58" s="9"/>
      <c r="K58" s="10"/>
      <c r="L58" s="10"/>
      <c r="M58" s="10"/>
      <c r="N58" s="11" t="str">
        <f t="shared" si="3"/>
        <v/>
      </c>
      <c r="O58" s="6"/>
      <c r="P58" s="6"/>
      <c r="Q58" s="7"/>
      <c r="R58" s="6"/>
      <c r="S58" s="9"/>
      <c r="T58" s="5" t="str">
        <f>IF(S58="Aprueba",COUNTIF($S$2:S58,"Aprueba"),"")</f>
        <v/>
      </c>
    </row>
    <row r="59" spans="1:20">
      <c r="A59" s="4" t="str">
        <f t="shared" si="2"/>
        <v/>
      </c>
      <c r="B59" s="6"/>
      <c r="C59" s="7"/>
      <c r="D59" s="6"/>
      <c r="E59" s="8"/>
      <c r="F59" s="6"/>
      <c r="G59" s="6"/>
      <c r="H59" s="6"/>
      <c r="I59" s="6"/>
      <c r="J59" s="9"/>
      <c r="K59" s="10"/>
      <c r="L59" s="10"/>
      <c r="M59" s="10"/>
      <c r="N59" s="11" t="str">
        <f t="shared" si="3"/>
        <v/>
      </c>
      <c r="O59" s="6"/>
      <c r="P59" s="6"/>
      <c r="Q59" s="7"/>
      <c r="R59" s="6"/>
      <c r="S59" s="9"/>
      <c r="T59" s="5" t="str">
        <f>IF(S59="Aprueba",COUNTIF($S$2:S59,"Aprueba"),"")</f>
        <v/>
      </c>
    </row>
    <row r="60" spans="1:20">
      <c r="A60" s="4" t="str">
        <f t="shared" si="2"/>
        <v/>
      </c>
      <c r="B60" s="6"/>
      <c r="C60" s="7"/>
      <c r="D60" s="6"/>
      <c r="E60" s="8"/>
      <c r="F60" s="6"/>
      <c r="G60" s="6"/>
      <c r="H60" s="6"/>
      <c r="I60" s="6"/>
      <c r="J60" s="9"/>
      <c r="K60" s="10"/>
      <c r="L60" s="10"/>
      <c r="M60" s="10"/>
      <c r="N60" s="11" t="str">
        <f t="shared" si="3"/>
        <v/>
      </c>
      <c r="O60" s="6"/>
      <c r="P60" s="6"/>
      <c r="Q60" s="7"/>
      <c r="R60" s="6"/>
      <c r="S60" s="9"/>
      <c r="T60" s="5" t="str">
        <f>IF(S60="Aprueba",COUNTIF($S$2:S60,"Aprueba"),"")</f>
        <v/>
      </c>
    </row>
    <row r="61" spans="1:20">
      <c r="A61" s="4" t="str">
        <f t="shared" si="2"/>
        <v/>
      </c>
      <c r="B61" s="6"/>
      <c r="C61" s="7"/>
      <c r="D61" s="6"/>
      <c r="E61" s="8"/>
      <c r="F61" s="6"/>
      <c r="G61" s="6"/>
      <c r="H61" s="6"/>
      <c r="I61" s="6"/>
      <c r="J61" s="9"/>
      <c r="K61" s="10"/>
      <c r="L61" s="10"/>
      <c r="M61" s="10"/>
      <c r="N61" s="11" t="str">
        <f t="shared" si="3"/>
        <v/>
      </c>
      <c r="O61" s="6"/>
      <c r="P61" s="6"/>
      <c r="Q61" s="7"/>
      <c r="R61" s="6"/>
      <c r="S61" s="9"/>
      <c r="T61" s="5" t="str">
        <f>IF(S61="Aprueba",COUNTIF($S$2:S61,"Aprueba"),"")</f>
        <v/>
      </c>
    </row>
    <row r="62" spans="1:20">
      <c r="A62" s="4" t="str">
        <f t="shared" si="2"/>
        <v/>
      </c>
      <c r="B62" s="6"/>
      <c r="C62" s="7"/>
      <c r="D62" s="6"/>
      <c r="E62" s="8"/>
      <c r="F62" s="6"/>
      <c r="G62" s="6"/>
      <c r="H62" s="6"/>
      <c r="I62" s="6"/>
      <c r="J62" s="9"/>
      <c r="K62" s="10"/>
      <c r="L62" s="10"/>
      <c r="M62" s="10"/>
      <c r="N62" s="11" t="str">
        <f t="shared" si="3"/>
        <v/>
      </c>
      <c r="O62" s="6"/>
      <c r="P62" s="6"/>
      <c r="Q62" s="7"/>
      <c r="R62" s="6"/>
      <c r="S62" s="9"/>
      <c r="T62" s="5" t="str">
        <f>IF(S62="Aprueba",COUNTIF($S$2:S62,"Aprueba"),"")</f>
        <v/>
      </c>
    </row>
    <row r="63" spans="1:20">
      <c r="A63" s="4" t="str">
        <f t="shared" si="2"/>
        <v/>
      </c>
      <c r="B63" s="6"/>
      <c r="C63" s="7"/>
      <c r="D63" s="6"/>
      <c r="E63" s="8"/>
      <c r="F63" s="6"/>
      <c r="G63" s="6"/>
      <c r="H63" s="6"/>
      <c r="I63" s="6"/>
      <c r="J63" s="9"/>
      <c r="K63" s="10"/>
      <c r="L63" s="10"/>
      <c r="M63" s="10"/>
      <c r="N63" s="11" t="str">
        <f t="shared" si="3"/>
        <v/>
      </c>
      <c r="O63" s="6"/>
      <c r="P63" s="6"/>
      <c r="Q63" s="7"/>
      <c r="R63" s="6"/>
      <c r="S63" s="9"/>
      <c r="T63" s="5" t="str">
        <f>IF(S63="Aprueba",COUNTIF($S$2:S63,"Aprueba"),"")</f>
        <v/>
      </c>
    </row>
    <row r="64" spans="1:20">
      <c r="A64" s="4" t="str">
        <f t="shared" si="2"/>
        <v/>
      </c>
      <c r="B64" s="6"/>
      <c r="C64" s="7"/>
      <c r="D64" s="6"/>
      <c r="E64" s="8"/>
      <c r="F64" s="6"/>
      <c r="G64" s="6"/>
      <c r="H64" s="6"/>
      <c r="I64" s="6"/>
      <c r="J64" s="9"/>
      <c r="K64" s="10"/>
      <c r="L64" s="10"/>
      <c r="M64" s="10"/>
      <c r="N64" s="11" t="str">
        <f t="shared" si="3"/>
        <v/>
      </c>
      <c r="O64" s="6"/>
      <c r="P64" s="6"/>
      <c r="Q64" s="7"/>
      <c r="R64" s="6"/>
      <c r="S64" s="9"/>
      <c r="T64" s="5" t="str">
        <f>IF(S64="Aprueba",COUNTIF($S$2:S64,"Aprueba"),"")</f>
        <v/>
      </c>
    </row>
    <row r="65" spans="1:20">
      <c r="A65" s="4" t="str">
        <f t="shared" si="2"/>
        <v/>
      </c>
      <c r="B65" s="6"/>
      <c r="C65" s="7"/>
      <c r="D65" s="6"/>
      <c r="E65" s="8"/>
      <c r="F65" s="6"/>
      <c r="G65" s="6"/>
      <c r="H65" s="6"/>
      <c r="I65" s="6"/>
      <c r="J65" s="9"/>
      <c r="K65" s="10"/>
      <c r="L65" s="10"/>
      <c r="M65" s="10"/>
      <c r="N65" s="11" t="str">
        <f t="shared" si="3"/>
        <v/>
      </c>
      <c r="O65" s="6"/>
      <c r="P65" s="6"/>
      <c r="Q65" s="7"/>
      <c r="R65" s="6"/>
      <c r="S65" s="9"/>
      <c r="T65" s="5" t="str">
        <f>IF(S65="Aprueba",COUNTIF($S$2:S65,"Aprueba"),"")</f>
        <v/>
      </c>
    </row>
    <row r="66" spans="1:20">
      <c r="A66" s="4" t="str">
        <f t="shared" ref="A66:A100" si="4">IF(E66="","",ROW()-1)</f>
        <v/>
      </c>
      <c r="B66" s="6"/>
      <c r="C66" s="7"/>
      <c r="D66" s="6"/>
      <c r="E66" s="8"/>
      <c r="F66" s="6"/>
      <c r="G66" s="6"/>
      <c r="H66" s="6"/>
      <c r="I66" s="6"/>
      <c r="J66" s="9"/>
      <c r="K66" s="10"/>
      <c r="L66" s="10"/>
      <c r="M66" s="10"/>
      <c r="N66" s="11" t="str">
        <f t="shared" ref="N66:N97" si="5">IF(COUNTA(K66:M66)=0,"",AVERAGE(K66:M66))</f>
        <v/>
      </c>
      <c r="O66" s="6"/>
      <c r="P66" s="6"/>
      <c r="Q66" s="7"/>
      <c r="R66" s="6"/>
      <c r="S66" s="9"/>
      <c r="T66" s="5" t="str">
        <f>IF(S66="Aprueba",COUNTIF($S$2:S66,"Aprueba"),"")</f>
        <v/>
      </c>
    </row>
    <row r="67" spans="1:20">
      <c r="A67" s="4" t="str">
        <f t="shared" si="4"/>
        <v/>
      </c>
      <c r="B67" s="6"/>
      <c r="C67" s="7"/>
      <c r="D67" s="6"/>
      <c r="E67" s="8"/>
      <c r="F67" s="6"/>
      <c r="G67" s="6"/>
      <c r="H67" s="6"/>
      <c r="I67" s="6"/>
      <c r="J67" s="9"/>
      <c r="K67" s="10"/>
      <c r="L67" s="10"/>
      <c r="M67" s="10"/>
      <c r="N67" s="11" t="str">
        <f t="shared" si="5"/>
        <v/>
      </c>
      <c r="O67" s="6"/>
      <c r="P67" s="6"/>
      <c r="Q67" s="7"/>
      <c r="R67" s="6"/>
      <c r="S67" s="9"/>
      <c r="T67" s="5" t="str">
        <f>IF(S67="Aprueba",COUNTIF($S$2:S67,"Aprueba"),"")</f>
        <v/>
      </c>
    </row>
    <row r="68" spans="1:20">
      <c r="A68" s="4" t="str">
        <f t="shared" si="4"/>
        <v/>
      </c>
      <c r="B68" s="6"/>
      <c r="C68" s="7"/>
      <c r="D68" s="6"/>
      <c r="E68" s="8"/>
      <c r="F68" s="6"/>
      <c r="G68" s="6"/>
      <c r="H68" s="6"/>
      <c r="I68" s="6"/>
      <c r="J68" s="9"/>
      <c r="K68" s="10"/>
      <c r="L68" s="10"/>
      <c r="M68" s="10"/>
      <c r="N68" s="11" t="str">
        <f t="shared" si="5"/>
        <v/>
      </c>
      <c r="O68" s="6"/>
      <c r="P68" s="6"/>
      <c r="Q68" s="7"/>
      <c r="R68" s="6"/>
      <c r="S68" s="9"/>
      <c r="T68" s="5" t="str">
        <f>IF(S68="Aprueba",COUNTIF($S$2:S68,"Aprueba"),"")</f>
        <v/>
      </c>
    </row>
    <row r="69" spans="1:20">
      <c r="A69" s="4" t="str">
        <f t="shared" si="4"/>
        <v/>
      </c>
      <c r="B69" s="6"/>
      <c r="C69" s="7"/>
      <c r="D69" s="6"/>
      <c r="E69" s="8"/>
      <c r="F69" s="6"/>
      <c r="G69" s="6"/>
      <c r="H69" s="6"/>
      <c r="I69" s="6"/>
      <c r="J69" s="9"/>
      <c r="K69" s="10"/>
      <c r="L69" s="10"/>
      <c r="M69" s="10"/>
      <c r="N69" s="11" t="str">
        <f t="shared" si="5"/>
        <v/>
      </c>
      <c r="O69" s="6"/>
      <c r="P69" s="6"/>
      <c r="Q69" s="7"/>
      <c r="R69" s="6"/>
      <c r="S69" s="9"/>
      <c r="T69" s="5" t="str">
        <f>IF(S69="Aprueba",COUNTIF($S$2:S69,"Aprueba"),"")</f>
        <v/>
      </c>
    </row>
    <row r="70" spans="1:20">
      <c r="A70" s="4" t="str">
        <f t="shared" si="4"/>
        <v/>
      </c>
      <c r="B70" s="6"/>
      <c r="C70" s="7"/>
      <c r="D70" s="6"/>
      <c r="E70" s="8"/>
      <c r="F70" s="6"/>
      <c r="G70" s="6"/>
      <c r="H70" s="6"/>
      <c r="I70" s="6"/>
      <c r="J70" s="9"/>
      <c r="K70" s="10"/>
      <c r="L70" s="10"/>
      <c r="M70" s="10"/>
      <c r="N70" s="11" t="str">
        <f t="shared" si="5"/>
        <v/>
      </c>
      <c r="O70" s="6"/>
      <c r="P70" s="6"/>
      <c r="Q70" s="7"/>
      <c r="R70" s="6"/>
      <c r="S70" s="9"/>
      <c r="T70" s="5" t="str">
        <f>IF(S70="Aprueba",COUNTIF($S$2:S70,"Aprueba"),"")</f>
        <v/>
      </c>
    </row>
    <row r="71" spans="1:20">
      <c r="A71" s="4" t="str">
        <f t="shared" si="4"/>
        <v/>
      </c>
      <c r="B71" s="6"/>
      <c r="C71" s="7"/>
      <c r="D71" s="6"/>
      <c r="E71" s="8"/>
      <c r="F71" s="6"/>
      <c r="G71" s="6"/>
      <c r="H71" s="6"/>
      <c r="I71" s="6"/>
      <c r="J71" s="9"/>
      <c r="K71" s="10"/>
      <c r="L71" s="10"/>
      <c r="M71" s="10"/>
      <c r="N71" s="11" t="str">
        <f t="shared" si="5"/>
        <v/>
      </c>
      <c r="O71" s="6"/>
      <c r="P71" s="6"/>
      <c r="Q71" s="7"/>
      <c r="R71" s="6"/>
      <c r="S71" s="9"/>
      <c r="T71" s="5" t="str">
        <f>IF(S71="Aprueba",COUNTIF($S$2:S71,"Aprueba"),"")</f>
        <v/>
      </c>
    </row>
    <row r="72" spans="1:20">
      <c r="A72" s="4" t="str">
        <f t="shared" si="4"/>
        <v/>
      </c>
      <c r="B72" s="6"/>
      <c r="C72" s="7"/>
      <c r="D72" s="6"/>
      <c r="E72" s="8"/>
      <c r="F72" s="6"/>
      <c r="G72" s="6"/>
      <c r="H72" s="6"/>
      <c r="I72" s="6"/>
      <c r="J72" s="9"/>
      <c r="K72" s="10"/>
      <c r="L72" s="10"/>
      <c r="M72" s="10"/>
      <c r="N72" s="11" t="str">
        <f t="shared" si="5"/>
        <v/>
      </c>
      <c r="O72" s="6"/>
      <c r="P72" s="6"/>
      <c r="Q72" s="7"/>
      <c r="R72" s="6"/>
      <c r="S72" s="9"/>
      <c r="T72" s="5" t="str">
        <f>IF(S72="Aprueba",COUNTIF($S$2:S72,"Aprueba"),"")</f>
        <v/>
      </c>
    </row>
    <row r="73" spans="1:20">
      <c r="A73" s="4" t="str">
        <f t="shared" si="4"/>
        <v/>
      </c>
      <c r="B73" s="6"/>
      <c r="C73" s="7"/>
      <c r="D73" s="6"/>
      <c r="E73" s="8"/>
      <c r="F73" s="6"/>
      <c r="G73" s="6"/>
      <c r="H73" s="6"/>
      <c r="I73" s="6"/>
      <c r="J73" s="9"/>
      <c r="K73" s="10"/>
      <c r="L73" s="10"/>
      <c r="M73" s="10"/>
      <c r="N73" s="11" t="str">
        <f t="shared" si="5"/>
        <v/>
      </c>
      <c r="O73" s="6"/>
      <c r="P73" s="6"/>
      <c r="Q73" s="7"/>
      <c r="R73" s="6"/>
      <c r="S73" s="9"/>
      <c r="T73" s="5" t="str">
        <f>IF(S73="Aprueba",COUNTIF($S$2:S73,"Aprueba"),"")</f>
        <v/>
      </c>
    </row>
    <row r="74" spans="1:20">
      <c r="A74" s="4" t="str">
        <f t="shared" si="4"/>
        <v/>
      </c>
      <c r="B74" s="6"/>
      <c r="C74" s="7"/>
      <c r="D74" s="6"/>
      <c r="E74" s="8"/>
      <c r="F74" s="6"/>
      <c r="G74" s="6"/>
      <c r="H74" s="6"/>
      <c r="I74" s="6"/>
      <c r="J74" s="9"/>
      <c r="K74" s="10"/>
      <c r="L74" s="10"/>
      <c r="M74" s="10"/>
      <c r="N74" s="11" t="str">
        <f t="shared" si="5"/>
        <v/>
      </c>
      <c r="O74" s="6"/>
      <c r="P74" s="6"/>
      <c r="Q74" s="7"/>
      <c r="R74" s="6"/>
      <c r="S74" s="9"/>
      <c r="T74" s="5" t="str">
        <f>IF(S74="Aprueba",COUNTIF($S$2:S74,"Aprueba"),"")</f>
        <v/>
      </c>
    </row>
    <row r="75" spans="1:20">
      <c r="A75" s="4" t="str">
        <f t="shared" si="4"/>
        <v/>
      </c>
      <c r="B75" s="6"/>
      <c r="C75" s="7"/>
      <c r="D75" s="6"/>
      <c r="E75" s="8"/>
      <c r="F75" s="6"/>
      <c r="G75" s="6"/>
      <c r="H75" s="6"/>
      <c r="I75" s="6"/>
      <c r="J75" s="9"/>
      <c r="K75" s="10"/>
      <c r="L75" s="10"/>
      <c r="M75" s="10"/>
      <c r="N75" s="11" t="str">
        <f t="shared" si="5"/>
        <v/>
      </c>
      <c r="O75" s="6"/>
      <c r="P75" s="6"/>
      <c r="Q75" s="7"/>
      <c r="R75" s="6"/>
      <c r="S75" s="9"/>
      <c r="T75" s="5" t="str">
        <f>IF(S75="Aprueba",COUNTIF($S$2:S75,"Aprueba"),"")</f>
        <v/>
      </c>
    </row>
    <row r="76" spans="1:20">
      <c r="A76" s="4" t="str">
        <f t="shared" si="4"/>
        <v/>
      </c>
      <c r="B76" s="6"/>
      <c r="C76" s="7"/>
      <c r="D76" s="6"/>
      <c r="E76" s="8"/>
      <c r="F76" s="6"/>
      <c r="G76" s="6"/>
      <c r="H76" s="6"/>
      <c r="I76" s="6"/>
      <c r="J76" s="9"/>
      <c r="K76" s="10"/>
      <c r="L76" s="10"/>
      <c r="M76" s="10"/>
      <c r="N76" s="11" t="str">
        <f t="shared" si="5"/>
        <v/>
      </c>
      <c r="O76" s="6"/>
      <c r="P76" s="6"/>
      <c r="Q76" s="7"/>
      <c r="R76" s="6"/>
      <c r="S76" s="9"/>
      <c r="T76" s="5" t="str">
        <f>IF(S76="Aprueba",COUNTIF($S$2:S76,"Aprueba"),"")</f>
        <v/>
      </c>
    </row>
    <row r="77" spans="1:20">
      <c r="A77" s="4" t="str">
        <f t="shared" si="4"/>
        <v/>
      </c>
      <c r="B77" s="6"/>
      <c r="C77" s="7"/>
      <c r="D77" s="6"/>
      <c r="E77" s="8"/>
      <c r="F77" s="6"/>
      <c r="G77" s="6"/>
      <c r="H77" s="6"/>
      <c r="I77" s="6"/>
      <c r="J77" s="9"/>
      <c r="K77" s="10"/>
      <c r="L77" s="10"/>
      <c r="M77" s="10"/>
      <c r="N77" s="11" t="str">
        <f t="shared" si="5"/>
        <v/>
      </c>
      <c r="O77" s="6"/>
      <c r="P77" s="6"/>
      <c r="Q77" s="7"/>
      <c r="R77" s="6"/>
      <c r="S77" s="9"/>
      <c r="T77" s="5" t="str">
        <f>IF(S77="Aprueba",COUNTIF($S$2:S77,"Aprueba"),"")</f>
        <v/>
      </c>
    </row>
    <row r="78" spans="1:20">
      <c r="A78" s="4" t="str">
        <f t="shared" si="4"/>
        <v/>
      </c>
      <c r="B78" s="6"/>
      <c r="C78" s="7"/>
      <c r="D78" s="6"/>
      <c r="E78" s="8"/>
      <c r="F78" s="6"/>
      <c r="G78" s="6"/>
      <c r="H78" s="6"/>
      <c r="I78" s="6"/>
      <c r="J78" s="9"/>
      <c r="K78" s="10"/>
      <c r="L78" s="10"/>
      <c r="M78" s="10"/>
      <c r="N78" s="11" t="str">
        <f t="shared" si="5"/>
        <v/>
      </c>
      <c r="O78" s="6"/>
      <c r="P78" s="6"/>
      <c r="Q78" s="7"/>
      <c r="R78" s="6"/>
      <c r="S78" s="9"/>
      <c r="T78" s="5" t="str">
        <f>IF(S78="Aprueba",COUNTIF($S$2:S78,"Aprueba"),"")</f>
        <v/>
      </c>
    </row>
    <row r="79" spans="1:20">
      <c r="A79" s="4" t="str">
        <f t="shared" si="4"/>
        <v/>
      </c>
      <c r="B79" s="6"/>
      <c r="C79" s="7"/>
      <c r="D79" s="6"/>
      <c r="E79" s="8"/>
      <c r="F79" s="6"/>
      <c r="G79" s="6"/>
      <c r="H79" s="6"/>
      <c r="I79" s="6"/>
      <c r="J79" s="9"/>
      <c r="K79" s="10"/>
      <c r="L79" s="10"/>
      <c r="M79" s="10"/>
      <c r="N79" s="11" t="str">
        <f t="shared" si="5"/>
        <v/>
      </c>
      <c r="O79" s="6"/>
      <c r="P79" s="6"/>
      <c r="Q79" s="7"/>
      <c r="R79" s="6"/>
      <c r="S79" s="9"/>
      <c r="T79" s="5" t="str">
        <f>IF(S79="Aprueba",COUNTIF($S$2:S79,"Aprueba"),"")</f>
        <v/>
      </c>
    </row>
    <row r="80" spans="1:20">
      <c r="A80" s="4" t="str">
        <f t="shared" si="4"/>
        <v/>
      </c>
      <c r="B80" s="6"/>
      <c r="C80" s="7"/>
      <c r="D80" s="6"/>
      <c r="E80" s="8"/>
      <c r="F80" s="6"/>
      <c r="G80" s="6"/>
      <c r="H80" s="6"/>
      <c r="I80" s="6"/>
      <c r="J80" s="9"/>
      <c r="K80" s="10"/>
      <c r="L80" s="10"/>
      <c r="M80" s="10"/>
      <c r="N80" s="11" t="str">
        <f t="shared" si="5"/>
        <v/>
      </c>
      <c r="O80" s="6"/>
      <c r="P80" s="6"/>
      <c r="Q80" s="7"/>
      <c r="R80" s="6"/>
      <c r="S80" s="9"/>
      <c r="T80" s="5" t="str">
        <f>IF(S80="Aprueba",COUNTIF($S$2:S80,"Aprueba"),"")</f>
        <v/>
      </c>
    </row>
    <row r="81" spans="1:20">
      <c r="A81" s="4" t="str">
        <f t="shared" si="4"/>
        <v/>
      </c>
      <c r="B81" s="6"/>
      <c r="C81" s="7"/>
      <c r="D81" s="6"/>
      <c r="E81" s="8"/>
      <c r="F81" s="6"/>
      <c r="G81" s="6"/>
      <c r="H81" s="6"/>
      <c r="I81" s="6"/>
      <c r="J81" s="9"/>
      <c r="K81" s="10"/>
      <c r="L81" s="10"/>
      <c r="M81" s="10"/>
      <c r="N81" s="11" t="str">
        <f t="shared" si="5"/>
        <v/>
      </c>
      <c r="O81" s="6"/>
      <c r="P81" s="6"/>
      <c r="Q81" s="7"/>
      <c r="R81" s="6"/>
      <c r="S81" s="9"/>
      <c r="T81" s="5" t="str">
        <f>IF(S81="Aprueba",COUNTIF($S$2:S81,"Aprueba"),"")</f>
        <v/>
      </c>
    </row>
    <row r="82" spans="1:20">
      <c r="A82" s="4" t="str">
        <f t="shared" si="4"/>
        <v/>
      </c>
      <c r="B82" s="6"/>
      <c r="C82" s="7"/>
      <c r="D82" s="6"/>
      <c r="E82" s="8"/>
      <c r="F82" s="6"/>
      <c r="G82" s="6"/>
      <c r="H82" s="6"/>
      <c r="I82" s="6"/>
      <c r="J82" s="9"/>
      <c r="K82" s="10"/>
      <c r="L82" s="10"/>
      <c r="M82" s="10"/>
      <c r="N82" s="11" t="str">
        <f t="shared" si="5"/>
        <v/>
      </c>
      <c r="O82" s="6"/>
      <c r="P82" s="6"/>
      <c r="Q82" s="7"/>
      <c r="R82" s="6"/>
      <c r="S82" s="9"/>
      <c r="T82" s="5" t="str">
        <f>IF(S82="Aprueba",COUNTIF($S$2:S82,"Aprueba"),"")</f>
        <v/>
      </c>
    </row>
    <row r="83" spans="1:20">
      <c r="A83" s="4" t="str">
        <f t="shared" si="4"/>
        <v/>
      </c>
      <c r="B83" s="6"/>
      <c r="C83" s="7"/>
      <c r="D83" s="6"/>
      <c r="E83" s="8"/>
      <c r="F83" s="6"/>
      <c r="G83" s="6"/>
      <c r="H83" s="6"/>
      <c r="I83" s="6"/>
      <c r="J83" s="9"/>
      <c r="K83" s="10"/>
      <c r="L83" s="10"/>
      <c r="M83" s="10"/>
      <c r="N83" s="11" t="str">
        <f t="shared" si="5"/>
        <v/>
      </c>
      <c r="O83" s="6"/>
      <c r="P83" s="6"/>
      <c r="Q83" s="7"/>
      <c r="R83" s="6"/>
      <c r="S83" s="9"/>
      <c r="T83" s="5" t="str">
        <f>IF(S83="Aprueba",COUNTIF($S$2:S83,"Aprueba"),"")</f>
        <v/>
      </c>
    </row>
    <row r="84" spans="1:20">
      <c r="A84" s="4" t="str">
        <f t="shared" si="4"/>
        <v/>
      </c>
      <c r="B84" s="6"/>
      <c r="C84" s="7"/>
      <c r="D84" s="6"/>
      <c r="E84" s="8"/>
      <c r="F84" s="6"/>
      <c r="G84" s="6"/>
      <c r="H84" s="6"/>
      <c r="I84" s="6"/>
      <c r="J84" s="9"/>
      <c r="K84" s="10"/>
      <c r="L84" s="10"/>
      <c r="M84" s="10"/>
      <c r="N84" s="11" t="str">
        <f t="shared" si="5"/>
        <v/>
      </c>
      <c r="O84" s="6"/>
      <c r="P84" s="6"/>
      <c r="Q84" s="7"/>
      <c r="R84" s="6"/>
      <c r="S84" s="9"/>
      <c r="T84" s="5" t="str">
        <f>IF(S84="Aprueba",COUNTIF($S$2:S84,"Aprueba"),"")</f>
        <v/>
      </c>
    </row>
    <row r="85" spans="1:20">
      <c r="A85" s="4" t="str">
        <f t="shared" si="4"/>
        <v/>
      </c>
      <c r="B85" s="6"/>
      <c r="C85" s="7"/>
      <c r="D85" s="6"/>
      <c r="E85" s="8"/>
      <c r="F85" s="6"/>
      <c r="G85" s="6"/>
      <c r="H85" s="6"/>
      <c r="I85" s="6"/>
      <c r="J85" s="9"/>
      <c r="K85" s="10"/>
      <c r="L85" s="10"/>
      <c r="M85" s="10"/>
      <c r="N85" s="11" t="str">
        <f t="shared" si="5"/>
        <v/>
      </c>
      <c r="O85" s="6"/>
      <c r="P85" s="6"/>
      <c r="Q85" s="7"/>
      <c r="R85" s="6"/>
      <c r="S85" s="9"/>
      <c r="T85" s="5" t="str">
        <f>IF(S85="Aprueba",COUNTIF($S$2:S85,"Aprueba"),"")</f>
        <v/>
      </c>
    </row>
    <row r="86" spans="1:20">
      <c r="A86" s="4" t="str">
        <f t="shared" si="4"/>
        <v/>
      </c>
      <c r="B86" s="6"/>
      <c r="C86" s="7"/>
      <c r="D86" s="6"/>
      <c r="E86" s="8"/>
      <c r="F86" s="6"/>
      <c r="G86" s="6"/>
      <c r="H86" s="6"/>
      <c r="I86" s="6"/>
      <c r="J86" s="9"/>
      <c r="K86" s="10"/>
      <c r="L86" s="10"/>
      <c r="M86" s="10"/>
      <c r="N86" s="11" t="str">
        <f t="shared" si="5"/>
        <v/>
      </c>
      <c r="O86" s="6"/>
      <c r="P86" s="6"/>
      <c r="Q86" s="7"/>
      <c r="R86" s="6"/>
      <c r="S86" s="9"/>
      <c r="T86" s="5" t="str">
        <f>IF(S86="Aprueba",COUNTIF($S$2:S86,"Aprueba"),"")</f>
        <v/>
      </c>
    </row>
    <row r="87" spans="1:20">
      <c r="A87" s="4" t="str">
        <f t="shared" si="4"/>
        <v/>
      </c>
      <c r="B87" s="6"/>
      <c r="C87" s="7"/>
      <c r="D87" s="6"/>
      <c r="E87" s="8"/>
      <c r="F87" s="6"/>
      <c r="G87" s="6"/>
      <c r="H87" s="6"/>
      <c r="I87" s="6"/>
      <c r="J87" s="9"/>
      <c r="K87" s="10"/>
      <c r="L87" s="10"/>
      <c r="M87" s="10"/>
      <c r="N87" s="11" t="str">
        <f t="shared" si="5"/>
        <v/>
      </c>
      <c r="O87" s="6"/>
      <c r="P87" s="6"/>
      <c r="Q87" s="7"/>
      <c r="R87" s="6"/>
      <c r="S87" s="9"/>
      <c r="T87" s="5" t="str">
        <f>IF(S87="Aprueba",COUNTIF($S$2:S87,"Aprueba"),"")</f>
        <v/>
      </c>
    </row>
    <row r="88" spans="1:20">
      <c r="A88" s="4" t="str">
        <f t="shared" si="4"/>
        <v/>
      </c>
      <c r="B88" s="6"/>
      <c r="C88" s="7"/>
      <c r="D88" s="6"/>
      <c r="E88" s="8"/>
      <c r="F88" s="6"/>
      <c r="G88" s="6"/>
      <c r="H88" s="6"/>
      <c r="I88" s="6"/>
      <c r="J88" s="9"/>
      <c r="K88" s="10"/>
      <c r="L88" s="10"/>
      <c r="M88" s="10"/>
      <c r="N88" s="11" t="str">
        <f t="shared" si="5"/>
        <v/>
      </c>
      <c r="O88" s="6"/>
      <c r="P88" s="6"/>
      <c r="Q88" s="7"/>
      <c r="R88" s="6"/>
      <c r="S88" s="9"/>
      <c r="T88" s="5" t="str">
        <f>IF(S88="Aprueba",COUNTIF($S$2:S88,"Aprueba"),"")</f>
        <v/>
      </c>
    </row>
    <row r="89" spans="1:20">
      <c r="A89" s="4" t="str">
        <f t="shared" si="4"/>
        <v/>
      </c>
      <c r="B89" s="6"/>
      <c r="C89" s="7"/>
      <c r="D89" s="6"/>
      <c r="E89" s="8"/>
      <c r="F89" s="6"/>
      <c r="G89" s="6"/>
      <c r="H89" s="6"/>
      <c r="I89" s="6"/>
      <c r="J89" s="9"/>
      <c r="K89" s="10"/>
      <c r="L89" s="10"/>
      <c r="M89" s="10"/>
      <c r="N89" s="11" t="str">
        <f t="shared" si="5"/>
        <v/>
      </c>
      <c r="O89" s="6"/>
      <c r="P89" s="6"/>
      <c r="Q89" s="7"/>
      <c r="R89" s="6"/>
      <c r="S89" s="9"/>
      <c r="T89" s="5" t="str">
        <f>IF(S89="Aprueba",COUNTIF($S$2:S89,"Aprueba"),"")</f>
        <v/>
      </c>
    </row>
    <row r="90" spans="1:20">
      <c r="A90" s="4" t="str">
        <f t="shared" si="4"/>
        <v/>
      </c>
      <c r="B90" s="6"/>
      <c r="C90" s="7"/>
      <c r="D90" s="6"/>
      <c r="E90" s="8"/>
      <c r="F90" s="6"/>
      <c r="G90" s="6"/>
      <c r="H90" s="6"/>
      <c r="I90" s="6"/>
      <c r="J90" s="9"/>
      <c r="K90" s="10"/>
      <c r="L90" s="10"/>
      <c r="M90" s="10"/>
      <c r="N90" s="11" t="str">
        <f t="shared" si="5"/>
        <v/>
      </c>
      <c r="O90" s="6"/>
      <c r="P90" s="6"/>
      <c r="Q90" s="7"/>
      <c r="R90" s="6"/>
      <c r="S90" s="9"/>
      <c r="T90" s="5" t="str">
        <f>IF(S90="Aprueba",COUNTIF($S$2:S90,"Aprueba"),"")</f>
        <v/>
      </c>
    </row>
    <row r="91" spans="1:20">
      <c r="A91" s="4" t="str">
        <f t="shared" si="4"/>
        <v/>
      </c>
      <c r="B91" s="6"/>
      <c r="C91" s="7"/>
      <c r="D91" s="6"/>
      <c r="E91" s="8"/>
      <c r="F91" s="6"/>
      <c r="G91" s="6"/>
      <c r="H91" s="6"/>
      <c r="I91" s="6"/>
      <c r="J91" s="9"/>
      <c r="K91" s="10"/>
      <c r="L91" s="10"/>
      <c r="M91" s="10"/>
      <c r="N91" s="11" t="str">
        <f t="shared" si="5"/>
        <v/>
      </c>
      <c r="O91" s="6"/>
      <c r="P91" s="6"/>
      <c r="Q91" s="7"/>
      <c r="R91" s="6"/>
      <c r="S91" s="9"/>
      <c r="T91" s="5" t="str">
        <f>IF(S91="Aprueba",COUNTIF($S$2:S91,"Aprueba"),"")</f>
        <v/>
      </c>
    </row>
    <row r="92" spans="1:20">
      <c r="A92" s="4" t="str">
        <f t="shared" si="4"/>
        <v/>
      </c>
      <c r="B92" s="6"/>
      <c r="C92" s="7"/>
      <c r="D92" s="6"/>
      <c r="E92" s="8"/>
      <c r="F92" s="6"/>
      <c r="G92" s="6"/>
      <c r="H92" s="6"/>
      <c r="I92" s="6"/>
      <c r="J92" s="9"/>
      <c r="K92" s="10"/>
      <c r="L92" s="10"/>
      <c r="M92" s="10"/>
      <c r="N92" s="11" t="str">
        <f t="shared" si="5"/>
        <v/>
      </c>
      <c r="O92" s="6"/>
      <c r="P92" s="6"/>
      <c r="Q92" s="7"/>
      <c r="R92" s="6"/>
      <c r="S92" s="9"/>
      <c r="T92" s="5" t="str">
        <f>IF(S92="Aprueba",COUNTIF($S$2:S92,"Aprueba"),"")</f>
        <v/>
      </c>
    </row>
    <row r="93" spans="1:20">
      <c r="A93" s="4" t="str">
        <f t="shared" si="4"/>
        <v/>
      </c>
      <c r="B93" s="6"/>
      <c r="C93" s="7"/>
      <c r="D93" s="6"/>
      <c r="E93" s="8"/>
      <c r="F93" s="6"/>
      <c r="G93" s="6"/>
      <c r="H93" s="6"/>
      <c r="I93" s="6"/>
      <c r="J93" s="9"/>
      <c r="K93" s="10"/>
      <c r="L93" s="10"/>
      <c r="M93" s="10"/>
      <c r="N93" s="11" t="str">
        <f t="shared" si="5"/>
        <v/>
      </c>
      <c r="O93" s="6"/>
      <c r="P93" s="6"/>
      <c r="Q93" s="7"/>
      <c r="R93" s="6"/>
      <c r="S93" s="9"/>
      <c r="T93" s="5" t="str">
        <f>IF(S93="Aprueba",COUNTIF($S$2:S93,"Aprueba"),"")</f>
        <v/>
      </c>
    </row>
    <row r="94" spans="1:20">
      <c r="A94" s="4" t="str">
        <f t="shared" si="4"/>
        <v/>
      </c>
      <c r="B94" s="6"/>
      <c r="C94" s="7"/>
      <c r="D94" s="6"/>
      <c r="E94" s="8"/>
      <c r="F94" s="6"/>
      <c r="G94" s="6"/>
      <c r="H94" s="6"/>
      <c r="I94" s="6"/>
      <c r="J94" s="9"/>
      <c r="K94" s="10"/>
      <c r="L94" s="10"/>
      <c r="M94" s="10"/>
      <c r="N94" s="11" t="str">
        <f t="shared" si="5"/>
        <v/>
      </c>
      <c r="O94" s="6"/>
      <c r="P94" s="6"/>
      <c r="Q94" s="7"/>
      <c r="R94" s="6"/>
      <c r="S94" s="9"/>
      <c r="T94" s="5" t="str">
        <f>IF(S94="Aprueba",COUNTIF($S$2:S94,"Aprueba"),"")</f>
        <v/>
      </c>
    </row>
    <row r="95" spans="1:20">
      <c r="A95" s="4" t="str">
        <f t="shared" si="4"/>
        <v/>
      </c>
      <c r="B95" s="6"/>
      <c r="C95" s="7"/>
      <c r="D95" s="6"/>
      <c r="E95" s="8"/>
      <c r="F95" s="6"/>
      <c r="G95" s="6"/>
      <c r="H95" s="6"/>
      <c r="I95" s="6"/>
      <c r="J95" s="9"/>
      <c r="K95" s="10"/>
      <c r="L95" s="10"/>
      <c r="M95" s="10"/>
      <c r="N95" s="11" t="str">
        <f t="shared" si="5"/>
        <v/>
      </c>
      <c r="O95" s="6"/>
      <c r="P95" s="6"/>
      <c r="Q95" s="7"/>
      <c r="R95" s="6"/>
      <c r="S95" s="9"/>
      <c r="T95" s="5" t="str">
        <f>IF(S95="Aprueba",COUNTIF($S$2:S95,"Aprueba"),"")</f>
        <v/>
      </c>
    </row>
    <row r="96" spans="1:20">
      <c r="A96" s="4" t="str">
        <f t="shared" si="4"/>
        <v/>
      </c>
      <c r="B96" s="6"/>
      <c r="C96" s="7"/>
      <c r="D96" s="6"/>
      <c r="E96" s="8"/>
      <c r="F96" s="6"/>
      <c r="G96" s="6"/>
      <c r="H96" s="6"/>
      <c r="I96" s="6"/>
      <c r="J96" s="9"/>
      <c r="K96" s="10"/>
      <c r="L96" s="10"/>
      <c r="M96" s="10"/>
      <c r="N96" s="11" t="str">
        <f t="shared" si="5"/>
        <v/>
      </c>
      <c r="O96" s="6"/>
      <c r="P96" s="6"/>
      <c r="Q96" s="7"/>
      <c r="R96" s="6"/>
      <c r="S96" s="9"/>
      <c r="T96" s="5" t="str">
        <f>IF(S96="Aprueba",COUNTIF($S$2:S96,"Aprueba"),"")</f>
        <v/>
      </c>
    </row>
    <row r="97" spans="1:20">
      <c r="A97" s="4" t="str">
        <f t="shared" si="4"/>
        <v/>
      </c>
      <c r="B97" s="6"/>
      <c r="C97" s="7"/>
      <c r="D97" s="6"/>
      <c r="E97" s="8"/>
      <c r="F97" s="6"/>
      <c r="G97" s="6"/>
      <c r="H97" s="6"/>
      <c r="I97" s="6"/>
      <c r="J97" s="9"/>
      <c r="K97" s="10"/>
      <c r="L97" s="10"/>
      <c r="M97" s="10"/>
      <c r="N97" s="11" t="str">
        <f t="shared" si="5"/>
        <v/>
      </c>
      <c r="O97" s="6"/>
      <c r="P97" s="6"/>
      <c r="Q97" s="7"/>
      <c r="R97" s="6"/>
      <c r="S97" s="9"/>
      <c r="T97" s="5" t="str">
        <f>IF(S97="Aprueba",COUNTIF($S$2:S97,"Aprueba"),"")</f>
        <v/>
      </c>
    </row>
    <row r="98" spans="1:20">
      <c r="A98" s="4" t="str">
        <f t="shared" si="4"/>
        <v/>
      </c>
      <c r="B98" s="6"/>
      <c r="C98" s="7"/>
      <c r="D98" s="6"/>
      <c r="E98" s="8"/>
      <c r="F98" s="6"/>
      <c r="G98" s="6"/>
      <c r="H98" s="6"/>
      <c r="I98" s="6"/>
      <c r="J98" s="9"/>
      <c r="K98" s="10"/>
      <c r="L98" s="10"/>
      <c r="M98" s="10"/>
      <c r="N98" s="11" t="str">
        <f t="shared" ref="N98:N100" si="6">IF(COUNTA(K98:M98)=0,"",AVERAGE(K98:M98))</f>
        <v/>
      </c>
      <c r="O98" s="6"/>
      <c r="P98" s="6"/>
      <c r="Q98" s="7"/>
      <c r="R98" s="6"/>
      <c r="S98" s="9"/>
      <c r="T98" s="5" t="str">
        <f>IF(S98="Aprueba",COUNTIF($S$2:S98,"Aprueba"),"")</f>
        <v/>
      </c>
    </row>
    <row r="99" spans="1:20">
      <c r="A99" s="4" t="str">
        <f t="shared" si="4"/>
        <v/>
      </c>
      <c r="B99" s="6"/>
      <c r="C99" s="7"/>
      <c r="D99" s="6"/>
      <c r="E99" s="8"/>
      <c r="F99" s="6"/>
      <c r="G99" s="6"/>
      <c r="H99" s="6"/>
      <c r="I99" s="6"/>
      <c r="J99" s="9"/>
      <c r="K99" s="10"/>
      <c r="L99" s="10"/>
      <c r="M99" s="10"/>
      <c r="N99" s="11" t="str">
        <f t="shared" si="6"/>
        <v/>
      </c>
      <c r="O99" s="6"/>
      <c r="P99" s="6"/>
      <c r="Q99" s="7"/>
      <c r="R99" s="6"/>
      <c r="S99" s="9"/>
      <c r="T99" s="5" t="str">
        <f>IF(S99="Aprueba",COUNTIF($S$2:S99,"Aprueba"),"")</f>
        <v/>
      </c>
    </row>
    <row r="100" spans="1:20">
      <c r="A100" s="4" t="str">
        <f t="shared" si="4"/>
        <v/>
      </c>
      <c r="B100" s="6"/>
      <c r="C100" s="7"/>
      <c r="D100" s="6"/>
      <c r="E100" s="8"/>
      <c r="F100" s="6"/>
      <c r="G100" s="6"/>
      <c r="H100" s="6"/>
      <c r="I100" s="6"/>
      <c r="J100" s="9"/>
      <c r="K100" s="10"/>
      <c r="L100" s="10"/>
      <c r="M100" s="10"/>
      <c r="N100" s="11" t="str">
        <f t="shared" si="6"/>
        <v/>
      </c>
      <c r="O100" s="6"/>
      <c r="P100" s="6"/>
      <c r="Q100" s="7"/>
      <c r="R100" s="6"/>
      <c r="S100" s="9"/>
      <c r="T100" s="5" t="str">
        <f>IF(S100="Aprueba",COUNTIF($S$2:S100,"Aprueba"),"")</f>
        <v/>
      </c>
    </row>
  </sheetData>
  <conditionalFormatting sqref="S2:S100">
    <cfRule type="expression" dxfId="3" priority="1">
      <formula>S2="Aprueba"</formula>
    </cfRule>
    <cfRule type="expression" dxfId="2" priority="2">
      <formula>S2="No aprueba"</formula>
    </cfRule>
  </conditionalFormatting>
  <dataValidations count="4">
    <dataValidation type="date" operator="greaterThanOrEqual" allowBlank="1" showErrorMessage="1" errorTitle="Fecha inválida" error="Ingresa una fecha válida desde 01/01/2020." sqref="C2:C100" xr:uid="{00000000-0002-0000-0100-000000000000}">
      <formula1>DATE(2020,1,1)</formula1>
    </dataValidation>
    <dataValidation type="list" allowBlank="1" sqref="J2:J100" xr:uid="{00000000-0002-0000-0100-000001000000}">
      <formula1>"Sí,No"</formula1>
    </dataValidation>
    <dataValidation type="whole" allowBlank="1" showErrorMessage="1" errorTitle="Valor fuera de rango" error="Ingresa un número entero de 1 a 5." sqref="K2:M100" xr:uid="{00000000-0002-0000-0100-000002000000}">
      <formula1>1</formula1>
      <formula2>5</formula2>
    </dataValidation>
    <dataValidation type="list" allowBlank="1" sqref="S2:S100" xr:uid="{00000000-0002-0000-0100-000003000000}">
      <formula1>"Aprueba,No aprueba"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workbookViewId="0">
      <selection sqref="A1:O1"/>
    </sheetView>
  </sheetViews>
  <sheetFormatPr defaultColWidth="8.625" defaultRowHeight="14.25"/>
  <cols>
    <col min="1" max="1" width="18" customWidth="1"/>
    <col min="3" max="3" width="24" customWidth="1"/>
    <col min="15" max="15" width="8" customWidth="1"/>
  </cols>
  <sheetData>
    <row r="1" spans="1:15" ht="18.600000000000001" customHeight="1">
      <c r="A1" s="38" t="s">
        <v>20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3" spans="1:15">
      <c r="A3" s="1" t="s">
        <v>21</v>
      </c>
      <c r="C3" s="1" t="s">
        <v>22</v>
      </c>
      <c r="O3" s="1" t="s">
        <v>23</v>
      </c>
    </row>
    <row r="4" spans="1:15">
      <c r="A4" s="2" t="s">
        <v>24</v>
      </c>
      <c r="C4" s="2" t="s">
        <v>25</v>
      </c>
      <c r="O4" s="2">
        <v>1</v>
      </c>
    </row>
    <row r="5" spans="1:15">
      <c r="A5" s="2" t="s">
        <v>26</v>
      </c>
      <c r="C5" s="2" t="s">
        <v>27</v>
      </c>
      <c r="O5" s="2">
        <v>2</v>
      </c>
    </row>
    <row r="6" spans="1:15">
      <c r="O6" s="2">
        <v>3</v>
      </c>
    </row>
    <row r="7" spans="1:15">
      <c r="O7" s="2">
        <v>4</v>
      </c>
    </row>
    <row r="8" spans="1:15">
      <c r="O8" s="2">
        <v>5</v>
      </c>
    </row>
    <row r="10" spans="1:15">
      <c r="A10" s="39" t="s">
        <v>28</v>
      </c>
      <c r="B10" s="39"/>
      <c r="C10" s="39"/>
      <c r="D10" s="39"/>
      <c r="E10" s="39"/>
      <c r="F10" s="39"/>
      <c r="G10" s="39"/>
      <c r="H10" s="39"/>
    </row>
    <row r="11" spans="1:15" ht="14.65" customHeight="1">
      <c r="A11" s="40" t="s">
        <v>29</v>
      </c>
      <c r="B11" s="41"/>
      <c r="C11" s="41"/>
      <c r="D11" s="41"/>
      <c r="E11" s="41"/>
      <c r="F11" s="41"/>
      <c r="G11" s="41"/>
      <c r="H11" s="42"/>
    </row>
    <row r="12" spans="1:15" ht="14.65" customHeight="1">
      <c r="A12" s="43"/>
      <c r="B12" s="44"/>
      <c r="C12" s="44"/>
      <c r="D12" s="44"/>
      <c r="E12" s="44"/>
      <c r="F12" s="44"/>
      <c r="G12" s="44"/>
      <c r="H12" s="45"/>
    </row>
    <row r="13" spans="1:15" ht="14.65" customHeight="1">
      <c r="A13" s="43"/>
      <c r="B13" s="44"/>
      <c r="C13" s="44"/>
      <c r="D13" s="44"/>
      <c r="E13" s="44"/>
      <c r="F13" s="44"/>
      <c r="G13" s="44"/>
      <c r="H13" s="45"/>
    </row>
    <row r="14" spans="1:15" ht="14.65" customHeight="1">
      <c r="A14" s="43"/>
      <c r="B14" s="44"/>
      <c r="C14" s="44"/>
      <c r="D14" s="44"/>
      <c r="E14" s="44"/>
      <c r="F14" s="44"/>
      <c r="G14" s="44"/>
      <c r="H14" s="45"/>
    </row>
    <row r="15" spans="1:15" ht="14.65" customHeight="1">
      <c r="A15" s="46"/>
      <c r="B15" s="47"/>
      <c r="C15" s="47"/>
      <c r="D15" s="47"/>
      <c r="E15" s="47"/>
      <c r="F15" s="47"/>
      <c r="G15" s="47"/>
      <c r="H15" s="48"/>
    </row>
  </sheetData>
  <mergeCells count="3">
    <mergeCell ref="A1:O1"/>
    <mergeCell ref="A10:H10"/>
    <mergeCell ref="A11:H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sqref="A1:F1"/>
    </sheetView>
  </sheetViews>
  <sheetFormatPr defaultColWidth="8.625" defaultRowHeight="14.25"/>
  <cols>
    <col min="1" max="1" width="32" customWidth="1"/>
    <col min="2" max="2" width="16" customWidth="1"/>
  </cols>
  <sheetData>
    <row r="1" spans="1:6" ht="20.100000000000001" customHeight="1">
      <c r="A1" s="49" t="s">
        <v>30</v>
      </c>
      <c r="B1" s="49"/>
      <c r="C1" s="49"/>
      <c r="D1" s="49"/>
      <c r="E1" s="49"/>
      <c r="F1" s="49"/>
    </row>
    <row r="3" spans="1:6">
      <c r="A3" s="50" t="s">
        <v>31</v>
      </c>
      <c r="B3" s="50"/>
      <c r="C3" s="50"/>
      <c r="D3" s="50"/>
      <c r="E3" s="50"/>
      <c r="F3" s="50"/>
    </row>
    <row r="5" spans="1:6" ht="18.600000000000001" customHeight="1">
      <c r="A5" s="13" t="s">
        <v>32</v>
      </c>
      <c r="B5" s="12">
        <f>COUNTIF(Registro!$E$2:$E$100,"&lt;&gt;")</f>
        <v>0</v>
      </c>
      <c r="D5" s="51" t="s">
        <v>33</v>
      </c>
      <c r="E5" s="52"/>
      <c r="F5" s="53"/>
    </row>
    <row r="6" spans="1:6" ht="18.600000000000001" customHeight="1">
      <c r="A6" s="13" t="s">
        <v>34</v>
      </c>
      <c r="B6" s="12">
        <f>COUNTIF(Registro!$S$2:$S$100,"Aprueba")</f>
        <v>0</v>
      </c>
      <c r="D6" s="54"/>
      <c r="E6" s="55"/>
      <c r="F6" s="56"/>
    </row>
    <row r="7" spans="1:6" ht="18.600000000000001" customHeight="1">
      <c r="A7" s="13" t="s">
        <v>35</v>
      </c>
      <c r="B7" s="12">
        <f>COUNTIF(Registro!$S$2:$S$100,"No aprueba")</f>
        <v>0</v>
      </c>
      <c r="D7" s="54"/>
      <c r="E7" s="55"/>
      <c r="F7" s="56"/>
    </row>
    <row r="8" spans="1:6" ht="18.600000000000001" customHeight="1">
      <c r="A8" s="14" t="s">
        <v>36</v>
      </c>
      <c r="B8" s="12">
        <f>SUMPRODUCT((OJT!$B$158:$B$187&lt;&gt;"")*1)</f>
        <v>1</v>
      </c>
      <c r="D8" s="54"/>
      <c r="E8" s="55"/>
      <c r="F8" s="56"/>
    </row>
    <row r="9" spans="1:6" ht="18.600000000000001" customHeight="1">
      <c r="A9" s="14" t="s">
        <v>37</v>
      </c>
      <c r="B9" s="12">
        <f>COUNTIF(OJT!$I$158:$I$187,"Sí")</f>
        <v>0</v>
      </c>
      <c r="D9" s="54"/>
      <c r="E9" s="55"/>
      <c r="F9" s="56"/>
    </row>
    <row r="10" spans="1:6" ht="18.600000000000001" customHeight="1">
      <c r="A10" s="14" t="s">
        <v>38</v>
      </c>
      <c r="B10" s="12">
        <f>COUNTIF(OJT!$I$158:$I$187,"No")</f>
        <v>0</v>
      </c>
      <c r="D10" s="54"/>
      <c r="E10" s="55"/>
      <c r="F10" s="56"/>
    </row>
    <row r="11" spans="1:6" ht="18.600000000000001" customHeight="1">
      <c r="A11" s="14" t="s">
        <v>39</v>
      </c>
      <c r="B11" s="12">
        <f>MAX(B8-B9-B10,0)</f>
        <v>1</v>
      </c>
      <c r="D11" s="57"/>
      <c r="E11" s="58"/>
      <c r="F11" s="59"/>
    </row>
  </sheetData>
  <mergeCells count="3">
    <mergeCell ref="A1:F1"/>
    <mergeCell ref="A3:F3"/>
    <mergeCell ref="D5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7"/>
  <sheetViews>
    <sheetView tabSelected="1" topLeftCell="A16" workbookViewId="0">
      <selection activeCell="B5" sqref="B5:B9"/>
    </sheetView>
  </sheetViews>
  <sheetFormatPr defaultColWidth="8.625" defaultRowHeight="14.25"/>
  <cols>
    <col min="1" max="1" width="5" customWidth="1"/>
    <col min="2" max="2" width="15" customWidth="1"/>
    <col min="3" max="3" width="26" customWidth="1"/>
    <col min="4" max="4" width="16" customWidth="1"/>
    <col min="5" max="5" width="20" customWidth="1"/>
    <col min="6" max="6" width="16" customWidth="1"/>
    <col min="7" max="7" width="14" customWidth="1"/>
    <col min="8" max="9" width="12" customWidth="1"/>
    <col min="10" max="10" width="28" customWidth="1"/>
    <col min="11" max="11" width="26" customWidth="1"/>
  </cols>
  <sheetData>
    <row r="1" spans="1:11" ht="17.45" customHeight="1">
      <c r="A1" s="36" t="s">
        <v>40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20.100000000000001" customHeight="1">
      <c r="A2" s="37" t="s">
        <v>41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4" spans="1:11" ht="20.100000000000001" customHeight="1">
      <c r="A4" s="15" t="s">
        <v>0</v>
      </c>
      <c r="B4" s="15" t="s">
        <v>4</v>
      </c>
      <c r="C4" s="15" t="s">
        <v>5</v>
      </c>
      <c r="D4" s="15" t="s">
        <v>1</v>
      </c>
      <c r="E4" s="15" t="s">
        <v>8</v>
      </c>
      <c r="F4" s="15" t="s">
        <v>23</v>
      </c>
      <c r="G4" s="15" t="s">
        <v>42</v>
      </c>
      <c r="H4" s="15" t="s">
        <v>43</v>
      </c>
      <c r="I4" s="15" t="s">
        <v>44</v>
      </c>
      <c r="J4" s="15" t="s">
        <v>12</v>
      </c>
      <c r="K4" s="15" t="s">
        <v>15</v>
      </c>
    </row>
    <row r="5" spans="1:11" ht="13.35" customHeight="1">
      <c r="A5" s="33" t="str">
        <f>IFERROR(IF(INDEX(Registro!$E$2:$E$100,MATCH(1,Registro!$T$2:$T$100,0))="","",1),"")</f>
        <v/>
      </c>
      <c r="B5" s="34" t="s">
        <v>45</v>
      </c>
      <c r="C5" s="35" t="str">
        <f>IFERROR(INDEX(Registro!$F$2:$F$100,MATCH(1,Registro!$T$2:$T$100,0)),"")</f>
        <v/>
      </c>
      <c r="D5" s="35" t="str">
        <f>IFERROR(INDEX(Registro!$B$2:$B$100,MATCH(1,Registro!$T$2:$T$100,0)),"")</f>
        <v/>
      </c>
      <c r="E5" s="35" t="str">
        <f>IFERROR(INDEX(Registro!$I$2:$I$100,MATCH(1,Registro!$T$2:$T$100,0)),"")</f>
        <v/>
      </c>
      <c r="F5" s="2">
        <v>1</v>
      </c>
      <c r="G5" s="20"/>
      <c r="H5" s="22"/>
      <c r="I5" s="2"/>
      <c r="J5" s="22"/>
      <c r="K5" s="18"/>
    </row>
    <row r="6" spans="1:11" ht="13.35" customHeight="1">
      <c r="A6" s="33"/>
      <c r="B6" s="34"/>
      <c r="C6" s="35"/>
      <c r="D6" s="35"/>
      <c r="E6" s="35"/>
      <c r="F6" s="2">
        <v>2</v>
      </c>
      <c r="G6" s="20"/>
      <c r="H6" s="22"/>
      <c r="I6" s="2"/>
      <c r="J6" s="22"/>
      <c r="K6" s="18"/>
    </row>
    <row r="7" spans="1:11" ht="13.35" customHeight="1">
      <c r="A7" s="33"/>
      <c r="B7" s="34"/>
      <c r="C7" s="35"/>
      <c r="D7" s="35"/>
      <c r="E7" s="35"/>
      <c r="F7" s="2">
        <v>3</v>
      </c>
      <c r="G7" s="20"/>
      <c r="H7" s="22"/>
      <c r="I7" s="2"/>
      <c r="J7" s="22"/>
      <c r="K7" s="18"/>
    </row>
    <row r="8" spans="1:11" ht="13.35" customHeight="1">
      <c r="A8" s="33"/>
      <c r="B8" s="34"/>
      <c r="C8" s="35"/>
      <c r="D8" s="35"/>
      <c r="E8" s="35"/>
      <c r="F8" s="2">
        <v>4</v>
      </c>
      <c r="G8" s="20"/>
      <c r="H8" s="22"/>
      <c r="I8" s="2"/>
      <c r="J8" s="22"/>
      <c r="K8" s="18"/>
    </row>
    <row r="9" spans="1:11" ht="13.35" customHeight="1">
      <c r="A9" s="33"/>
      <c r="B9" s="34"/>
      <c r="C9" s="35"/>
      <c r="D9" s="35"/>
      <c r="E9" s="35"/>
      <c r="F9" s="2">
        <v>5</v>
      </c>
      <c r="G9" s="20"/>
      <c r="H9" s="22"/>
      <c r="I9" s="2"/>
      <c r="J9" s="22"/>
      <c r="K9" s="18"/>
    </row>
    <row r="10" spans="1:11" ht="13.35" customHeight="1">
      <c r="A10" s="30" t="str">
        <f>IFERROR(IF(INDEX(Registro!$E$2:$E$100,MATCH(2,Registro!$T$2:$T$100,0))="","",2),"")</f>
        <v/>
      </c>
      <c r="B10" s="31" t="str">
        <f>IFERROR(INDEX(Registro!$E$2:$E$100,MATCH(2,Registro!$T$2:$T$100,0)),"")</f>
        <v/>
      </c>
      <c r="C10" s="32" t="str">
        <f>IFERROR(INDEX(Registro!$F$2:$F$100,MATCH(2,Registro!$T$2:$T$100,0)),"")</f>
        <v/>
      </c>
      <c r="D10" s="32" t="str">
        <f>IFERROR(INDEX(Registro!$B$2:$B$100,MATCH(2,Registro!$T$2:$T$100,0)),"")</f>
        <v/>
      </c>
      <c r="E10" s="32" t="str">
        <f>IFERROR(INDEX(Registro!$I$2:$I$100,MATCH(2,Registro!$T$2:$T$100,0)),"")</f>
        <v/>
      </c>
      <c r="F10" s="17">
        <v>1</v>
      </c>
      <c r="G10" s="21"/>
      <c r="H10" s="23"/>
      <c r="I10" s="17"/>
      <c r="J10" s="23"/>
      <c r="K10" s="19"/>
    </row>
    <row r="11" spans="1:11" ht="13.35" customHeight="1">
      <c r="A11" s="30"/>
      <c r="B11" s="31"/>
      <c r="C11" s="32"/>
      <c r="D11" s="32"/>
      <c r="E11" s="32"/>
      <c r="F11" s="17">
        <v>2</v>
      </c>
      <c r="G11" s="21"/>
      <c r="H11" s="23"/>
      <c r="I11" s="17"/>
      <c r="J11" s="23"/>
      <c r="K11" s="19"/>
    </row>
    <row r="12" spans="1:11" ht="13.35" customHeight="1">
      <c r="A12" s="30"/>
      <c r="B12" s="31"/>
      <c r="C12" s="32"/>
      <c r="D12" s="32"/>
      <c r="E12" s="32"/>
      <c r="F12" s="17">
        <v>3</v>
      </c>
      <c r="G12" s="21"/>
      <c r="H12" s="23"/>
      <c r="I12" s="17"/>
      <c r="J12" s="23"/>
      <c r="K12" s="19"/>
    </row>
    <row r="13" spans="1:11" ht="13.35" customHeight="1">
      <c r="A13" s="30"/>
      <c r="B13" s="31"/>
      <c r="C13" s="32"/>
      <c r="D13" s="32"/>
      <c r="E13" s="32"/>
      <c r="F13" s="17">
        <v>4</v>
      </c>
      <c r="G13" s="21"/>
      <c r="H13" s="23"/>
      <c r="I13" s="17"/>
      <c r="J13" s="23"/>
      <c r="K13" s="19"/>
    </row>
    <row r="14" spans="1:11" ht="13.35" customHeight="1">
      <c r="A14" s="30"/>
      <c r="B14" s="31"/>
      <c r="C14" s="32"/>
      <c r="D14" s="32"/>
      <c r="E14" s="32"/>
      <c r="F14" s="17">
        <v>5</v>
      </c>
      <c r="G14" s="21"/>
      <c r="H14" s="23"/>
      <c r="I14" s="17"/>
      <c r="J14" s="23"/>
      <c r="K14" s="19"/>
    </row>
    <row r="15" spans="1:11" ht="13.35" customHeight="1">
      <c r="A15" s="33" t="str">
        <f>IFERROR(IF(INDEX(Registro!$E$2:$E$100,MATCH(3,Registro!$T$2:$T$100,0))="","",3),"")</f>
        <v/>
      </c>
      <c r="B15" s="34" t="str">
        <f>IFERROR(INDEX(Registro!$E$2:$E$100,MATCH(3,Registro!$T$2:$T$100,0)),"")</f>
        <v/>
      </c>
      <c r="C15" s="35" t="str">
        <f>IFERROR(INDEX(Registro!$F$2:$F$100,MATCH(3,Registro!$T$2:$T$100,0)),"")</f>
        <v/>
      </c>
      <c r="D15" s="35" t="str">
        <f>IFERROR(INDEX(Registro!$B$2:$B$100,MATCH(3,Registro!$T$2:$T$100,0)),"")</f>
        <v/>
      </c>
      <c r="E15" s="35" t="str">
        <f>IFERROR(INDEX(Registro!$I$2:$I$100,MATCH(3,Registro!$T$2:$T$100,0)),"")</f>
        <v/>
      </c>
      <c r="F15" s="2">
        <v>1</v>
      </c>
      <c r="G15" s="20"/>
      <c r="H15" s="22"/>
      <c r="I15" s="2"/>
      <c r="J15" s="22"/>
      <c r="K15" s="18"/>
    </row>
    <row r="16" spans="1:11" ht="13.35" customHeight="1">
      <c r="A16" s="33"/>
      <c r="B16" s="34"/>
      <c r="C16" s="35"/>
      <c r="D16" s="35"/>
      <c r="E16" s="35"/>
      <c r="F16" s="2">
        <v>2</v>
      </c>
      <c r="G16" s="20"/>
      <c r="H16" s="22"/>
      <c r="I16" s="2"/>
      <c r="J16" s="22"/>
      <c r="K16" s="18"/>
    </row>
    <row r="17" spans="1:11" ht="13.35" customHeight="1">
      <c r="A17" s="33"/>
      <c r="B17" s="34"/>
      <c r="C17" s="35"/>
      <c r="D17" s="35"/>
      <c r="E17" s="35"/>
      <c r="F17" s="2">
        <v>3</v>
      </c>
      <c r="G17" s="20"/>
      <c r="H17" s="22"/>
      <c r="I17" s="2"/>
      <c r="J17" s="22"/>
      <c r="K17" s="18"/>
    </row>
    <row r="18" spans="1:11" ht="13.35" customHeight="1">
      <c r="A18" s="33"/>
      <c r="B18" s="34"/>
      <c r="C18" s="35"/>
      <c r="D18" s="35"/>
      <c r="E18" s="35"/>
      <c r="F18" s="2">
        <v>4</v>
      </c>
      <c r="G18" s="20"/>
      <c r="H18" s="22"/>
      <c r="I18" s="2"/>
      <c r="J18" s="22"/>
      <c r="K18" s="18"/>
    </row>
    <row r="19" spans="1:11" ht="13.35" customHeight="1">
      <c r="A19" s="33"/>
      <c r="B19" s="34"/>
      <c r="C19" s="35"/>
      <c r="D19" s="35"/>
      <c r="E19" s="35"/>
      <c r="F19" s="2">
        <v>5</v>
      </c>
      <c r="G19" s="20"/>
      <c r="H19" s="22"/>
      <c r="I19" s="2"/>
      <c r="J19" s="22"/>
      <c r="K19" s="18"/>
    </row>
    <row r="20" spans="1:11" ht="13.35" customHeight="1">
      <c r="A20" s="30" t="str">
        <f>IFERROR(IF(INDEX(Registro!$E$2:$E$100,MATCH(4,Registro!$T$2:$T$100,0))="","",4),"")</f>
        <v/>
      </c>
      <c r="B20" s="31" t="str">
        <f>IFERROR(INDEX(Registro!$E$2:$E$100,MATCH(4,Registro!$T$2:$T$100,0)),"")</f>
        <v/>
      </c>
      <c r="C20" s="32" t="str">
        <f>IFERROR(INDEX(Registro!$F$2:$F$100,MATCH(4,Registro!$T$2:$T$100,0)),"")</f>
        <v/>
      </c>
      <c r="D20" s="32" t="str">
        <f>IFERROR(INDEX(Registro!$B$2:$B$100,MATCH(4,Registro!$T$2:$T$100,0)),"")</f>
        <v/>
      </c>
      <c r="E20" s="32" t="str">
        <f>IFERROR(INDEX(Registro!$I$2:$I$100,MATCH(4,Registro!$T$2:$T$100,0)),"")</f>
        <v/>
      </c>
      <c r="F20" s="17">
        <v>1</v>
      </c>
      <c r="G20" s="21"/>
      <c r="H20" s="23"/>
      <c r="I20" s="17"/>
      <c r="J20" s="23"/>
      <c r="K20" s="19"/>
    </row>
    <row r="21" spans="1:11" ht="13.35" customHeight="1">
      <c r="A21" s="30"/>
      <c r="B21" s="31"/>
      <c r="C21" s="32"/>
      <c r="D21" s="32"/>
      <c r="E21" s="32"/>
      <c r="F21" s="17">
        <v>2</v>
      </c>
      <c r="G21" s="21"/>
      <c r="H21" s="23"/>
      <c r="I21" s="17"/>
      <c r="J21" s="23"/>
      <c r="K21" s="19"/>
    </row>
    <row r="22" spans="1:11" ht="13.35" customHeight="1">
      <c r="A22" s="30"/>
      <c r="B22" s="31"/>
      <c r="C22" s="32"/>
      <c r="D22" s="32"/>
      <c r="E22" s="32"/>
      <c r="F22" s="17">
        <v>3</v>
      </c>
      <c r="G22" s="21"/>
      <c r="H22" s="23"/>
      <c r="I22" s="17"/>
      <c r="J22" s="23"/>
      <c r="K22" s="19"/>
    </row>
    <row r="23" spans="1:11" ht="13.35" customHeight="1">
      <c r="A23" s="30"/>
      <c r="B23" s="31"/>
      <c r="C23" s="32"/>
      <c r="D23" s="32"/>
      <c r="E23" s="32"/>
      <c r="F23" s="17">
        <v>4</v>
      </c>
      <c r="G23" s="21"/>
      <c r="H23" s="23"/>
      <c r="I23" s="17"/>
      <c r="J23" s="23"/>
      <c r="K23" s="19"/>
    </row>
    <row r="24" spans="1:11" ht="13.35" customHeight="1">
      <c r="A24" s="30"/>
      <c r="B24" s="31"/>
      <c r="C24" s="32"/>
      <c r="D24" s="32"/>
      <c r="E24" s="32"/>
      <c r="F24" s="17">
        <v>5</v>
      </c>
      <c r="G24" s="21"/>
      <c r="H24" s="23"/>
      <c r="I24" s="17"/>
      <c r="J24" s="23"/>
      <c r="K24" s="19"/>
    </row>
    <row r="25" spans="1:11" ht="13.35" customHeight="1">
      <c r="A25" s="33" t="str">
        <f>IFERROR(IF(INDEX(Registro!$E$2:$E$100,MATCH(5,Registro!$T$2:$T$100,0))="","",5),"")</f>
        <v/>
      </c>
      <c r="B25" s="34" t="str">
        <f>IFERROR(INDEX(Registro!$E$2:$E$100,MATCH(5,Registro!$T$2:$T$100,0)),"")</f>
        <v/>
      </c>
      <c r="C25" s="35" t="str">
        <f>IFERROR(INDEX(Registro!$F$2:$F$100,MATCH(5,Registro!$T$2:$T$100,0)),"")</f>
        <v/>
      </c>
      <c r="D25" s="35" t="str">
        <f>IFERROR(INDEX(Registro!$B$2:$B$100,MATCH(5,Registro!$T$2:$T$100,0)),"")</f>
        <v/>
      </c>
      <c r="E25" s="35" t="str">
        <f>IFERROR(INDEX(Registro!$I$2:$I$100,MATCH(5,Registro!$T$2:$T$100,0)),"")</f>
        <v/>
      </c>
      <c r="F25" s="2">
        <v>1</v>
      </c>
      <c r="G25" s="20"/>
      <c r="H25" s="22"/>
      <c r="I25" s="2"/>
      <c r="J25" s="22"/>
      <c r="K25" s="18"/>
    </row>
    <row r="26" spans="1:11" ht="13.35" customHeight="1">
      <c r="A26" s="33"/>
      <c r="B26" s="34"/>
      <c r="C26" s="35"/>
      <c r="D26" s="35"/>
      <c r="E26" s="35"/>
      <c r="F26" s="2">
        <v>2</v>
      </c>
      <c r="G26" s="20"/>
      <c r="H26" s="22"/>
      <c r="I26" s="2"/>
      <c r="J26" s="22"/>
      <c r="K26" s="18"/>
    </row>
    <row r="27" spans="1:11" ht="13.35" customHeight="1">
      <c r="A27" s="33"/>
      <c r="B27" s="34"/>
      <c r="C27" s="35"/>
      <c r="D27" s="35"/>
      <c r="E27" s="35"/>
      <c r="F27" s="2">
        <v>3</v>
      </c>
      <c r="G27" s="20"/>
      <c r="H27" s="22"/>
      <c r="I27" s="2"/>
      <c r="J27" s="22"/>
      <c r="K27" s="18"/>
    </row>
    <row r="28" spans="1:11" ht="13.35" customHeight="1">
      <c r="A28" s="33"/>
      <c r="B28" s="34"/>
      <c r="C28" s="35"/>
      <c r="D28" s="35"/>
      <c r="E28" s="35"/>
      <c r="F28" s="2">
        <v>4</v>
      </c>
      <c r="G28" s="20"/>
      <c r="H28" s="22"/>
      <c r="I28" s="2"/>
      <c r="J28" s="22"/>
      <c r="K28" s="18"/>
    </row>
    <row r="29" spans="1:11" ht="13.35" customHeight="1">
      <c r="A29" s="33"/>
      <c r="B29" s="34"/>
      <c r="C29" s="35"/>
      <c r="D29" s="35"/>
      <c r="E29" s="35"/>
      <c r="F29" s="2">
        <v>5</v>
      </c>
      <c r="G29" s="20"/>
      <c r="H29" s="22"/>
      <c r="I29" s="2"/>
      <c r="J29" s="22"/>
      <c r="K29" s="18"/>
    </row>
    <row r="30" spans="1:11" ht="13.35" customHeight="1">
      <c r="A30" s="30" t="str">
        <f>IFERROR(IF(INDEX(Registro!$E$2:$E$100,MATCH(6,Registro!$T$2:$T$100,0))="","",6),"")</f>
        <v/>
      </c>
      <c r="B30" s="31" t="str">
        <f>IFERROR(INDEX(Registro!$E$2:$E$100,MATCH(6,Registro!$T$2:$T$100,0)),"")</f>
        <v/>
      </c>
      <c r="C30" s="32" t="str">
        <f>IFERROR(INDEX(Registro!$F$2:$F$100,MATCH(6,Registro!$T$2:$T$100,0)),"")</f>
        <v/>
      </c>
      <c r="D30" s="32" t="str">
        <f>IFERROR(INDEX(Registro!$B$2:$B$100,MATCH(6,Registro!$T$2:$T$100,0)),"")</f>
        <v/>
      </c>
      <c r="E30" s="32" t="str">
        <f>IFERROR(INDEX(Registro!$I$2:$I$100,MATCH(6,Registro!$T$2:$T$100,0)),"")</f>
        <v/>
      </c>
      <c r="F30" s="17">
        <v>1</v>
      </c>
      <c r="G30" s="21"/>
      <c r="H30" s="23"/>
      <c r="I30" s="17"/>
      <c r="J30" s="23"/>
      <c r="K30" s="19"/>
    </row>
    <row r="31" spans="1:11" ht="13.35" customHeight="1">
      <c r="A31" s="30"/>
      <c r="B31" s="31"/>
      <c r="C31" s="32"/>
      <c r="D31" s="32"/>
      <c r="E31" s="32"/>
      <c r="F31" s="17">
        <v>2</v>
      </c>
      <c r="G31" s="21"/>
      <c r="H31" s="23"/>
      <c r="I31" s="17"/>
      <c r="J31" s="23"/>
      <c r="K31" s="19"/>
    </row>
    <row r="32" spans="1:11" ht="13.35" customHeight="1">
      <c r="A32" s="30"/>
      <c r="B32" s="31"/>
      <c r="C32" s="32"/>
      <c r="D32" s="32"/>
      <c r="E32" s="32"/>
      <c r="F32" s="17">
        <v>3</v>
      </c>
      <c r="G32" s="21"/>
      <c r="H32" s="23"/>
      <c r="I32" s="17"/>
      <c r="J32" s="23"/>
      <c r="K32" s="19"/>
    </row>
    <row r="33" spans="1:11" ht="13.35" customHeight="1">
      <c r="A33" s="30"/>
      <c r="B33" s="31"/>
      <c r="C33" s="32"/>
      <c r="D33" s="32"/>
      <c r="E33" s="32"/>
      <c r="F33" s="17">
        <v>4</v>
      </c>
      <c r="G33" s="21"/>
      <c r="H33" s="23"/>
      <c r="I33" s="17"/>
      <c r="J33" s="23"/>
      <c r="K33" s="19"/>
    </row>
    <row r="34" spans="1:11" ht="13.35" customHeight="1">
      <c r="A34" s="30"/>
      <c r="B34" s="31"/>
      <c r="C34" s="32"/>
      <c r="D34" s="32"/>
      <c r="E34" s="32"/>
      <c r="F34" s="17">
        <v>5</v>
      </c>
      <c r="G34" s="21"/>
      <c r="H34" s="23"/>
      <c r="I34" s="17"/>
      <c r="J34" s="23"/>
      <c r="K34" s="19"/>
    </row>
    <row r="35" spans="1:11" ht="13.35" customHeight="1">
      <c r="A35" s="33" t="str">
        <f>IFERROR(IF(INDEX(Registro!$E$2:$E$100,MATCH(7,Registro!$T$2:$T$100,0))="","",7),"")</f>
        <v/>
      </c>
      <c r="B35" s="34" t="str">
        <f>IFERROR(INDEX(Registro!$E$2:$E$100,MATCH(7,Registro!$T$2:$T$100,0)),"")</f>
        <v/>
      </c>
      <c r="C35" s="35" t="str">
        <f>IFERROR(INDEX(Registro!$F$2:$F$100,MATCH(7,Registro!$T$2:$T$100,0)),"")</f>
        <v/>
      </c>
      <c r="D35" s="35" t="str">
        <f>IFERROR(INDEX(Registro!$B$2:$B$100,MATCH(7,Registro!$T$2:$T$100,0)),"")</f>
        <v/>
      </c>
      <c r="E35" s="35" t="str">
        <f>IFERROR(INDEX(Registro!$I$2:$I$100,MATCH(7,Registro!$T$2:$T$100,0)),"")</f>
        <v/>
      </c>
      <c r="F35" s="2">
        <v>1</v>
      </c>
      <c r="G35" s="20"/>
      <c r="H35" s="22"/>
      <c r="I35" s="2"/>
      <c r="J35" s="22"/>
      <c r="K35" s="18"/>
    </row>
    <row r="36" spans="1:11" ht="13.35" customHeight="1">
      <c r="A36" s="33"/>
      <c r="B36" s="34"/>
      <c r="C36" s="35"/>
      <c r="D36" s="35"/>
      <c r="E36" s="35"/>
      <c r="F36" s="2">
        <v>2</v>
      </c>
      <c r="G36" s="20"/>
      <c r="H36" s="22"/>
      <c r="I36" s="2"/>
      <c r="J36" s="22"/>
      <c r="K36" s="18"/>
    </row>
    <row r="37" spans="1:11" ht="13.35" customHeight="1">
      <c r="A37" s="33"/>
      <c r="B37" s="34"/>
      <c r="C37" s="35"/>
      <c r="D37" s="35"/>
      <c r="E37" s="35"/>
      <c r="F37" s="2">
        <v>3</v>
      </c>
      <c r="G37" s="20"/>
      <c r="H37" s="22"/>
      <c r="I37" s="2"/>
      <c r="J37" s="22"/>
      <c r="K37" s="18"/>
    </row>
    <row r="38" spans="1:11" ht="13.35" customHeight="1">
      <c r="A38" s="33"/>
      <c r="B38" s="34"/>
      <c r="C38" s="35"/>
      <c r="D38" s="35"/>
      <c r="E38" s="35"/>
      <c r="F38" s="2">
        <v>4</v>
      </c>
      <c r="G38" s="20"/>
      <c r="H38" s="22"/>
      <c r="I38" s="2"/>
      <c r="J38" s="22"/>
      <c r="K38" s="18"/>
    </row>
    <row r="39" spans="1:11" ht="13.35" customHeight="1">
      <c r="A39" s="33"/>
      <c r="B39" s="34"/>
      <c r="C39" s="35"/>
      <c r="D39" s="35"/>
      <c r="E39" s="35"/>
      <c r="F39" s="2">
        <v>5</v>
      </c>
      <c r="G39" s="20"/>
      <c r="H39" s="22"/>
      <c r="I39" s="2"/>
      <c r="J39" s="22"/>
      <c r="K39" s="18"/>
    </row>
    <row r="40" spans="1:11" ht="13.35" customHeight="1">
      <c r="A40" s="30" t="str">
        <f>IFERROR(IF(INDEX(Registro!$E$2:$E$100,MATCH(8,Registro!$T$2:$T$100,0))="","",8),"")</f>
        <v/>
      </c>
      <c r="B40" s="31" t="str">
        <f>IFERROR(INDEX(Registro!$E$2:$E$100,MATCH(8,Registro!$T$2:$T$100,0)),"")</f>
        <v/>
      </c>
      <c r="C40" s="32" t="str">
        <f>IFERROR(INDEX(Registro!$F$2:$F$100,MATCH(8,Registro!$T$2:$T$100,0)),"")</f>
        <v/>
      </c>
      <c r="D40" s="32" t="str">
        <f>IFERROR(INDEX(Registro!$B$2:$B$100,MATCH(8,Registro!$T$2:$T$100,0)),"")</f>
        <v/>
      </c>
      <c r="E40" s="32" t="str">
        <f>IFERROR(INDEX(Registro!$I$2:$I$100,MATCH(8,Registro!$T$2:$T$100,0)),"")</f>
        <v/>
      </c>
      <c r="F40" s="17">
        <v>1</v>
      </c>
      <c r="G40" s="21"/>
      <c r="H40" s="23"/>
      <c r="I40" s="17"/>
      <c r="J40" s="23"/>
      <c r="K40" s="19"/>
    </row>
    <row r="41" spans="1:11" ht="13.35" customHeight="1">
      <c r="A41" s="30"/>
      <c r="B41" s="31"/>
      <c r="C41" s="32"/>
      <c r="D41" s="32"/>
      <c r="E41" s="32"/>
      <c r="F41" s="17">
        <v>2</v>
      </c>
      <c r="G41" s="21"/>
      <c r="H41" s="23"/>
      <c r="I41" s="17"/>
      <c r="J41" s="23"/>
      <c r="K41" s="19"/>
    </row>
    <row r="42" spans="1:11" ht="13.35" customHeight="1">
      <c r="A42" s="30"/>
      <c r="B42" s="31"/>
      <c r="C42" s="32"/>
      <c r="D42" s="32"/>
      <c r="E42" s="32"/>
      <c r="F42" s="17">
        <v>3</v>
      </c>
      <c r="G42" s="21"/>
      <c r="H42" s="23"/>
      <c r="I42" s="17"/>
      <c r="J42" s="23"/>
      <c r="K42" s="19"/>
    </row>
    <row r="43" spans="1:11" ht="13.35" customHeight="1">
      <c r="A43" s="30"/>
      <c r="B43" s="31"/>
      <c r="C43" s="32"/>
      <c r="D43" s="32"/>
      <c r="E43" s="32"/>
      <c r="F43" s="17">
        <v>4</v>
      </c>
      <c r="G43" s="21"/>
      <c r="H43" s="23"/>
      <c r="I43" s="17"/>
      <c r="J43" s="23"/>
      <c r="K43" s="19"/>
    </row>
    <row r="44" spans="1:11" ht="13.35" customHeight="1">
      <c r="A44" s="30"/>
      <c r="B44" s="31"/>
      <c r="C44" s="32"/>
      <c r="D44" s="32"/>
      <c r="E44" s="32"/>
      <c r="F44" s="17">
        <v>5</v>
      </c>
      <c r="G44" s="21"/>
      <c r="H44" s="23"/>
      <c r="I44" s="17"/>
      <c r="J44" s="23"/>
      <c r="K44" s="19"/>
    </row>
    <row r="45" spans="1:11" ht="13.35" customHeight="1">
      <c r="A45" s="33" t="str">
        <f>IFERROR(IF(INDEX(Registro!$E$2:$E$100,MATCH(9,Registro!$T$2:$T$100,0))="","",9),"")</f>
        <v/>
      </c>
      <c r="B45" s="34" t="str">
        <f>IFERROR(INDEX(Registro!$E$2:$E$100,MATCH(9,Registro!$T$2:$T$100,0)),"")</f>
        <v/>
      </c>
      <c r="C45" s="35" t="str">
        <f>IFERROR(INDEX(Registro!$F$2:$F$100,MATCH(9,Registro!$T$2:$T$100,0)),"")</f>
        <v/>
      </c>
      <c r="D45" s="35" t="str">
        <f>IFERROR(INDEX(Registro!$B$2:$B$100,MATCH(9,Registro!$T$2:$T$100,0)),"")</f>
        <v/>
      </c>
      <c r="E45" s="35" t="str">
        <f>IFERROR(INDEX(Registro!$I$2:$I$100,MATCH(9,Registro!$T$2:$T$100,0)),"")</f>
        <v/>
      </c>
      <c r="F45" s="2">
        <v>1</v>
      </c>
      <c r="G45" s="20"/>
      <c r="H45" s="22"/>
      <c r="I45" s="2"/>
      <c r="J45" s="22"/>
      <c r="K45" s="18"/>
    </row>
    <row r="46" spans="1:11" ht="13.35" customHeight="1">
      <c r="A46" s="33"/>
      <c r="B46" s="34"/>
      <c r="C46" s="35"/>
      <c r="D46" s="35"/>
      <c r="E46" s="35"/>
      <c r="F46" s="2">
        <v>2</v>
      </c>
      <c r="G46" s="20"/>
      <c r="H46" s="22"/>
      <c r="I46" s="2"/>
      <c r="J46" s="22"/>
      <c r="K46" s="18"/>
    </row>
    <row r="47" spans="1:11" ht="13.35" customHeight="1">
      <c r="A47" s="33"/>
      <c r="B47" s="34"/>
      <c r="C47" s="35"/>
      <c r="D47" s="35"/>
      <c r="E47" s="35"/>
      <c r="F47" s="2">
        <v>3</v>
      </c>
      <c r="G47" s="20"/>
      <c r="H47" s="22"/>
      <c r="I47" s="2"/>
      <c r="J47" s="22"/>
      <c r="K47" s="18"/>
    </row>
    <row r="48" spans="1:11" ht="13.35" customHeight="1">
      <c r="A48" s="33"/>
      <c r="B48" s="34"/>
      <c r="C48" s="35"/>
      <c r="D48" s="35"/>
      <c r="E48" s="35"/>
      <c r="F48" s="2">
        <v>4</v>
      </c>
      <c r="G48" s="20"/>
      <c r="H48" s="22"/>
      <c r="I48" s="2"/>
      <c r="J48" s="22"/>
      <c r="K48" s="18"/>
    </row>
    <row r="49" spans="1:11" ht="13.35" customHeight="1">
      <c r="A49" s="33"/>
      <c r="B49" s="34"/>
      <c r="C49" s="35"/>
      <c r="D49" s="35"/>
      <c r="E49" s="35"/>
      <c r="F49" s="2">
        <v>5</v>
      </c>
      <c r="G49" s="20"/>
      <c r="H49" s="22"/>
      <c r="I49" s="2"/>
      <c r="J49" s="22"/>
      <c r="K49" s="18"/>
    </row>
    <row r="50" spans="1:11" ht="13.35" customHeight="1">
      <c r="A50" s="30" t="str">
        <f>IFERROR(IF(INDEX(Registro!$E$2:$E$100,MATCH(10,Registro!$T$2:$T$100,0))="","",10),"")</f>
        <v/>
      </c>
      <c r="B50" s="31" t="str">
        <f>IFERROR(INDEX(Registro!$E$2:$E$100,MATCH(10,Registro!$T$2:$T$100,0)),"")</f>
        <v/>
      </c>
      <c r="C50" s="32" t="str">
        <f>IFERROR(INDEX(Registro!$F$2:$F$100,MATCH(10,Registro!$T$2:$T$100,0)),"")</f>
        <v/>
      </c>
      <c r="D50" s="32" t="str">
        <f>IFERROR(INDEX(Registro!$B$2:$B$100,MATCH(10,Registro!$T$2:$T$100,0)),"")</f>
        <v/>
      </c>
      <c r="E50" s="32" t="str">
        <f>IFERROR(INDEX(Registro!$I$2:$I$100,MATCH(10,Registro!$T$2:$T$100,0)),"")</f>
        <v/>
      </c>
      <c r="F50" s="17">
        <v>1</v>
      </c>
      <c r="G50" s="21"/>
      <c r="H50" s="23"/>
      <c r="I50" s="17"/>
      <c r="J50" s="23"/>
      <c r="K50" s="19"/>
    </row>
    <row r="51" spans="1:11" ht="13.35" customHeight="1">
      <c r="A51" s="30"/>
      <c r="B51" s="31"/>
      <c r="C51" s="32"/>
      <c r="D51" s="32"/>
      <c r="E51" s="32"/>
      <c r="F51" s="17">
        <v>2</v>
      </c>
      <c r="G51" s="21"/>
      <c r="H51" s="23"/>
      <c r="I51" s="17"/>
      <c r="J51" s="23"/>
      <c r="K51" s="19"/>
    </row>
    <row r="52" spans="1:11" ht="13.35" customHeight="1">
      <c r="A52" s="30"/>
      <c r="B52" s="31"/>
      <c r="C52" s="32"/>
      <c r="D52" s="32"/>
      <c r="E52" s="32"/>
      <c r="F52" s="17">
        <v>3</v>
      </c>
      <c r="G52" s="21"/>
      <c r="H52" s="23"/>
      <c r="I52" s="17"/>
      <c r="J52" s="23"/>
      <c r="K52" s="19"/>
    </row>
    <row r="53" spans="1:11" ht="13.35" customHeight="1">
      <c r="A53" s="30"/>
      <c r="B53" s="31"/>
      <c r="C53" s="32"/>
      <c r="D53" s="32"/>
      <c r="E53" s="32"/>
      <c r="F53" s="17">
        <v>4</v>
      </c>
      <c r="G53" s="21"/>
      <c r="H53" s="23"/>
      <c r="I53" s="17"/>
      <c r="J53" s="23"/>
      <c r="K53" s="19"/>
    </row>
    <row r="54" spans="1:11" ht="13.35" customHeight="1">
      <c r="A54" s="30"/>
      <c r="B54" s="31"/>
      <c r="C54" s="32"/>
      <c r="D54" s="32"/>
      <c r="E54" s="32"/>
      <c r="F54" s="17">
        <v>5</v>
      </c>
      <c r="G54" s="21"/>
      <c r="H54" s="23"/>
      <c r="I54" s="17"/>
      <c r="J54" s="23"/>
      <c r="K54" s="19"/>
    </row>
    <row r="55" spans="1:11" ht="13.35" customHeight="1">
      <c r="A55" s="33" t="str">
        <f>IFERROR(IF(INDEX(Registro!$E$2:$E$100,MATCH(11,Registro!$T$2:$T$100,0))="","",11),"")</f>
        <v/>
      </c>
      <c r="B55" s="34" t="str">
        <f>IFERROR(INDEX(Registro!$E$2:$E$100,MATCH(11,Registro!$T$2:$T$100,0)),"")</f>
        <v/>
      </c>
      <c r="C55" s="35" t="str">
        <f>IFERROR(INDEX(Registro!$F$2:$F$100,MATCH(11,Registro!$T$2:$T$100,0)),"")</f>
        <v/>
      </c>
      <c r="D55" s="35" t="str">
        <f>IFERROR(INDEX(Registro!$B$2:$B$100,MATCH(11,Registro!$T$2:$T$100,0)),"")</f>
        <v/>
      </c>
      <c r="E55" s="35" t="str">
        <f>IFERROR(INDEX(Registro!$I$2:$I$100,MATCH(11,Registro!$T$2:$T$100,0)),"")</f>
        <v/>
      </c>
      <c r="F55" s="2">
        <v>1</v>
      </c>
      <c r="G55" s="20"/>
      <c r="H55" s="22"/>
      <c r="I55" s="2"/>
      <c r="J55" s="22"/>
      <c r="K55" s="18"/>
    </row>
    <row r="56" spans="1:11" ht="13.35" customHeight="1">
      <c r="A56" s="33"/>
      <c r="B56" s="34"/>
      <c r="C56" s="35"/>
      <c r="D56" s="35"/>
      <c r="E56" s="35"/>
      <c r="F56" s="2">
        <v>2</v>
      </c>
      <c r="G56" s="20"/>
      <c r="H56" s="22"/>
      <c r="I56" s="2"/>
      <c r="J56" s="22"/>
      <c r="K56" s="18"/>
    </row>
    <row r="57" spans="1:11" ht="13.35" customHeight="1">
      <c r="A57" s="33"/>
      <c r="B57" s="34"/>
      <c r="C57" s="35"/>
      <c r="D57" s="35"/>
      <c r="E57" s="35"/>
      <c r="F57" s="2">
        <v>3</v>
      </c>
      <c r="G57" s="20"/>
      <c r="H57" s="22"/>
      <c r="I57" s="2"/>
      <c r="J57" s="22"/>
      <c r="K57" s="18"/>
    </row>
    <row r="58" spans="1:11" ht="13.35" customHeight="1">
      <c r="A58" s="33"/>
      <c r="B58" s="34"/>
      <c r="C58" s="35"/>
      <c r="D58" s="35"/>
      <c r="E58" s="35"/>
      <c r="F58" s="2">
        <v>4</v>
      </c>
      <c r="G58" s="20"/>
      <c r="H58" s="22"/>
      <c r="I58" s="2"/>
      <c r="J58" s="22"/>
      <c r="K58" s="18"/>
    </row>
    <row r="59" spans="1:11" ht="13.35" customHeight="1">
      <c r="A59" s="33"/>
      <c r="B59" s="34"/>
      <c r="C59" s="35"/>
      <c r="D59" s="35"/>
      <c r="E59" s="35"/>
      <c r="F59" s="2">
        <v>5</v>
      </c>
      <c r="G59" s="20"/>
      <c r="H59" s="22"/>
      <c r="I59" s="2"/>
      <c r="J59" s="22"/>
      <c r="K59" s="18"/>
    </row>
    <row r="60" spans="1:11" ht="13.35" customHeight="1">
      <c r="A60" s="30" t="str">
        <f>IFERROR(IF(INDEX(Registro!$E$2:$E$100,MATCH(12,Registro!$T$2:$T$100,0))="","",12),"")</f>
        <v/>
      </c>
      <c r="B60" s="31" t="str">
        <f>IFERROR(INDEX(Registro!$E$2:$E$100,MATCH(12,Registro!$T$2:$T$100,0)),"")</f>
        <v/>
      </c>
      <c r="C60" s="32" t="str">
        <f>IFERROR(INDEX(Registro!$F$2:$F$100,MATCH(12,Registro!$T$2:$T$100,0)),"")</f>
        <v/>
      </c>
      <c r="D60" s="32" t="str">
        <f>IFERROR(INDEX(Registro!$B$2:$B$100,MATCH(12,Registro!$T$2:$T$100,0)),"")</f>
        <v/>
      </c>
      <c r="E60" s="32" t="str">
        <f>IFERROR(INDEX(Registro!$I$2:$I$100,MATCH(12,Registro!$T$2:$T$100,0)),"")</f>
        <v/>
      </c>
      <c r="F60" s="17">
        <v>1</v>
      </c>
      <c r="G60" s="21"/>
      <c r="H60" s="23"/>
      <c r="I60" s="17"/>
      <c r="J60" s="23"/>
      <c r="K60" s="19"/>
    </row>
    <row r="61" spans="1:11" ht="13.35" customHeight="1">
      <c r="A61" s="30"/>
      <c r="B61" s="31"/>
      <c r="C61" s="32"/>
      <c r="D61" s="32"/>
      <c r="E61" s="32"/>
      <c r="F61" s="17">
        <v>2</v>
      </c>
      <c r="G61" s="21"/>
      <c r="H61" s="23"/>
      <c r="I61" s="17"/>
      <c r="J61" s="23"/>
      <c r="K61" s="19"/>
    </row>
    <row r="62" spans="1:11" ht="13.35" customHeight="1">
      <c r="A62" s="30"/>
      <c r="B62" s="31"/>
      <c r="C62" s="32"/>
      <c r="D62" s="32"/>
      <c r="E62" s="32"/>
      <c r="F62" s="17">
        <v>3</v>
      </c>
      <c r="G62" s="21"/>
      <c r="H62" s="23"/>
      <c r="I62" s="17"/>
      <c r="J62" s="23"/>
      <c r="K62" s="19"/>
    </row>
    <row r="63" spans="1:11" ht="13.35" customHeight="1">
      <c r="A63" s="30"/>
      <c r="B63" s="31"/>
      <c r="C63" s="32"/>
      <c r="D63" s="32"/>
      <c r="E63" s="32"/>
      <c r="F63" s="17">
        <v>4</v>
      </c>
      <c r="G63" s="21"/>
      <c r="H63" s="23"/>
      <c r="I63" s="17"/>
      <c r="J63" s="23"/>
      <c r="K63" s="19"/>
    </row>
    <row r="64" spans="1:11" ht="13.35" customHeight="1">
      <c r="A64" s="30"/>
      <c r="B64" s="31"/>
      <c r="C64" s="32"/>
      <c r="D64" s="32"/>
      <c r="E64" s="32"/>
      <c r="F64" s="17">
        <v>5</v>
      </c>
      <c r="G64" s="21"/>
      <c r="H64" s="23"/>
      <c r="I64" s="17"/>
      <c r="J64" s="23"/>
      <c r="K64" s="19"/>
    </row>
    <row r="65" spans="1:11" ht="13.35" customHeight="1">
      <c r="A65" s="33" t="str">
        <f>IFERROR(IF(INDEX(Registro!$E$2:$E$100,MATCH(13,Registro!$T$2:$T$100,0))="","",13),"")</f>
        <v/>
      </c>
      <c r="B65" s="34" t="str">
        <f>IFERROR(INDEX(Registro!$E$2:$E$100,MATCH(13,Registro!$T$2:$T$100,0)),"")</f>
        <v/>
      </c>
      <c r="C65" s="35" t="str">
        <f>IFERROR(INDEX(Registro!$F$2:$F$100,MATCH(13,Registro!$T$2:$T$100,0)),"")</f>
        <v/>
      </c>
      <c r="D65" s="35" t="str">
        <f>IFERROR(INDEX(Registro!$B$2:$B$100,MATCH(13,Registro!$T$2:$T$100,0)),"")</f>
        <v/>
      </c>
      <c r="E65" s="35" t="str">
        <f>IFERROR(INDEX(Registro!$I$2:$I$100,MATCH(13,Registro!$T$2:$T$100,0)),"")</f>
        <v/>
      </c>
      <c r="F65" s="2">
        <v>1</v>
      </c>
      <c r="G65" s="20"/>
      <c r="H65" s="22"/>
      <c r="I65" s="2"/>
      <c r="J65" s="22"/>
      <c r="K65" s="18"/>
    </row>
    <row r="66" spans="1:11" ht="13.35" customHeight="1">
      <c r="A66" s="33"/>
      <c r="B66" s="34"/>
      <c r="C66" s="35"/>
      <c r="D66" s="35"/>
      <c r="E66" s="35"/>
      <c r="F66" s="2">
        <v>2</v>
      </c>
      <c r="G66" s="20"/>
      <c r="H66" s="22"/>
      <c r="I66" s="2"/>
      <c r="J66" s="22"/>
      <c r="K66" s="18"/>
    </row>
    <row r="67" spans="1:11" ht="13.35" customHeight="1">
      <c r="A67" s="33"/>
      <c r="B67" s="34"/>
      <c r="C67" s="35"/>
      <c r="D67" s="35"/>
      <c r="E67" s="35"/>
      <c r="F67" s="2">
        <v>3</v>
      </c>
      <c r="G67" s="20"/>
      <c r="H67" s="22"/>
      <c r="I67" s="2"/>
      <c r="J67" s="22"/>
      <c r="K67" s="18"/>
    </row>
    <row r="68" spans="1:11" ht="13.35" customHeight="1">
      <c r="A68" s="33"/>
      <c r="B68" s="34"/>
      <c r="C68" s="35"/>
      <c r="D68" s="35"/>
      <c r="E68" s="35"/>
      <c r="F68" s="2">
        <v>4</v>
      </c>
      <c r="G68" s="20"/>
      <c r="H68" s="22"/>
      <c r="I68" s="2"/>
      <c r="J68" s="22"/>
      <c r="K68" s="18"/>
    </row>
    <row r="69" spans="1:11" ht="13.35" customHeight="1">
      <c r="A69" s="33"/>
      <c r="B69" s="34"/>
      <c r="C69" s="35"/>
      <c r="D69" s="35"/>
      <c r="E69" s="35"/>
      <c r="F69" s="2">
        <v>5</v>
      </c>
      <c r="G69" s="20"/>
      <c r="H69" s="22"/>
      <c r="I69" s="2"/>
      <c r="J69" s="22"/>
      <c r="K69" s="18"/>
    </row>
    <row r="70" spans="1:11" ht="13.35" customHeight="1">
      <c r="A70" s="30" t="str">
        <f>IFERROR(IF(INDEX(Registro!$E$2:$E$100,MATCH(14,Registro!$T$2:$T$100,0))="","",14),"")</f>
        <v/>
      </c>
      <c r="B70" s="31" t="str">
        <f>IFERROR(INDEX(Registro!$E$2:$E$100,MATCH(14,Registro!$T$2:$T$100,0)),"")</f>
        <v/>
      </c>
      <c r="C70" s="32" t="str">
        <f>IFERROR(INDEX(Registro!$F$2:$F$100,MATCH(14,Registro!$T$2:$T$100,0)),"")</f>
        <v/>
      </c>
      <c r="D70" s="32" t="str">
        <f>IFERROR(INDEX(Registro!$B$2:$B$100,MATCH(14,Registro!$T$2:$T$100,0)),"")</f>
        <v/>
      </c>
      <c r="E70" s="32" t="str">
        <f>IFERROR(INDEX(Registro!$I$2:$I$100,MATCH(14,Registro!$T$2:$T$100,0)),"")</f>
        <v/>
      </c>
      <c r="F70" s="17">
        <v>1</v>
      </c>
      <c r="G70" s="21"/>
      <c r="H70" s="23"/>
      <c r="I70" s="17"/>
      <c r="J70" s="23"/>
      <c r="K70" s="19"/>
    </row>
    <row r="71" spans="1:11" ht="13.35" customHeight="1">
      <c r="A71" s="30"/>
      <c r="B71" s="31"/>
      <c r="C71" s="32"/>
      <c r="D71" s="32"/>
      <c r="E71" s="32"/>
      <c r="F71" s="17">
        <v>2</v>
      </c>
      <c r="G71" s="21"/>
      <c r="H71" s="23"/>
      <c r="I71" s="17"/>
      <c r="J71" s="23"/>
      <c r="K71" s="19"/>
    </row>
    <row r="72" spans="1:11" ht="13.35" customHeight="1">
      <c r="A72" s="30"/>
      <c r="B72" s="31"/>
      <c r="C72" s="32"/>
      <c r="D72" s="32"/>
      <c r="E72" s="32"/>
      <c r="F72" s="17">
        <v>3</v>
      </c>
      <c r="G72" s="21"/>
      <c r="H72" s="23"/>
      <c r="I72" s="17"/>
      <c r="J72" s="23"/>
      <c r="K72" s="19"/>
    </row>
    <row r="73" spans="1:11" ht="13.35" customHeight="1">
      <c r="A73" s="30"/>
      <c r="B73" s="31"/>
      <c r="C73" s="32"/>
      <c r="D73" s="32"/>
      <c r="E73" s="32"/>
      <c r="F73" s="17">
        <v>4</v>
      </c>
      <c r="G73" s="21"/>
      <c r="H73" s="23"/>
      <c r="I73" s="17"/>
      <c r="J73" s="23"/>
      <c r="K73" s="19"/>
    </row>
    <row r="74" spans="1:11" ht="13.35" customHeight="1">
      <c r="A74" s="30"/>
      <c r="B74" s="31"/>
      <c r="C74" s="32"/>
      <c r="D74" s="32"/>
      <c r="E74" s="32"/>
      <c r="F74" s="17">
        <v>5</v>
      </c>
      <c r="G74" s="21"/>
      <c r="H74" s="23"/>
      <c r="I74" s="17"/>
      <c r="J74" s="23"/>
      <c r="K74" s="19"/>
    </row>
    <row r="75" spans="1:11" ht="13.35" customHeight="1">
      <c r="A75" s="33" t="str">
        <f>IFERROR(IF(INDEX(Registro!$E$2:$E$100,MATCH(15,Registro!$T$2:$T$100,0))="","",15),"")</f>
        <v/>
      </c>
      <c r="B75" s="34" t="str">
        <f>IFERROR(INDEX(Registro!$E$2:$E$100,MATCH(15,Registro!$T$2:$T$100,0)),"")</f>
        <v/>
      </c>
      <c r="C75" s="35" t="str">
        <f>IFERROR(INDEX(Registro!$F$2:$F$100,MATCH(15,Registro!$T$2:$T$100,0)),"")</f>
        <v/>
      </c>
      <c r="D75" s="35" t="str">
        <f>IFERROR(INDEX(Registro!$B$2:$B$100,MATCH(15,Registro!$T$2:$T$100,0)),"")</f>
        <v/>
      </c>
      <c r="E75" s="35" t="str">
        <f>IFERROR(INDEX(Registro!$I$2:$I$100,MATCH(15,Registro!$T$2:$T$100,0)),"")</f>
        <v/>
      </c>
      <c r="F75" s="2">
        <v>1</v>
      </c>
      <c r="G75" s="20"/>
      <c r="H75" s="22"/>
      <c r="I75" s="2"/>
      <c r="J75" s="22"/>
      <c r="K75" s="18"/>
    </row>
    <row r="76" spans="1:11" ht="13.35" customHeight="1">
      <c r="A76" s="33"/>
      <c r="B76" s="34"/>
      <c r="C76" s="35"/>
      <c r="D76" s="35"/>
      <c r="E76" s="35"/>
      <c r="F76" s="2">
        <v>2</v>
      </c>
      <c r="G76" s="20"/>
      <c r="H76" s="22"/>
      <c r="I76" s="2"/>
      <c r="J76" s="22"/>
      <c r="K76" s="18"/>
    </row>
    <row r="77" spans="1:11" ht="13.35" customHeight="1">
      <c r="A77" s="33"/>
      <c r="B77" s="34"/>
      <c r="C77" s="35"/>
      <c r="D77" s="35"/>
      <c r="E77" s="35"/>
      <c r="F77" s="2">
        <v>3</v>
      </c>
      <c r="G77" s="20"/>
      <c r="H77" s="22"/>
      <c r="I77" s="2"/>
      <c r="J77" s="22"/>
      <c r="K77" s="18"/>
    </row>
    <row r="78" spans="1:11" ht="13.35" customHeight="1">
      <c r="A78" s="33"/>
      <c r="B78" s="34"/>
      <c r="C78" s="35"/>
      <c r="D78" s="35"/>
      <c r="E78" s="35"/>
      <c r="F78" s="2">
        <v>4</v>
      </c>
      <c r="G78" s="20"/>
      <c r="H78" s="22"/>
      <c r="I78" s="2"/>
      <c r="J78" s="22"/>
      <c r="K78" s="18"/>
    </row>
    <row r="79" spans="1:11" ht="13.35" customHeight="1">
      <c r="A79" s="33"/>
      <c r="B79" s="34"/>
      <c r="C79" s="35"/>
      <c r="D79" s="35"/>
      <c r="E79" s="35"/>
      <c r="F79" s="2">
        <v>5</v>
      </c>
      <c r="G79" s="20"/>
      <c r="H79" s="22"/>
      <c r="I79" s="2"/>
      <c r="J79" s="22"/>
      <c r="K79" s="18"/>
    </row>
    <row r="80" spans="1:11" ht="13.35" customHeight="1">
      <c r="A80" s="30" t="str">
        <f>IFERROR(IF(INDEX(Registro!$E$2:$E$100,MATCH(16,Registro!$T$2:$T$100,0))="","",16),"")</f>
        <v/>
      </c>
      <c r="B80" s="31" t="str">
        <f>IFERROR(INDEX(Registro!$E$2:$E$100,MATCH(16,Registro!$T$2:$T$100,0)),"")</f>
        <v/>
      </c>
      <c r="C80" s="32" t="str">
        <f>IFERROR(INDEX(Registro!$F$2:$F$100,MATCH(16,Registro!$T$2:$T$100,0)),"")</f>
        <v/>
      </c>
      <c r="D80" s="32" t="str">
        <f>IFERROR(INDEX(Registro!$B$2:$B$100,MATCH(16,Registro!$T$2:$T$100,0)),"")</f>
        <v/>
      </c>
      <c r="E80" s="32" t="str">
        <f>IFERROR(INDEX(Registro!$I$2:$I$100,MATCH(16,Registro!$T$2:$T$100,0)),"")</f>
        <v/>
      </c>
      <c r="F80" s="17">
        <v>1</v>
      </c>
      <c r="G80" s="21"/>
      <c r="H80" s="23"/>
      <c r="I80" s="17"/>
      <c r="J80" s="23"/>
      <c r="K80" s="19"/>
    </row>
    <row r="81" spans="1:11" ht="13.35" customHeight="1">
      <c r="A81" s="30"/>
      <c r="B81" s="31"/>
      <c r="C81" s="32"/>
      <c r="D81" s="32"/>
      <c r="E81" s="32"/>
      <c r="F81" s="17">
        <v>2</v>
      </c>
      <c r="G81" s="21"/>
      <c r="H81" s="23"/>
      <c r="I81" s="17"/>
      <c r="J81" s="23"/>
      <c r="K81" s="19"/>
    </row>
    <row r="82" spans="1:11" ht="13.35" customHeight="1">
      <c r="A82" s="30"/>
      <c r="B82" s="31"/>
      <c r="C82" s="32"/>
      <c r="D82" s="32"/>
      <c r="E82" s="32"/>
      <c r="F82" s="17">
        <v>3</v>
      </c>
      <c r="G82" s="21"/>
      <c r="H82" s="23"/>
      <c r="I82" s="17"/>
      <c r="J82" s="23"/>
      <c r="K82" s="19"/>
    </row>
    <row r="83" spans="1:11" ht="13.35" customHeight="1">
      <c r="A83" s="30"/>
      <c r="B83" s="31"/>
      <c r="C83" s="32"/>
      <c r="D83" s="32"/>
      <c r="E83" s="32"/>
      <c r="F83" s="17">
        <v>4</v>
      </c>
      <c r="G83" s="21"/>
      <c r="H83" s="23"/>
      <c r="I83" s="17"/>
      <c r="J83" s="23"/>
      <c r="K83" s="19"/>
    </row>
    <row r="84" spans="1:11" ht="13.35" customHeight="1">
      <c r="A84" s="30"/>
      <c r="B84" s="31"/>
      <c r="C84" s="32"/>
      <c r="D84" s="32"/>
      <c r="E84" s="32"/>
      <c r="F84" s="17">
        <v>5</v>
      </c>
      <c r="G84" s="21"/>
      <c r="H84" s="23"/>
      <c r="I84" s="17"/>
      <c r="J84" s="23"/>
      <c r="K84" s="19"/>
    </row>
    <row r="85" spans="1:11" ht="13.35" customHeight="1">
      <c r="A85" s="33" t="str">
        <f>IFERROR(IF(INDEX(Registro!$E$2:$E$100,MATCH(17,Registro!$T$2:$T$100,0))="","",17),"")</f>
        <v/>
      </c>
      <c r="B85" s="34" t="str">
        <f>IFERROR(INDEX(Registro!$E$2:$E$100,MATCH(17,Registro!$T$2:$T$100,0)),"")</f>
        <v/>
      </c>
      <c r="C85" s="35" t="str">
        <f>IFERROR(INDEX(Registro!$F$2:$F$100,MATCH(17,Registro!$T$2:$T$100,0)),"")</f>
        <v/>
      </c>
      <c r="D85" s="35" t="str">
        <f>IFERROR(INDEX(Registro!$B$2:$B$100,MATCH(17,Registro!$T$2:$T$100,0)),"")</f>
        <v/>
      </c>
      <c r="E85" s="35" t="str">
        <f>IFERROR(INDEX(Registro!$I$2:$I$100,MATCH(17,Registro!$T$2:$T$100,0)),"")</f>
        <v/>
      </c>
      <c r="F85" s="2">
        <v>1</v>
      </c>
      <c r="G85" s="20"/>
      <c r="H85" s="22"/>
      <c r="I85" s="2"/>
      <c r="J85" s="22"/>
      <c r="K85" s="18"/>
    </row>
    <row r="86" spans="1:11" ht="13.35" customHeight="1">
      <c r="A86" s="33"/>
      <c r="B86" s="34"/>
      <c r="C86" s="35"/>
      <c r="D86" s="35"/>
      <c r="E86" s="35"/>
      <c r="F86" s="2">
        <v>2</v>
      </c>
      <c r="G86" s="20"/>
      <c r="H86" s="22"/>
      <c r="I86" s="2"/>
      <c r="J86" s="22"/>
      <c r="K86" s="18"/>
    </row>
    <row r="87" spans="1:11" ht="13.35" customHeight="1">
      <c r="A87" s="33"/>
      <c r="B87" s="34"/>
      <c r="C87" s="35"/>
      <c r="D87" s="35"/>
      <c r="E87" s="35"/>
      <c r="F87" s="2">
        <v>3</v>
      </c>
      <c r="G87" s="20"/>
      <c r="H87" s="22"/>
      <c r="I87" s="2"/>
      <c r="J87" s="22"/>
      <c r="K87" s="18"/>
    </row>
    <row r="88" spans="1:11" ht="13.35" customHeight="1">
      <c r="A88" s="33"/>
      <c r="B88" s="34"/>
      <c r="C88" s="35"/>
      <c r="D88" s="35"/>
      <c r="E88" s="35"/>
      <c r="F88" s="2">
        <v>4</v>
      </c>
      <c r="G88" s="20"/>
      <c r="H88" s="22"/>
      <c r="I88" s="2"/>
      <c r="J88" s="22"/>
      <c r="K88" s="18"/>
    </row>
    <row r="89" spans="1:11" ht="13.35" customHeight="1">
      <c r="A89" s="33"/>
      <c r="B89" s="34"/>
      <c r="C89" s="35"/>
      <c r="D89" s="35"/>
      <c r="E89" s="35"/>
      <c r="F89" s="2">
        <v>5</v>
      </c>
      <c r="G89" s="20"/>
      <c r="H89" s="22"/>
      <c r="I89" s="2"/>
      <c r="J89" s="22"/>
      <c r="K89" s="18"/>
    </row>
    <row r="90" spans="1:11" ht="13.35" customHeight="1">
      <c r="A90" s="30" t="str">
        <f>IFERROR(IF(INDEX(Registro!$E$2:$E$100,MATCH(18,Registro!$T$2:$T$100,0))="","",18),"")</f>
        <v/>
      </c>
      <c r="B90" s="31" t="str">
        <f>IFERROR(INDEX(Registro!$E$2:$E$100,MATCH(18,Registro!$T$2:$T$100,0)),"")</f>
        <v/>
      </c>
      <c r="C90" s="32" t="str">
        <f>IFERROR(INDEX(Registro!$F$2:$F$100,MATCH(18,Registro!$T$2:$T$100,0)),"")</f>
        <v/>
      </c>
      <c r="D90" s="32" t="str">
        <f>IFERROR(INDEX(Registro!$B$2:$B$100,MATCH(18,Registro!$T$2:$T$100,0)),"")</f>
        <v/>
      </c>
      <c r="E90" s="32" t="str">
        <f>IFERROR(INDEX(Registro!$I$2:$I$100,MATCH(18,Registro!$T$2:$T$100,0)),"")</f>
        <v/>
      </c>
      <c r="F90" s="17">
        <v>1</v>
      </c>
      <c r="G90" s="21"/>
      <c r="H90" s="23"/>
      <c r="I90" s="17"/>
      <c r="J90" s="23"/>
      <c r="K90" s="19"/>
    </row>
    <row r="91" spans="1:11" ht="13.35" customHeight="1">
      <c r="A91" s="30"/>
      <c r="B91" s="31"/>
      <c r="C91" s="32"/>
      <c r="D91" s="32"/>
      <c r="E91" s="32"/>
      <c r="F91" s="17">
        <v>2</v>
      </c>
      <c r="G91" s="21"/>
      <c r="H91" s="23"/>
      <c r="I91" s="17"/>
      <c r="J91" s="23"/>
      <c r="K91" s="19"/>
    </row>
    <row r="92" spans="1:11" ht="13.35" customHeight="1">
      <c r="A92" s="30"/>
      <c r="B92" s="31"/>
      <c r="C92" s="32"/>
      <c r="D92" s="32"/>
      <c r="E92" s="32"/>
      <c r="F92" s="17">
        <v>3</v>
      </c>
      <c r="G92" s="21"/>
      <c r="H92" s="23"/>
      <c r="I92" s="17"/>
      <c r="J92" s="23"/>
      <c r="K92" s="19"/>
    </row>
    <row r="93" spans="1:11" ht="13.35" customHeight="1">
      <c r="A93" s="30"/>
      <c r="B93" s="31"/>
      <c r="C93" s="32"/>
      <c r="D93" s="32"/>
      <c r="E93" s="32"/>
      <c r="F93" s="17">
        <v>4</v>
      </c>
      <c r="G93" s="21"/>
      <c r="H93" s="23"/>
      <c r="I93" s="17"/>
      <c r="J93" s="23"/>
      <c r="K93" s="19"/>
    </row>
    <row r="94" spans="1:11" ht="13.35" customHeight="1">
      <c r="A94" s="30"/>
      <c r="B94" s="31"/>
      <c r="C94" s="32"/>
      <c r="D94" s="32"/>
      <c r="E94" s="32"/>
      <c r="F94" s="17">
        <v>5</v>
      </c>
      <c r="G94" s="21"/>
      <c r="H94" s="23"/>
      <c r="I94" s="17"/>
      <c r="J94" s="23"/>
      <c r="K94" s="19"/>
    </row>
    <row r="95" spans="1:11" ht="13.35" customHeight="1">
      <c r="A95" s="33" t="str">
        <f>IFERROR(IF(INDEX(Registro!$E$2:$E$100,MATCH(19,Registro!$T$2:$T$100,0))="","",19),"")</f>
        <v/>
      </c>
      <c r="B95" s="34" t="str">
        <f>IFERROR(INDEX(Registro!$E$2:$E$100,MATCH(19,Registro!$T$2:$T$100,0)),"")</f>
        <v/>
      </c>
      <c r="C95" s="35" t="str">
        <f>IFERROR(INDEX(Registro!$F$2:$F$100,MATCH(19,Registro!$T$2:$T$100,0)),"")</f>
        <v/>
      </c>
      <c r="D95" s="35" t="str">
        <f>IFERROR(INDEX(Registro!$B$2:$B$100,MATCH(19,Registro!$T$2:$T$100,0)),"")</f>
        <v/>
      </c>
      <c r="E95" s="35" t="str">
        <f>IFERROR(INDEX(Registro!$I$2:$I$100,MATCH(19,Registro!$T$2:$T$100,0)),"")</f>
        <v/>
      </c>
      <c r="F95" s="2">
        <v>1</v>
      </c>
      <c r="G95" s="20"/>
      <c r="H95" s="22"/>
      <c r="I95" s="2"/>
      <c r="J95" s="22"/>
      <c r="K95" s="18"/>
    </row>
    <row r="96" spans="1:11" ht="13.35" customHeight="1">
      <c r="A96" s="33"/>
      <c r="B96" s="34"/>
      <c r="C96" s="35"/>
      <c r="D96" s="35"/>
      <c r="E96" s="35"/>
      <c r="F96" s="2">
        <v>2</v>
      </c>
      <c r="G96" s="20"/>
      <c r="H96" s="22"/>
      <c r="I96" s="2"/>
      <c r="J96" s="22"/>
      <c r="K96" s="18"/>
    </row>
    <row r="97" spans="1:11" ht="13.35" customHeight="1">
      <c r="A97" s="33"/>
      <c r="B97" s="34"/>
      <c r="C97" s="35"/>
      <c r="D97" s="35"/>
      <c r="E97" s="35"/>
      <c r="F97" s="2">
        <v>3</v>
      </c>
      <c r="G97" s="20"/>
      <c r="H97" s="22"/>
      <c r="I97" s="2"/>
      <c r="J97" s="22"/>
      <c r="K97" s="18"/>
    </row>
    <row r="98" spans="1:11" ht="13.35" customHeight="1">
      <c r="A98" s="33"/>
      <c r="B98" s="34"/>
      <c r="C98" s="35"/>
      <c r="D98" s="35"/>
      <c r="E98" s="35"/>
      <c r="F98" s="2">
        <v>4</v>
      </c>
      <c r="G98" s="20"/>
      <c r="H98" s="22"/>
      <c r="I98" s="2"/>
      <c r="J98" s="22"/>
      <c r="K98" s="18"/>
    </row>
    <row r="99" spans="1:11" ht="13.35" customHeight="1">
      <c r="A99" s="33"/>
      <c r="B99" s="34"/>
      <c r="C99" s="35"/>
      <c r="D99" s="35"/>
      <c r="E99" s="35"/>
      <c r="F99" s="2">
        <v>5</v>
      </c>
      <c r="G99" s="20"/>
      <c r="H99" s="22"/>
      <c r="I99" s="2"/>
      <c r="J99" s="22"/>
      <c r="K99" s="18"/>
    </row>
    <row r="100" spans="1:11" ht="13.35" customHeight="1">
      <c r="A100" s="30" t="str">
        <f>IFERROR(IF(INDEX(Registro!$E$2:$E$100,MATCH(20,Registro!$T$2:$T$100,0))="","",20),"")</f>
        <v/>
      </c>
      <c r="B100" s="31" t="str">
        <f>IFERROR(INDEX(Registro!$E$2:$E$100,MATCH(20,Registro!$T$2:$T$100,0)),"")</f>
        <v/>
      </c>
      <c r="C100" s="32" t="str">
        <f>IFERROR(INDEX(Registro!$F$2:$F$100,MATCH(20,Registro!$T$2:$T$100,0)),"")</f>
        <v/>
      </c>
      <c r="D100" s="32" t="str">
        <f>IFERROR(INDEX(Registro!$B$2:$B$100,MATCH(20,Registro!$T$2:$T$100,0)),"")</f>
        <v/>
      </c>
      <c r="E100" s="32" t="str">
        <f>IFERROR(INDEX(Registro!$I$2:$I$100,MATCH(20,Registro!$T$2:$T$100,0)),"")</f>
        <v/>
      </c>
      <c r="F100" s="17">
        <v>1</v>
      </c>
      <c r="G100" s="21"/>
      <c r="H100" s="23"/>
      <c r="I100" s="17"/>
      <c r="J100" s="23"/>
      <c r="K100" s="19"/>
    </row>
    <row r="101" spans="1:11" ht="13.35" customHeight="1">
      <c r="A101" s="30"/>
      <c r="B101" s="31"/>
      <c r="C101" s="32"/>
      <c r="D101" s="32"/>
      <c r="E101" s="32"/>
      <c r="F101" s="17">
        <v>2</v>
      </c>
      <c r="G101" s="21"/>
      <c r="H101" s="23"/>
      <c r="I101" s="17"/>
      <c r="J101" s="23"/>
      <c r="K101" s="19"/>
    </row>
    <row r="102" spans="1:11" ht="13.35" customHeight="1">
      <c r="A102" s="30"/>
      <c r="B102" s="31"/>
      <c r="C102" s="32"/>
      <c r="D102" s="32"/>
      <c r="E102" s="32"/>
      <c r="F102" s="17">
        <v>3</v>
      </c>
      <c r="G102" s="21"/>
      <c r="H102" s="23"/>
      <c r="I102" s="17"/>
      <c r="J102" s="23"/>
      <c r="K102" s="19"/>
    </row>
    <row r="103" spans="1:11" ht="13.35" customHeight="1">
      <c r="A103" s="30"/>
      <c r="B103" s="31"/>
      <c r="C103" s="32"/>
      <c r="D103" s="32"/>
      <c r="E103" s="32"/>
      <c r="F103" s="17">
        <v>4</v>
      </c>
      <c r="G103" s="21"/>
      <c r="H103" s="23"/>
      <c r="I103" s="17"/>
      <c r="J103" s="23"/>
      <c r="K103" s="19"/>
    </row>
    <row r="104" spans="1:11" ht="13.35" customHeight="1">
      <c r="A104" s="30"/>
      <c r="B104" s="31"/>
      <c r="C104" s="32"/>
      <c r="D104" s="32"/>
      <c r="E104" s="32"/>
      <c r="F104" s="17">
        <v>5</v>
      </c>
      <c r="G104" s="21"/>
      <c r="H104" s="23"/>
      <c r="I104" s="17"/>
      <c r="J104" s="23"/>
      <c r="K104" s="19"/>
    </row>
    <row r="105" spans="1:11" ht="13.35" customHeight="1">
      <c r="A105" s="33" t="str">
        <f>IFERROR(IF(INDEX(Registro!$E$2:$E$100,MATCH(21,Registro!$T$2:$T$100,0))="","",21),"")</f>
        <v/>
      </c>
      <c r="B105" s="34" t="str">
        <f>IFERROR(INDEX(Registro!$E$2:$E$100,MATCH(21,Registro!$T$2:$T$100,0)),"")</f>
        <v/>
      </c>
      <c r="C105" s="35" t="str">
        <f>IFERROR(INDEX(Registro!$F$2:$F$100,MATCH(21,Registro!$T$2:$T$100,0)),"")</f>
        <v/>
      </c>
      <c r="D105" s="35" t="str">
        <f>IFERROR(INDEX(Registro!$B$2:$B$100,MATCH(21,Registro!$T$2:$T$100,0)),"")</f>
        <v/>
      </c>
      <c r="E105" s="35" t="str">
        <f>IFERROR(INDEX(Registro!$I$2:$I$100,MATCH(21,Registro!$T$2:$T$100,0)),"")</f>
        <v/>
      </c>
      <c r="F105" s="2">
        <v>1</v>
      </c>
      <c r="G105" s="20"/>
      <c r="H105" s="22"/>
      <c r="I105" s="2"/>
      <c r="J105" s="22"/>
      <c r="K105" s="18"/>
    </row>
    <row r="106" spans="1:11" ht="13.35" customHeight="1">
      <c r="A106" s="33"/>
      <c r="B106" s="34"/>
      <c r="C106" s="35"/>
      <c r="D106" s="35"/>
      <c r="E106" s="35"/>
      <c r="F106" s="2">
        <v>2</v>
      </c>
      <c r="G106" s="20"/>
      <c r="H106" s="22"/>
      <c r="I106" s="2"/>
      <c r="J106" s="22"/>
      <c r="K106" s="18"/>
    </row>
    <row r="107" spans="1:11" ht="13.35" customHeight="1">
      <c r="A107" s="33"/>
      <c r="B107" s="34"/>
      <c r="C107" s="35"/>
      <c r="D107" s="35"/>
      <c r="E107" s="35"/>
      <c r="F107" s="2">
        <v>3</v>
      </c>
      <c r="G107" s="20"/>
      <c r="H107" s="22"/>
      <c r="I107" s="2"/>
      <c r="J107" s="22"/>
      <c r="K107" s="18"/>
    </row>
    <row r="108" spans="1:11" ht="13.35" customHeight="1">
      <c r="A108" s="33"/>
      <c r="B108" s="34"/>
      <c r="C108" s="35"/>
      <c r="D108" s="35"/>
      <c r="E108" s="35"/>
      <c r="F108" s="2">
        <v>4</v>
      </c>
      <c r="G108" s="20"/>
      <c r="H108" s="22"/>
      <c r="I108" s="2"/>
      <c r="J108" s="22"/>
      <c r="K108" s="18"/>
    </row>
    <row r="109" spans="1:11" ht="13.35" customHeight="1">
      <c r="A109" s="33"/>
      <c r="B109" s="34"/>
      <c r="C109" s="35"/>
      <c r="D109" s="35"/>
      <c r="E109" s="35"/>
      <c r="F109" s="2">
        <v>5</v>
      </c>
      <c r="G109" s="20"/>
      <c r="H109" s="22"/>
      <c r="I109" s="2"/>
      <c r="J109" s="22"/>
      <c r="K109" s="18"/>
    </row>
    <row r="110" spans="1:11" ht="13.35" customHeight="1">
      <c r="A110" s="30" t="str">
        <f>IFERROR(IF(INDEX(Registro!$E$2:$E$100,MATCH(22,Registro!$T$2:$T$100,0))="","",22),"")</f>
        <v/>
      </c>
      <c r="B110" s="31" t="str">
        <f>IFERROR(INDEX(Registro!$E$2:$E$100,MATCH(22,Registro!$T$2:$T$100,0)),"")</f>
        <v/>
      </c>
      <c r="C110" s="32" t="str">
        <f>IFERROR(INDEX(Registro!$F$2:$F$100,MATCH(22,Registro!$T$2:$T$100,0)),"")</f>
        <v/>
      </c>
      <c r="D110" s="32" t="str">
        <f>IFERROR(INDEX(Registro!$B$2:$B$100,MATCH(22,Registro!$T$2:$T$100,0)),"")</f>
        <v/>
      </c>
      <c r="E110" s="32" t="str">
        <f>IFERROR(INDEX(Registro!$I$2:$I$100,MATCH(22,Registro!$T$2:$T$100,0)),"")</f>
        <v/>
      </c>
      <c r="F110" s="17">
        <v>1</v>
      </c>
      <c r="G110" s="21"/>
      <c r="H110" s="23"/>
      <c r="I110" s="17"/>
      <c r="J110" s="23"/>
      <c r="K110" s="19"/>
    </row>
    <row r="111" spans="1:11" ht="13.35" customHeight="1">
      <c r="A111" s="30"/>
      <c r="B111" s="31"/>
      <c r="C111" s="32"/>
      <c r="D111" s="32"/>
      <c r="E111" s="32"/>
      <c r="F111" s="17">
        <v>2</v>
      </c>
      <c r="G111" s="21"/>
      <c r="H111" s="23"/>
      <c r="I111" s="17"/>
      <c r="J111" s="23"/>
      <c r="K111" s="19"/>
    </row>
    <row r="112" spans="1:11" ht="13.35" customHeight="1">
      <c r="A112" s="30"/>
      <c r="B112" s="31"/>
      <c r="C112" s="32"/>
      <c r="D112" s="32"/>
      <c r="E112" s="32"/>
      <c r="F112" s="17">
        <v>3</v>
      </c>
      <c r="G112" s="21"/>
      <c r="H112" s="23"/>
      <c r="I112" s="17"/>
      <c r="J112" s="23"/>
      <c r="K112" s="19"/>
    </row>
    <row r="113" spans="1:11" ht="13.35" customHeight="1">
      <c r="A113" s="30"/>
      <c r="B113" s="31"/>
      <c r="C113" s="32"/>
      <c r="D113" s="32"/>
      <c r="E113" s="32"/>
      <c r="F113" s="17">
        <v>4</v>
      </c>
      <c r="G113" s="21"/>
      <c r="H113" s="23"/>
      <c r="I113" s="17"/>
      <c r="J113" s="23"/>
      <c r="K113" s="19"/>
    </row>
    <row r="114" spans="1:11" ht="13.35" customHeight="1">
      <c r="A114" s="30"/>
      <c r="B114" s="31"/>
      <c r="C114" s="32"/>
      <c r="D114" s="32"/>
      <c r="E114" s="32"/>
      <c r="F114" s="17">
        <v>5</v>
      </c>
      <c r="G114" s="21"/>
      <c r="H114" s="23"/>
      <c r="I114" s="17"/>
      <c r="J114" s="23"/>
      <c r="K114" s="19"/>
    </row>
    <row r="115" spans="1:11" ht="13.35" customHeight="1">
      <c r="A115" s="33" t="str">
        <f>IFERROR(IF(INDEX(Registro!$E$2:$E$100,MATCH(23,Registro!$T$2:$T$100,0))="","",23),"")</f>
        <v/>
      </c>
      <c r="B115" s="34" t="str">
        <f>IFERROR(INDEX(Registro!$E$2:$E$100,MATCH(23,Registro!$T$2:$T$100,0)),"")</f>
        <v/>
      </c>
      <c r="C115" s="35" t="str">
        <f>IFERROR(INDEX(Registro!$F$2:$F$100,MATCH(23,Registro!$T$2:$T$100,0)),"")</f>
        <v/>
      </c>
      <c r="D115" s="35" t="str">
        <f>IFERROR(INDEX(Registro!$B$2:$B$100,MATCH(23,Registro!$T$2:$T$100,0)),"")</f>
        <v/>
      </c>
      <c r="E115" s="35" t="str">
        <f>IFERROR(INDEX(Registro!$I$2:$I$100,MATCH(23,Registro!$T$2:$T$100,0)),"")</f>
        <v/>
      </c>
      <c r="F115" s="2">
        <v>1</v>
      </c>
      <c r="G115" s="20"/>
      <c r="H115" s="22"/>
      <c r="I115" s="2"/>
      <c r="J115" s="22"/>
      <c r="K115" s="18"/>
    </row>
    <row r="116" spans="1:11" ht="13.35" customHeight="1">
      <c r="A116" s="33"/>
      <c r="B116" s="34"/>
      <c r="C116" s="35"/>
      <c r="D116" s="35"/>
      <c r="E116" s="35"/>
      <c r="F116" s="2">
        <v>2</v>
      </c>
      <c r="G116" s="20"/>
      <c r="H116" s="22"/>
      <c r="I116" s="2"/>
      <c r="J116" s="22"/>
      <c r="K116" s="18"/>
    </row>
    <row r="117" spans="1:11" ht="13.35" customHeight="1">
      <c r="A117" s="33"/>
      <c r="B117" s="34"/>
      <c r="C117" s="35"/>
      <c r="D117" s="35"/>
      <c r="E117" s="35"/>
      <c r="F117" s="2">
        <v>3</v>
      </c>
      <c r="G117" s="20"/>
      <c r="H117" s="22"/>
      <c r="I117" s="2"/>
      <c r="J117" s="22"/>
      <c r="K117" s="18"/>
    </row>
    <row r="118" spans="1:11" ht="13.35" customHeight="1">
      <c r="A118" s="33"/>
      <c r="B118" s="34"/>
      <c r="C118" s="35"/>
      <c r="D118" s="35"/>
      <c r="E118" s="35"/>
      <c r="F118" s="2">
        <v>4</v>
      </c>
      <c r="G118" s="20"/>
      <c r="H118" s="22"/>
      <c r="I118" s="2"/>
      <c r="J118" s="22"/>
      <c r="K118" s="18"/>
    </row>
    <row r="119" spans="1:11" ht="13.35" customHeight="1">
      <c r="A119" s="33"/>
      <c r="B119" s="34"/>
      <c r="C119" s="35"/>
      <c r="D119" s="35"/>
      <c r="E119" s="35"/>
      <c r="F119" s="2">
        <v>5</v>
      </c>
      <c r="G119" s="20"/>
      <c r="H119" s="22"/>
      <c r="I119" s="2"/>
      <c r="J119" s="22"/>
      <c r="K119" s="18"/>
    </row>
    <row r="120" spans="1:11" ht="13.35" customHeight="1">
      <c r="A120" s="30" t="str">
        <f>IFERROR(IF(INDEX(Registro!$E$2:$E$100,MATCH(24,Registro!$T$2:$T$100,0))="","",24),"")</f>
        <v/>
      </c>
      <c r="B120" s="31" t="str">
        <f>IFERROR(INDEX(Registro!$E$2:$E$100,MATCH(24,Registro!$T$2:$T$100,0)),"")</f>
        <v/>
      </c>
      <c r="C120" s="32" t="str">
        <f>IFERROR(INDEX(Registro!$F$2:$F$100,MATCH(24,Registro!$T$2:$T$100,0)),"")</f>
        <v/>
      </c>
      <c r="D120" s="32" t="str">
        <f>IFERROR(INDEX(Registro!$B$2:$B$100,MATCH(24,Registro!$T$2:$T$100,0)),"")</f>
        <v/>
      </c>
      <c r="E120" s="32" t="str">
        <f>IFERROR(INDEX(Registro!$I$2:$I$100,MATCH(24,Registro!$T$2:$T$100,0)),"")</f>
        <v/>
      </c>
      <c r="F120" s="17">
        <v>1</v>
      </c>
      <c r="G120" s="21"/>
      <c r="H120" s="23"/>
      <c r="I120" s="17"/>
      <c r="J120" s="23"/>
      <c r="K120" s="19"/>
    </row>
    <row r="121" spans="1:11" ht="13.35" customHeight="1">
      <c r="A121" s="30"/>
      <c r="B121" s="31"/>
      <c r="C121" s="32"/>
      <c r="D121" s="32"/>
      <c r="E121" s="32"/>
      <c r="F121" s="17">
        <v>2</v>
      </c>
      <c r="G121" s="21"/>
      <c r="H121" s="23"/>
      <c r="I121" s="17"/>
      <c r="J121" s="23"/>
      <c r="K121" s="19"/>
    </row>
    <row r="122" spans="1:11" ht="13.35" customHeight="1">
      <c r="A122" s="30"/>
      <c r="B122" s="31"/>
      <c r="C122" s="32"/>
      <c r="D122" s="32"/>
      <c r="E122" s="32"/>
      <c r="F122" s="17">
        <v>3</v>
      </c>
      <c r="G122" s="21"/>
      <c r="H122" s="23"/>
      <c r="I122" s="17"/>
      <c r="J122" s="23"/>
      <c r="K122" s="19"/>
    </row>
    <row r="123" spans="1:11" ht="13.35" customHeight="1">
      <c r="A123" s="30"/>
      <c r="B123" s="31"/>
      <c r="C123" s="32"/>
      <c r="D123" s="32"/>
      <c r="E123" s="32"/>
      <c r="F123" s="17">
        <v>4</v>
      </c>
      <c r="G123" s="21"/>
      <c r="H123" s="23"/>
      <c r="I123" s="17"/>
      <c r="J123" s="23"/>
      <c r="K123" s="19"/>
    </row>
    <row r="124" spans="1:11" ht="13.35" customHeight="1">
      <c r="A124" s="30"/>
      <c r="B124" s="31"/>
      <c r="C124" s="32"/>
      <c r="D124" s="32"/>
      <c r="E124" s="32"/>
      <c r="F124" s="17">
        <v>5</v>
      </c>
      <c r="G124" s="21"/>
      <c r="H124" s="23"/>
      <c r="I124" s="17"/>
      <c r="J124" s="23"/>
      <c r="K124" s="19"/>
    </row>
    <row r="125" spans="1:11" ht="13.35" customHeight="1">
      <c r="A125" s="33" t="str">
        <f>IFERROR(IF(INDEX(Registro!$E$2:$E$100,MATCH(25,Registro!$T$2:$T$100,0))="","",25),"")</f>
        <v/>
      </c>
      <c r="B125" s="34" t="str">
        <f>IFERROR(INDEX(Registro!$E$2:$E$100,MATCH(25,Registro!$T$2:$T$100,0)),"")</f>
        <v/>
      </c>
      <c r="C125" s="35" t="str">
        <f>IFERROR(INDEX(Registro!$F$2:$F$100,MATCH(25,Registro!$T$2:$T$100,0)),"")</f>
        <v/>
      </c>
      <c r="D125" s="35" t="str">
        <f>IFERROR(INDEX(Registro!$B$2:$B$100,MATCH(25,Registro!$T$2:$T$100,0)),"")</f>
        <v/>
      </c>
      <c r="E125" s="35" t="str">
        <f>IFERROR(INDEX(Registro!$I$2:$I$100,MATCH(25,Registro!$T$2:$T$100,0)),"")</f>
        <v/>
      </c>
      <c r="F125" s="2">
        <v>1</v>
      </c>
      <c r="G125" s="20"/>
      <c r="H125" s="22"/>
      <c r="I125" s="2"/>
      <c r="J125" s="22"/>
      <c r="K125" s="18"/>
    </row>
    <row r="126" spans="1:11" ht="13.35" customHeight="1">
      <c r="A126" s="33"/>
      <c r="B126" s="34"/>
      <c r="C126" s="35"/>
      <c r="D126" s="35"/>
      <c r="E126" s="35"/>
      <c r="F126" s="2">
        <v>2</v>
      </c>
      <c r="G126" s="20"/>
      <c r="H126" s="22"/>
      <c r="I126" s="2"/>
      <c r="J126" s="22"/>
      <c r="K126" s="18"/>
    </row>
    <row r="127" spans="1:11" ht="13.35" customHeight="1">
      <c r="A127" s="33"/>
      <c r="B127" s="34"/>
      <c r="C127" s="35"/>
      <c r="D127" s="35"/>
      <c r="E127" s="35"/>
      <c r="F127" s="2">
        <v>3</v>
      </c>
      <c r="G127" s="20"/>
      <c r="H127" s="22"/>
      <c r="I127" s="2"/>
      <c r="J127" s="22"/>
      <c r="K127" s="18"/>
    </row>
    <row r="128" spans="1:11" ht="13.35" customHeight="1">
      <c r="A128" s="33"/>
      <c r="B128" s="34"/>
      <c r="C128" s="35"/>
      <c r="D128" s="35"/>
      <c r="E128" s="35"/>
      <c r="F128" s="2">
        <v>4</v>
      </c>
      <c r="G128" s="20"/>
      <c r="H128" s="22"/>
      <c r="I128" s="2"/>
      <c r="J128" s="22"/>
      <c r="K128" s="18"/>
    </row>
    <row r="129" spans="1:11" ht="13.35" customHeight="1">
      <c r="A129" s="33"/>
      <c r="B129" s="34"/>
      <c r="C129" s="35"/>
      <c r="D129" s="35"/>
      <c r="E129" s="35"/>
      <c r="F129" s="2">
        <v>5</v>
      </c>
      <c r="G129" s="20"/>
      <c r="H129" s="22"/>
      <c r="I129" s="2"/>
      <c r="J129" s="22"/>
      <c r="K129" s="18"/>
    </row>
    <row r="130" spans="1:11" ht="13.35" customHeight="1">
      <c r="A130" s="30" t="str">
        <f>IFERROR(IF(INDEX(Registro!$E$2:$E$100,MATCH(26,Registro!$T$2:$T$100,0))="","",26),"")</f>
        <v/>
      </c>
      <c r="B130" s="31" t="str">
        <f>IFERROR(INDEX(Registro!$E$2:$E$100,MATCH(26,Registro!$T$2:$T$100,0)),"")</f>
        <v/>
      </c>
      <c r="C130" s="32" t="str">
        <f>IFERROR(INDEX(Registro!$F$2:$F$100,MATCH(26,Registro!$T$2:$T$100,0)),"")</f>
        <v/>
      </c>
      <c r="D130" s="32" t="str">
        <f>IFERROR(INDEX(Registro!$B$2:$B$100,MATCH(26,Registro!$T$2:$T$100,0)),"")</f>
        <v/>
      </c>
      <c r="E130" s="32" t="str">
        <f>IFERROR(INDEX(Registro!$I$2:$I$100,MATCH(26,Registro!$T$2:$T$100,0)),"")</f>
        <v/>
      </c>
      <c r="F130" s="17">
        <v>1</v>
      </c>
      <c r="G130" s="21"/>
      <c r="H130" s="23"/>
      <c r="I130" s="17"/>
      <c r="J130" s="23"/>
      <c r="K130" s="19"/>
    </row>
    <row r="131" spans="1:11" ht="13.35" customHeight="1">
      <c r="A131" s="30"/>
      <c r="B131" s="31"/>
      <c r="C131" s="32"/>
      <c r="D131" s="32"/>
      <c r="E131" s="32"/>
      <c r="F131" s="17">
        <v>2</v>
      </c>
      <c r="G131" s="21"/>
      <c r="H131" s="23"/>
      <c r="I131" s="17"/>
      <c r="J131" s="23"/>
      <c r="K131" s="19"/>
    </row>
    <row r="132" spans="1:11" ht="13.35" customHeight="1">
      <c r="A132" s="30"/>
      <c r="B132" s="31"/>
      <c r="C132" s="32"/>
      <c r="D132" s="32"/>
      <c r="E132" s="32"/>
      <c r="F132" s="17">
        <v>3</v>
      </c>
      <c r="G132" s="21"/>
      <c r="H132" s="23"/>
      <c r="I132" s="17"/>
      <c r="J132" s="23"/>
      <c r="K132" s="19"/>
    </row>
    <row r="133" spans="1:11" ht="13.35" customHeight="1">
      <c r="A133" s="30"/>
      <c r="B133" s="31"/>
      <c r="C133" s="32"/>
      <c r="D133" s="32"/>
      <c r="E133" s="32"/>
      <c r="F133" s="17">
        <v>4</v>
      </c>
      <c r="G133" s="21"/>
      <c r="H133" s="23"/>
      <c r="I133" s="17"/>
      <c r="J133" s="23"/>
      <c r="K133" s="19"/>
    </row>
    <row r="134" spans="1:11" ht="13.35" customHeight="1">
      <c r="A134" s="30"/>
      <c r="B134" s="31"/>
      <c r="C134" s="32"/>
      <c r="D134" s="32"/>
      <c r="E134" s="32"/>
      <c r="F134" s="17">
        <v>5</v>
      </c>
      <c r="G134" s="21"/>
      <c r="H134" s="23"/>
      <c r="I134" s="17"/>
      <c r="J134" s="23"/>
      <c r="K134" s="19"/>
    </row>
    <row r="135" spans="1:11" ht="13.35" customHeight="1">
      <c r="A135" s="33" t="str">
        <f>IFERROR(IF(INDEX(Registro!$E$2:$E$100,MATCH(27,Registro!$T$2:$T$100,0))="","",27),"")</f>
        <v/>
      </c>
      <c r="B135" s="34" t="str">
        <f>IFERROR(INDEX(Registro!$E$2:$E$100,MATCH(27,Registro!$T$2:$T$100,0)),"")</f>
        <v/>
      </c>
      <c r="C135" s="35" t="str">
        <f>IFERROR(INDEX(Registro!$F$2:$F$100,MATCH(27,Registro!$T$2:$T$100,0)),"")</f>
        <v/>
      </c>
      <c r="D135" s="35" t="str">
        <f>IFERROR(INDEX(Registro!$B$2:$B$100,MATCH(27,Registro!$T$2:$T$100,0)),"")</f>
        <v/>
      </c>
      <c r="E135" s="35" t="str">
        <f>IFERROR(INDEX(Registro!$I$2:$I$100,MATCH(27,Registro!$T$2:$T$100,0)),"")</f>
        <v/>
      </c>
      <c r="F135" s="2">
        <v>1</v>
      </c>
      <c r="G135" s="20"/>
      <c r="H135" s="22"/>
      <c r="I135" s="2"/>
      <c r="J135" s="22"/>
      <c r="K135" s="18"/>
    </row>
    <row r="136" spans="1:11" ht="13.35" customHeight="1">
      <c r="A136" s="33"/>
      <c r="B136" s="34"/>
      <c r="C136" s="35"/>
      <c r="D136" s="35"/>
      <c r="E136" s="35"/>
      <c r="F136" s="2">
        <v>2</v>
      </c>
      <c r="G136" s="20"/>
      <c r="H136" s="22"/>
      <c r="I136" s="2"/>
      <c r="J136" s="22"/>
      <c r="K136" s="18"/>
    </row>
    <row r="137" spans="1:11" ht="13.35" customHeight="1">
      <c r="A137" s="33"/>
      <c r="B137" s="34"/>
      <c r="C137" s="35"/>
      <c r="D137" s="35"/>
      <c r="E137" s="35"/>
      <c r="F137" s="2">
        <v>3</v>
      </c>
      <c r="G137" s="20"/>
      <c r="H137" s="22"/>
      <c r="I137" s="2"/>
      <c r="J137" s="22"/>
      <c r="K137" s="18"/>
    </row>
    <row r="138" spans="1:11" ht="13.35" customHeight="1">
      <c r="A138" s="33"/>
      <c r="B138" s="34"/>
      <c r="C138" s="35"/>
      <c r="D138" s="35"/>
      <c r="E138" s="35"/>
      <c r="F138" s="2">
        <v>4</v>
      </c>
      <c r="G138" s="20"/>
      <c r="H138" s="22"/>
      <c r="I138" s="2"/>
      <c r="J138" s="22"/>
      <c r="K138" s="18"/>
    </row>
    <row r="139" spans="1:11" ht="13.35" customHeight="1">
      <c r="A139" s="33"/>
      <c r="B139" s="34"/>
      <c r="C139" s="35"/>
      <c r="D139" s="35"/>
      <c r="E139" s="35"/>
      <c r="F139" s="2">
        <v>5</v>
      </c>
      <c r="G139" s="20"/>
      <c r="H139" s="22"/>
      <c r="I139" s="2"/>
      <c r="J139" s="22"/>
      <c r="K139" s="18"/>
    </row>
    <row r="140" spans="1:11" ht="13.35" customHeight="1">
      <c r="A140" s="30" t="str">
        <f>IFERROR(IF(INDEX(Registro!$E$2:$E$100,MATCH(28,Registro!$T$2:$T$100,0))="","",28),"")</f>
        <v/>
      </c>
      <c r="B140" s="31" t="str">
        <f>IFERROR(INDEX(Registro!$E$2:$E$100,MATCH(28,Registro!$T$2:$T$100,0)),"")</f>
        <v/>
      </c>
      <c r="C140" s="32" t="str">
        <f>IFERROR(INDEX(Registro!$F$2:$F$100,MATCH(28,Registro!$T$2:$T$100,0)),"")</f>
        <v/>
      </c>
      <c r="D140" s="32" t="str">
        <f>IFERROR(INDEX(Registro!$B$2:$B$100,MATCH(28,Registro!$T$2:$T$100,0)),"")</f>
        <v/>
      </c>
      <c r="E140" s="32" t="str">
        <f>IFERROR(INDEX(Registro!$I$2:$I$100,MATCH(28,Registro!$T$2:$T$100,0)),"")</f>
        <v/>
      </c>
      <c r="F140" s="17">
        <v>1</v>
      </c>
      <c r="G140" s="21"/>
      <c r="H140" s="23"/>
      <c r="I140" s="17"/>
      <c r="J140" s="23"/>
      <c r="K140" s="19"/>
    </row>
    <row r="141" spans="1:11" ht="13.35" customHeight="1">
      <c r="A141" s="30"/>
      <c r="B141" s="31"/>
      <c r="C141" s="32"/>
      <c r="D141" s="32"/>
      <c r="E141" s="32"/>
      <c r="F141" s="17">
        <v>2</v>
      </c>
      <c r="G141" s="21"/>
      <c r="H141" s="23"/>
      <c r="I141" s="17"/>
      <c r="J141" s="23"/>
      <c r="K141" s="19"/>
    </row>
    <row r="142" spans="1:11" ht="13.35" customHeight="1">
      <c r="A142" s="30"/>
      <c r="B142" s="31"/>
      <c r="C142" s="32"/>
      <c r="D142" s="32"/>
      <c r="E142" s="32"/>
      <c r="F142" s="17">
        <v>3</v>
      </c>
      <c r="G142" s="21"/>
      <c r="H142" s="23"/>
      <c r="I142" s="17"/>
      <c r="J142" s="23"/>
      <c r="K142" s="19"/>
    </row>
    <row r="143" spans="1:11" ht="13.35" customHeight="1">
      <c r="A143" s="30"/>
      <c r="B143" s="31"/>
      <c r="C143" s="32"/>
      <c r="D143" s="32"/>
      <c r="E143" s="32"/>
      <c r="F143" s="17">
        <v>4</v>
      </c>
      <c r="G143" s="21"/>
      <c r="H143" s="23"/>
      <c r="I143" s="17"/>
      <c r="J143" s="23"/>
      <c r="K143" s="19"/>
    </row>
    <row r="144" spans="1:11" ht="13.35" customHeight="1">
      <c r="A144" s="30"/>
      <c r="B144" s="31"/>
      <c r="C144" s="32"/>
      <c r="D144" s="32"/>
      <c r="E144" s="32"/>
      <c r="F144" s="17">
        <v>5</v>
      </c>
      <c r="G144" s="21"/>
      <c r="H144" s="23"/>
      <c r="I144" s="17"/>
      <c r="J144" s="23"/>
      <c r="K144" s="19"/>
    </row>
    <row r="145" spans="1:11" ht="13.35" customHeight="1">
      <c r="A145" s="33" t="str">
        <f>IFERROR(IF(INDEX(Registro!$E$2:$E$100,MATCH(29,Registro!$T$2:$T$100,0))="","",29),"")</f>
        <v/>
      </c>
      <c r="B145" s="34" t="str">
        <f>IFERROR(INDEX(Registro!$E$2:$E$100,MATCH(29,Registro!$T$2:$T$100,0)),"")</f>
        <v/>
      </c>
      <c r="C145" s="35" t="str">
        <f>IFERROR(INDEX(Registro!$F$2:$F$100,MATCH(29,Registro!$T$2:$T$100,0)),"")</f>
        <v/>
      </c>
      <c r="D145" s="35" t="str">
        <f>IFERROR(INDEX(Registro!$B$2:$B$100,MATCH(29,Registro!$T$2:$T$100,0)),"")</f>
        <v/>
      </c>
      <c r="E145" s="35" t="str">
        <f>IFERROR(INDEX(Registro!$I$2:$I$100,MATCH(29,Registro!$T$2:$T$100,0)),"")</f>
        <v/>
      </c>
      <c r="F145" s="2">
        <v>1</v>
      </c>
      <c r="G145" s="20"/>
      <c r="H145" s="22"/>
      <c r="I145" s="2"/>
      <c r="J145" s="22"/>
      <c r="K145" s="18"/>
    </row>
    <row r="146" spans="1:11" ht="13.35" customHeight="1">
      <c r="A146" s="33"/>
      <c r="B146" s="34"/>
      <c r="C146" s="35"/>
      <c r="D146" s="35"/>
      <c r="E146" s="35"/>
      <c r="F146" s="2">
        <v>2</v>
      </c>
      <c r="G146" s="20"/>
      <c r="H146" s="22"/>
      <c r="I146" s="2"/>
      <c r="J146" s="22"/>
      <c r="K146" s="18"/>
    </row>
    <row r="147" spans="1:11" ht="13.35" customHeight="1">
      <c r="A147" s="33"/>
      <c r="B147" s="34"/>
      <c r="C147" s="35"/>
      <c r="D147" s="35"/>
      <c r="E147" s="35"/>
      <c r="F147" s="2">
        <v>3</v>
      </c>
      <c r="G147" s="20"/>
      <c r="H147" s="22"/>
      <c r="I147" s="2"/>
      <c r="J147" s="22"/>
      <c r="K147" s="18"/>
    </row>
    <row r="148" spans="1:11" ht="13.35" customHeight="1">
      <c r="A148" s="33"/>
      <c r="B148" s="34"/>
      <c r="C148" s="35"/>
      <c r="D148" s="35"/>
      <c r="E148" s="35"/>
      <c r="F148" s="2">
        <v>4</v>
      </c>
      <c r="G148" s="20"/>
      <c r="H148" s="22"/>
      <c r="I148" s="2"/>
      <c r="J148" s="22"/>
      <c r="K148" s="18"/>
    </row>
    <row r="149" spans="1:11" ht="13.35" customHeight="1">
      <c r="A149" s="33"/>
      <c r="B149" s="34"/>
      <c r="C149" s="35"/>
      <c r="D149" s="35"/>
      <c r="E149" s="35"/>
      <c r="F149" s="2">
        <v>5</v>
      </c>
      <c r="G149" s="20"/>
      <c r="H149" s="22"/>
      <c r="I149" s="2"/>
      <c r="J149" s="22"/>
      <c r="K149" s="18"/>
    </row>
    <row r="150" spans="1:11" ht="13.35" customHeight="1">
      <c r="A150" s="30" t="str">
        <f>IFERROR(IF(INDEX(Registro!$E$2:$E$100,MATCH(30,Registro!$T$2:$T$100,0))="","",30),"")</f>
        <v/>
      </c>
      <c r="B150" s="31" t="str">
        <f>IFERROR(INDEX(Registro!$E$2:$E$100,MATCH(30,Registro!$T$2:$T$100,0)),"")</f>
        <v/>
      </c>
      <c r="C150" s="32" t="str">
        <f>IFERROR(INDEX(Registro!$F$2:$F$100,MATCH(30,Registro!$T$2:$T$100,0)),"")</f>
        <v/>
      </c>
      <c r="D150" s="32" t="str">
        <f>IFERROR(INDEX(Registro!$B$2:$B$100,MATCH(30,Registro!$T$2:$T$100,0)),"")</f>
        <v/>
      </c>
      <c r="E150" s="32" t="str">
        <f>IFERROR(INDEX(Registro!$I$2:$I$100,MATCH(30,Registro!$T$2:$T$100,0)),"")</f>
        <v/>
      </c>
      <c r="F150" s="17">
        <v>1</v>
      </c>
      <c r="G150" s="21"/>
      <c r="H150" s="23"/>
      <c r="I150" s="17"/>
      <c r="J150" s="23"/>
      <c r="K150" s="19"/>
    </row>
    <row r="151" spans="1:11" ht="13.35" customHeight="1">
      <c r="A151" s="30"/>
      <c r="B151" s="31"/>
      <c r="C151" s="32"/>
      <c r="D151" s="32"/>
      <c r="E151" s="32"/>
      <c r="F151" s="17">
        <v>2</v>
      </c>
      <c r="G151" s="21"/>
      <c r="H151" s="23"/>
      <c r="I151" s="17"/>
      <c r="J151" s="23"/>
      <c r="K151" s="19"/>
    </row>
    <row r="152" spans="1:11" ht="13.35" customHeight="1">
      <c r="A152" s="30"/>
      <c r="B152" s="31"/>
      <c r="C152" s="32"/>
      <c r="D152" s="32"/>
      <c r="E152" s="32"/>
      <c r="F152" s="17">
        <v>3</v>
      </c>
      <c r="G152" s="21"/>
      <c r="H152" s="23"/>
      <c r="I152" s="17"/>
      <c r="J152" s="23"/>
      <c r="K152" s="19"/>
    </row>
    <row r="153" spans="1:11" ht="13.35" customHeight="1">
      <c r="A153" s="30"/>
      <c r="B153" s="31"/>
      <c r="C153" s="32"/>
      <c r="D153" s="32"/>
      <c r="E153" s="32"/>
      <c r="F153" s="17">
        <v>4</v>
      </c>
      <c r="G153" s="21"/>
      <c r="H153" s="23"/>
      <c r="I153" s="17"/>
      <c r="J153" s="23"/>
      <c r="K153" s="19"/>
    </row>
    <row r="154" spans="1:11" ht="13.35" customHeight="1">
      <c r="A154" s="30"/>
      <c r="B154" s="31"/>
      <c r="C154" s="32"/>
      <c r="D154" s="32"/>
      <c r="E154" s="32"/>
      <c r="F154" s="17">
        <v>5</v>
      </c>
      <c r="G154" s="21"/>
      <c r="H154" s="23"/>
      <c r="I154" s="17"/>
      <c r="J154" s="23"/>
      <c r="K154" s="19"/>
    </row>
    <row r="156" spans="1:11" ht="15.75">
      <c r="A156" s="24" t="s">
        <v>46</v>
      </c>
      <c r="B156" s="24"/>
      <c r="C156" s="24"/>
      <c r="D156" s="24"/>
      <c r="E156" s="24"/>
      <c r="F156" s="24"/>
      <c r="G156" s="24"/>
      <c r="H156" s="24"/>
      <c r="I156" s="24"/>
      <c r="J156" s="24"/>
    </row>
    <row r="157" spans="1:11" ht="20.100000000000001" customHeight="1">
      <c r="A157" s="25" t="s">
        <v>0</v>
      </c>
      <c r="B157" s="25" t="s">
        <v>4</v>
      </c>
      <c r="C157" s="25" t="s">
        <v>5</v>
      </c>
      <c r="D157" s="25" t="s">
        <v>1</v>
      </c>
      <c r="E157" s="25" t="s">
        <v>8</v>
      </c>
      <c r="F157" s="25" t="s">
        <v>47</v>
      </c>
      <c r="G157" s="25" t="s">
        <v>48</v>
      </c>
      <c r="H157" s="25" t="s">
        <v>49</v>
      </c>
      <c r="I157" s="25" t="s">
        <v>37</v>
      </c>
      <c r="J157" s="25" t="s">
        <v>50</v>
      </c>
    </row>
    <row r="158" spans="1:11" ht="13.35" customHeight="1">
      <c r="A158" s="2">
        <f>IF(B158="","",1)</f>
        <v>1</v>
      </c>
      <c r="B158" s="26" t="str">
        <f>$B$5</f>
        <v>=SI.ERROR(INDICE(Registro!$E$2:$E$100;COINCIDIR(1;Registro!$T$2:$T$100;0));"")</v>
      </c>
      <c r="C158" s="16" t="str">
        <f>$C$5</f>
        <v/>
      </c>
      <c r="D158" s="16" t="str">
        <f>$D$5</f>
        <v/>
      </c>
      <c r="E158" s="16" t="str">
        <f>$E$5</f>
        <v/>
      </c>
      <c r="F158" s="2" t="e">
        <f>IF($B158="","",SUM(#REF!))</f>
        <v>#REF!</v>
      </c>
      <c r="G158" s="2">
        <f>IF($B158="","",SUM(H5:H9))</f>
        <v>0</v>
      </c>
      <c r="H158" s="27" t="str">
        <f>IFERROR(AVERAGE(J5:J9),"")</f>
        <v/>
      </c>
      <c r="I158" s="28"/>
      <c r="J158" s="29"/>
    </row>
    <row r="159" spans="1:11" ht="13.35" customHeight="1">
      <c r="A159" s="2" t="str">
        <f>IF(B159="","",2)</f>
        <v/>
      </c>
      <c r="B159" s="26" t="str">
        <f>$B$10</f>
        <v/>
      </c>
      <c r="C159" s="16" t="str">
        <f>$C$10</f>
        <v/>
      </c>
      <c r="D159" s="16" t="str">
        <f>$D$10</f>
        <v/>
      </c>
      <c r="E159" s="16" t="str">
        <f>$E$10</f>
        <v/>
      </c>
      <c r="F159" s="2" t="str">
        <f>IF($B159="","",SUM(#REF!))</f>
        <v/>
      </c>
      <c r="G159" s="2" t="str">
        <f>IF($B159="","",SUM(H10:H14))</f>
        <v/>
      </c>
      <c r="H159" s="27" t="str">
        <f>IFERROR(AVERAGE(J10:J14),"")</f>
        <v/>
      </c>
      <c r="I159" s="28"/>
      <c r="J159" s="29"/>
    </row>
    <row r="160" spans="1:11" ht="13.35" customHeight="1">
      <c r="A160" s="2" t="str">
        <f>IF(B160="","",3)</f>
        <v/>
      </c>
      <c r="B160" s="26" t="str">
        <f>$B$15</f>
        <v/>
      </c>
      <c r="C160" s="16" t="str">
        <f>$C$15</f>
        <v/>
      </c>
      <c r="D160" s="16" t="str">
        <f>$D$15</f>
        <v/>
      </c>
      <c r="E160" s="16" t="str">
        <f>$E$15</f>
        <v/>
      </c>
      <c r="F160" s="2" t="str">
        <f>IF($B160="","",SUM(#REF!))</f>
        <v/>
      </c>
      <c r="G160" s="2" t="str">
        <f>IF($B160="","",SUM(H15:H19))</f>
        <v/>
      </c>
      <c r="H160" s="27" t="str">
        <f>IFERROR(AVERAGE(J15:J19),"")</f>
        <v/>
      </c>
      <c r="I160" s="28"/>
      <c r="J160" s="29"/>
    </row>
    <row r="161" spans="1:10" ht="13.35" customHeight="1">
      <c r="A161" s="2" t="str">
        <f>IF(B161="","",4)</f>
        <v/>
      </c>
      <c r="B161" s="26" t="str">
        <f>$B$20</f>
        <v/>
      </c>
      <c r="C161" s="16" t="str">
        <f>$C$20</f>
        <v/>
      </c>
      <c r="D161" s="16" t="str">
        <f>$D$20</f>
        <v/>
      </c>
      <c r="E161" s="16" t="str">
        <f>$E$20</f>
        <v/>
      </c>
      <c r="F161" s="2" t="str">
        <f>IF($B161="","",SUM(#REF!))</f>
        <v/>
      </c>
      <c r="G161" s="2" t="str">
        <f>IF($B161="","",SUM(H20:H24))</f>
        <v/>
      </c>
      <c r="H161" s="27" t="str">
        <f>IFERROR(AVERAGE(J20:J24),"")</f>
        <v/>
      </c>
      <c r="I161" s="28"/>
      <c r="J161" s="29"/>
    </row>
    <row r="162" spans="1:10" ht="13.35" customHeight="1">
      <c r="A162" s="2" t="str">
        <f>IF(B162="","",5)</f>
        <v/>
      </c>
      <c r="B162" s="26" t="str">
        <f>$B$25</f>
        <v/>
      </c>
      <c r="C162" s="16" t="str">
        <f>$C$25</f>
        <v/>
      </c>
      <c r="D162" s="16" t="str">
        <f>$D$25</f>
        <v/>
      </c>
      <c r="E162" s="16" t="str">
        <f>$E$25</f>
        <v/>
      </c>
      <c r="F162" s="2" t="str">
        <f>IF($B162="","",SUM(#REF!))</f>
        <v/>
      </c>
      <c r="G162" s="2" t="str">
        <f>IF($B162="","",SUM(H25:H29))</f>
        <v/>
      </c>
      <c r="H162" s="27" t="str">
        <f>IFERROR(AVERAGE(J25:J29),"")</f>
        <v/>
      </c>
      <c r="I162" s="28"/>
      <c r="J162" s="29"/>
    </row>
    <row r="163" spans="1:10" ht="13.35" customHeight="1">
      <c r="A163" s="2" t="str">
        <f>IF(B163="","",6)</f>
        <v/>
      </c>
      <c r="B163" s="26" t="str">
        <f>$B$30</f>
        <v/>
      </c>
      <c r="C163" s="16" t="str">
        <f>$C$30</f>
        <v/>
      </c>
      <c r="D163" s="16" t="str">
        <f>$D$30</f>
        <v/>
      </c>
      <c r="E163" s="16" t="str">
        <f>$E$30</f>
        <v/>
      </c>
      <c r="F163" s="2" t="str">
        <f>IF($B163="","",SUM(#REF!))</f>
        <v/>
      </c>
      <c r="G163" s="2" t="str">
        <f>IF($B163="","",SUM(H30:H34))</f>
        <v/>
      </c>
      <c r="H163" s="27" t="str">
        <f>IFERROR(AVERAGE(J30:J34),"")</f>
        <v/>
      </c>
      <c r="I163" s="28"/>
      <c r="J163" s="29"/>
    </row>
    <row r="164" spans="1:10" ht="13.35" customHeight="1">
      <c r="A164" s="2" t="str">
        <f>IF(B164="","",7)</f>
        <v/>
      </c>
      <c r="B164" s="26" t="str">
        <f>$B$35</f>
        <v/>
      </c>
      <c r="C164" s="16" t="str">
        <f>$C$35</f>
        <v/>
      </c>
      <c r="D164" s="16" t="str">
        <f>$D$35</f>
        <v/>
      </c>
      <c r="E164" s="16" t="str">
        <f>$E$35</f>
        <v/>
      </c>
      <c r="F164" s="2" t="str">
        <f>IF($B164="","",SUM(#REF!))</f>
        <v/>
      </c>
      <c r="G164" s="2" t="str">
        <f>IF($B164="","",SUM(H35:H39))</f>
        <v/>
      </c>
      <c r="H164" s="27" t="str">
        <f>IFERROR(AVERAGE(J35:J39),"")</f>
        <v/>
      </c>
      <c r="I164" s="28"/>
      <c r="J164" s="29"/>
    </row>
    <row r="165" spans="1:10" ht="13.35" customHeight="1">
      <c r="A165" s="2" t="str">
        <f>IF(B165="","",8)</f>
        <v/>
      </c>
      <c r="B165" s="26" t="str">
        <f>$B$40</f>
        <v/>
      </c>
      <c r="C165" s="16" t="str">
        <f>$C$40</f>
        <v/>
      </c>
      <c r="D165" s="16" t="str">
        <f>$D$40</f>
        <v/>
      </c>
      <c r="E165" s="16" t="str">
        <f>$E$40</f>
        <v/>
      </c>
      <c r="F165" s="2" t="str">
        <f>IF($B165="","",SUM(#REF!))</f>
        <v/>
      </c>
      <c r="G165" s="2" t="str">
        <f>IF($B165="","",SUM(H40:H44))</f>
        <v/>
      </c>
      <c r="H165" s="27" t="str">
        <f>IFERROR(AVERAGE(J40:J44),"")</f>
        <v/>
      </c>
      <c r="I165" s="28"/>
      <c r="J165" s="29"/>
    </row>
    <row r="166" spans="1:10" ht="13.35" customHeight="1">
      <c r="A166" s="2" t="str">
        <f>IF(B166="","",9)</f>
        <v/>
      </c>
      <c r="B166" s="26" t="str">
        <f>$B$45</f>
        <v/>
      </c>
      <c r="C166" s="16" t="str">
        <f>$C$45</f>
        <v/>
      </c>
      <c r="D166" s="16" t="str">
        <f>$D$45</f>
        <v/>
      </c>
      <c r="E166" s="16" t="str">
        <f>$E$45</f>
        <v/>
      </c>
      <c r="F166" s="2" t="str">
        <f>IF($B166="","",SUM(#REF!))</f>
        <v/>
      </c>
      <c r="G166" s="2" t="str">
        <f>IF($B166="","",SUM(H45:H49))</f>
        <v/>
      </c>
      <c r="H166" s="27" t="str">
        <f>IFERROR(AVERAGE(J45:J49),"")</f>
        <v/>
      </c>
      <c r="I166" s="28"/>
      <c r="J166" s="29"/>
    </row>
    <row r="167" spans="1:10" ht="13.35" customHeight="1">
      <c r="A167" s="2" t="str">
        <f>IF(B167="","",10)</f>
        <v/>
      </c>
      <c r="B167" s="26" t="str">
        <f>$B$50</f>
        <v/>
      </c>
      <c r="C167" s="16" t="str">
        <f>$C$50</f>
        <v/>
      </c>
      <c r="D167" s="16" t="str">
        <f>$D$50</f>
        <v/>
      </c>
      <c r="E167" s="16" t="str">
        <f>$E$50</f>
        <v/>
      </c>
      <c r="F167" s="2" t="str">
        <f>IF($B167="","",SUM(#REF!))</f>
        <v/>
      </c>
      <c r="G167" s="2" t="str">
        <f>IF($B167="","",SUM(H50:H54))</f>
        <v/>
      </c>
      <c r="H167" s="27" t="str">
        <f>IFERROR(AVERAGE(J50:J54),"")</f>
        <v/>
      </c>
      <c r="I167" s="28"/>
      <c r="J167" s="29"/>
    </row>
    <row r="168" spans="1:10" ht="13.35" customHeight="1">
      <c r="A168" s="2" t="str">
        <f>IF(B168="","",11)</f>
        <v/>
      </c>
      <c r="B168" s="26" t="str">
        <f>$B$55</f>
        <v/>
      </c>
      <c r="C168" s="16" t="str">
        <f>$C$55</f>
        <v/>
      </c>
      <c r="D168" s="16" t="str">
        <f>$D$55</f>
        <v/>
      </c>
      <c r="E168" s="16" t="str">
        <f>$E$55</f>
        <v/>
      </c>
      <c r="F168" s="2" t="str">
        <f>IF($B168="","",SUM(#REF!))</f>
        <v/>
      </c>
      <c r="G168" s="2" t="str">
        <f>IF($B168="","",SUM(H55:H59))</f>
        <v/>
      </c>
      <c r="H168" s="27" t="str">
        <f>IFERROR(AVERAGE(J55:J59),"")</f>
        <v/>
      </c>
      <c r="I168" s="28"/>
      <c r="J168" s="29"/>
    </row>
    <row r="169" spans="1:10" ht="13.35" customHeight="1">
      <c r="A169" s="2" t="str">
        <f>IF(B169="","",12)</f>
        <v/>
      </c>
      <c r="B169" s="26" t="str">
        <f>$B$60</f>
        <v/>
      </c>
      <c r="C169" s="16" t="str">
        <f>$C$60</f>
        <v/>
      </c>
      <c r="D169" s="16" t="str">
        <f>$D$60</f>
        <v/>
      </c>
      <c r="E169" s="16" t="str">
        <f>$E$60</f>
        <v/>
      </c>
      <c r="F169" s="2" t="str">
        <f>IF($B169="","",SUM(#REF!))</f>
        <v/>
      </c>
      <c r="G169" s="2" t="str">
        <f>IF($B169="","",SUM(H60:H64))</f>
        <v/>
      </c>
      <c r="H169" s="27" t="str">
        <f>IFERROR(AVERAGE(J60:J64),"")</f>
        <v/>
      </c>
      <c r="I169" s="28"/>
      <c r="J169" s="29"/>
    </row>
    <row r="170" spans="1:10" ht="13.35" customHeight="1">
      <c r="A170" s="2" t="str">
        <f>IF(B170="","",13)</f>
        <v/>
      </c>
      <c r="B170" s="26" t="str">
        <f>$B$65</f>
        <v/>
      </c>
      <c r="C170" s="16" t="str">
        <f>$C$65</f>
        <v/>
      </c>
      <c r="D170" s="16" t="str">
        <f>$D$65</f>
        <v/>
      </c>
      <c r="E170" s="16" t="str">
        <f>$E$65</f>
        <v/>
      </c>
      <c r="F170" s="2" t="str">
        <f>IF($B170="","",SUM(#REF!))</f>
        <v/>
      </c>
      <c r="G170" s="2" t="str">
        <f>IF($B170="","",SUM(H65:H69))</f>
        <v/>
      </c>
      <c r="H170" s="27" t="str">
        <f>IFERROR(AVERAGE(J65:J69),"")</f>
        <v/>
      </c>
      <c r="I170" s="28"/>
      <c r="J170" s="29"/>
    </row>
    <row r="171" spans="1:10" ht="13.35" customHeight="1">
      <c r="A171" s="2" t="str">
        <f>IF(B171="","",14)</f>
        <v/>
      </c>
      <c r="B171" s="26" t="str">
        <f>$B$70</f>
        <v/>
      </c>
      <c r="C171" s="16" t="str">
        <f>$C$70</f>
        <v/>
      </c>
      <c r="D171" s="16" t="str">
        <f>$D$70</f>
        <v/>
      </c>
      <c r="E171" s="16" t="str">
        <f>$E$70</f>
        <v/>
      </c>
      <c r="F171" s="2" t="str">
        <f>IF($B171="","",SUM(#REF!))</f>
        <v/>
      </c>
      <c r="G171" s="2" t="str">
        <f>IF($B171="","",SUM(H70:H74))</f>
        <v/>
      </c>
      <c r="H171" s="27" t="str">
        <f>IFERROR(AVERAGE(J70:J74),"")</f>
        <v/>
      </c>
      <c r="I171" s="28"/>
      <c r="J171" s="29"/>
    </row>
    <row r="172" spans="1:10" ht="13.35" customHeight="1">
      <c r="A172" s="2" t="str">
        <f>IF(B172="","",15)</f>
        <v/>
      </c>
      <c r="B172" s="26" t="str">
        <f>$B$75</f>
        <v/>
      </c>
      <c r="C172" s="16" t="str">
        <f>$C$75</f>
        <v/>
      </c>
      <c r="D172" s="16" t="str">
        <f>$D$75</f>
        <v/>
      </c>
      <c r="E172" s="16" t="str">
        <f>$E$75</f>
        <v/>
      </c>
      <c r="F172" s="2" t="str">
        <f>IF($B172="","",SUM(#REF!))</f>
        <v/>
      </c>
      <c r="G172" s="2" t="str">
        <f>IF($B172="","",SUM(H75:H79))</f>
        <v/>
      </c>
      <c r="H172" s="27" t="str">
        <f>IFERROR(AVERAGE(J75:J79),"")</f>
        <v/>
      </c>
      <c r="I172" s="28"/>
      <c r="J172" s="29"/>
    </row>
    <row r="173" spans="1:10" ht="13.35" customHeight="1">
      <c r="A173" s="2" t="str">
        <f>IF(B173="","",16)</f>
        <v/>
      </c>
      <c r="B173" s="26" t="str">
        <f>$B$80</f>
        <v/>
      </c>
      <c r="C173" s="16" t="str">
        <f>$C$80</f>
        <v/>
      </c>
      <c r="D173" s="16" t="str">
        <f>$D$80</f>
        <v/>
      </c>
      <c r="E173" s="16" t="str">
        <f>$E$80</f>
        <v/>
      </c>
      <c r="F173" s="2" t="str">
        <f>IF($B173="","",SUM(#REF!))</f>
        <v/>
      </c>
      <c r="G173" s="2" t="str">
        <f>IF($B173="","",SUM(H80:H84))</f>
        <v/>
      </c>
      <c r="H173" s="27" t="str">
        <f>IFERROR(AVERAGE(J80:J84),"")</f>
        <v/>
      </c>
      <c r="I173" s="28"/>
      <c r="J173" s="29"/>
    </row>
    <row r="174" spans="1:10" ht="13.35" customHeight="1">
      <c r="A174" s="2" t="str">
        <f>IF(B174="","",17)</f>
        <v/>
      </c>
      <c r="B174" s="26" t="str">
        <f>$B$85</f>
        <v/>
      </c>
      <c r="C174" s="16" t="str">
        <f>$C$85</f>
        <v/>
      </c>
      <c r="D174" s="16" t="str">
        <f>$D$85</f>
        <v/>
      </c>
      <c r="E174" s="16" t="str">
        <f>$E$85</f>
        <v/>
      </c>
      <c r="F174" s="2" t="str">
        <f>IF($B174="","",SUM(#REF!))</f>
        <v/>
      </c>
      <c r="G174" s="2" t="str">
        <f>IF($B174="","",SUM(H85:H89))</f>
        <v/>
      </c>
      <c r="H174" s="27" t="str">
        <f>IFERROR(AVERAGE(J85:J89),"")</f>
        <v/>
      </c>
      <c r="I174" s="28"/>
      <c r="J174" s="29"/>
    </row>
    <row r="175" spans="1:10" ht="13.35" customHeight="1">
      <c r="A175" s="2" t="str">
        <f>IF(B175="","",18)</f>
        <v/>
      </c>
      <c r="B175" s="26" t="str">
        <f>$B$90</f>
        <v/>
      </c>
      <c r="C175" s="16" t="str">
        <f>$C$90</f>
        <v/>
      </c>
      <c r="D175" s="16" t="str">
        <f>$D$90</f>
        <v/>
      </c>
      <c r="E175" s="16" t="str">
        <f>$E$90</f>
        <v/>
      </c>
      <c r="F175" s="2" t="str">
        <f>IF($B175="","",SUM(#REF!))</f>
        <v/>
      </c>
      <c r="G175" s="2" t="str">
        <f>IF($B175="","",SUM(H90:H94))</f>
        <v/>
      </c>
      <c r="H175" s="27" t="str">
        <f>IFERROR(AVERAGE(J90:J94),"")</f>
        <v/>
      </c>
      <c r="I175" s="28"/>
      <c r="J175" s="29"/>
    </row>
    <row r="176" spans="1:10" ht="13.35" customHeight="1">
      <c r="A176" s="2" t="str">
        <f>IF(B176="","",19)</f>
        <v/>
      </c>
      <c r="B176" s="26" t="str">
        <f>$B$95</f>
        <v/>
      </c>
      <c r="C176" s="16" t="str">
        <f>$C$95</f>
        <v/>
      </c>
      <c r="D176" s="16" t="str">
        <f>$D$95</f>
        <v/>
      </c>
      <c r="E176" s="16" t="str">
        <f>$E$95</f>
        <v/>
      </c>
      <c r="F176" s="2" t="str">
        <f>IF($B176="","",SUM(#REF!))</f>
        <v/>
      </c>
      <c r="G176" s="2" t="str">
        <f>IF($B176="","",SUM(H95:H99))</f>
        <v/>
      </c>
      <c r="H176" s="27" t="str">
        <f>IFERROR(AVERAGE(J95:J99),"")</f>
        <v/>
      </c>
      <c r="I176" s="28"/>
      <c r="J176" s="29"/>
    </row>
    <row r="177" spans="1:10" ht="13.35" customHeight="1">
      <c r="A177" s="2" t="str">
        <f>IF(B177="","",20)</f>
        <v/>
      </c>
      <c r="B177" s="26" t="str">
        <f>$B$100</f>
        <v/>
      </c>
      <c r="C177" s="16" t="str">
        <f>$C$100</f>
        <v/>
      </c>
      <c r="D177" s="16" t="str">
        <f>$D$100</f>
        <v/>
      </c>
      <c r="E177" s="16" t="str">
        <f>$E$100</f>
        <v/>
      </c>
      <c r="F177" s="2" t="str">
        <f>IF($B177="","",SUM(#REF!))</f>
        <v/>
      </c>
      <c r="G177" s="2" t="str">
        <f>IF($B177="","",SUM(H100:H104))</f>
        <v/>
      </c>
      <c r="H177" s="27" t="str">
        <f>IFERROR(AVERAGE(J100:J104),"")</f>
        <v/>
      </c>
      <c r="I177" s="28"/>
      <c r="J177" s="29"/>
    </row>
    <row r="178" spans="1:10" ht="13.35" customHeight="1">
      <c r="A178" s="2" t="str">
        <f>IF(B178="","",21)</f>
        <v/>
      </c>
      <c r="B178" s="26" t="str">
        <f>$B$105</f>
        <v/>
      </c>
      <c r="C178" s="16" t="str">
        <f>$C$105</f>
        <v/>
      </c>
      <c r="D178" s="16" t="str">
        <f>$D$105</f>
        <v/>
      </c>
      <c r="E178" s="16" t="str">
        <f>$E$105</f>
        <v/>
      </c>
      <c r="F178" s="2" t="str">
        <f>IF($B178="","",SUM(#REF!))</f>
        <v/>
      </c>
      <c r="G178" s="2" t="str">
        <f>IF($B178="","",SUM(H105:H109))</f>
        <v/>
      </c>
      <c r="H178" s="27" t="str">
        <f>IFERROR(AVERAGE(J105:J109),"")</f>
        <v/>
      </c>
      <c r="I178" s="28"/>
      <c r="J178" s="29"/>
    </row>
    <row r="179" spans="1:10" ht="13.35" customHeight="1">
      <c r="A179" s="2" t="str">
        <f>IF(B179="","",22)</f>
        <v/>
      </c>
      <c r="B179" s="26" t="str">
        <f>$B$110</f>
        <v/>
      </c>
      <c r="C179" s="16" t="str">
        <f>$C$110</f>
        <v/>
      </c>
      <c r="D179" s="16" t="str">
        <f>$D$110</f>
        <v/>
      </c>
      <c r="E179" s="16" t="str">
        <f>$E$110</f>
        <v/>
      </c>
      <c r="F179" s="2" t="str">
        <f>IF($B179="","",SUM(#REF!))</f>
        <v/>
      </c>
      <c r="G179" s="2" t="str">
        <f>IF($B179="","",SUM(H110:H114))</f>
        <v/>
      </c>
      <c r="H179" s="27" t="str">
        <f>IFERROR(AVERAGE(J110:J114),"")</f>
        <v/>
      </c>
      <c r="I179" s="28"/>
      <c r="J179" s="29"/>
    </row>
    <row r="180" spans="1:10" ht="13.35" customHeight="1">
      <c r="A180" s="2" t="str">
        <f>IF(B180="","",23)</f>
        <v/>
      </c>
      <c r="B180" s="26" t="str">
        <f>$B$115</f>
        <v/>
      </c>
      <c r="C180" s="16" t="str">
        <f>$C$115</f>
        <v/>
      </c>
      <c r="D180" s="16" t="str">
        <f>$D$115</f>
        <v/>
      </c>
      <c r="E180" s="16" t="str">
        <f>$E$115</f>
        <v/>
      </c>
      <c r="F180" s="2" t="str">
        <f>IF($B180="","",SUM(#REF!))</f>
        <v/>
      </c>
      <c r="G180" s="2" t="str">
        <f>IF($B180="","",SUM(H115:H119))</f>
        <v/>
      </c>
      <c r="H180" s="27" t="str">
        <f>IFERROR(AVERAGE(J115:J119),"")</f>
        <v/>
      </c>
      <c r="I180" s="28"/>
      <c r="J180" s="29"/>
    </row>
    <row r="181" spans="1:10" ht="13.35" customHeight="1">
      <c r="A181" s="2" t="str">
        <f>IF(B181="","",24)</f>
        <v/>
      </c>
      <c r="B181" s="26" t="str">
        <f>$B$120</f>
        <v/>
      </c>
      <c r="C181" s="16" t="str">
        <f>$C$120</f>
        <v/>
      </c>
      <c r="D181" s="16" t="str">
        <f>$D$120</f>
        <v/>
      </c>
      <c r="E181" s="16" t="str">
        <f>$E$120</f>
        <v/>
      </c>
      <c r="F181" s="2" t="str">
        <f>IF($B181="","",SUM(#REF!))</f>
        <v/>
      </c>
      <c r="G181" s="2" t="str">
        <f>IF($B181="","",SUM(H120:H124))</f>
        <v/>
      </c>
      <c r="H181" s="27" t="str">
        <f>IFERROR(AVERAGE(J120:J124),"")</f>
        <v/>
      </c>
      <c r="I181" s="28"/>
      <c r="J181" s="29"/>
    </row>
    <row r="182" spans="1:10" ht="13.35" customHeight="1">
      <c r="A182" s="2" t="str">
        <f>IF(B182="","",25)</f>
        <v/>
      </c>
      <c r="B182" s="26" t="str">
        <f>$B$125</f>
        <v/>
      </c>
      <c r="C182" s="16" t="str">
        <f>$C$125</f>
        <v/>
      </c>
      <c r="D182" s="16" t="str">
        <f>$D$125</f>
        <v/>
      </c>
      <c r="E182" s="16" t="str">
        <f>$E$125</f>
        <v/>
      </c>
      <c r="F182" s="2" t="str">
        <f>IF($B182="","",SUM(#REF!))</f>
        <v/>
      </c>
      <c r="G182" s="2" t="str">
        <f>IF($B182="","",SUM(H125:H129))</f>
        <v/>
      </c>
      <c r="H182" s="27" t="str">
        <f>IFERROR(AVERAGE(J125:J129),"")</f>
        <v/>
      </c>
      <c r="I182" s="28"/>
      <c r="J182" s="29"/>
    </row>
    <row r="183" spans="1:10" ht="13.35" customHeight="1">
      <c r="A183" s="2" t="str">
        <f>IF(B183="","",26)</f>
        <v/>
      </c>
      <c r="B183" s="26" t="str">
        <f>$B$130</f>
        <v/>
      </c>
      <c r="C183" s="16" t="str">
        <f>$C$130</f>
        <v/>
      </c>
      <c r="D183" s="16" t="str">
        <f>$D$130</f>
        <v/>
      </c>
      <c r="E183" s="16" t="str">
        <f>$E$130</f>
        <v/>
      </c>
      <c r="F183" s="2" t="str">
        <f>IF($B183="","",SUM(#REF!))</f>
        <v/>
      </c>
      <c r="G183" s="2" t="str">
        <f>IF($B183="","",SUM(H130:H134))</f>
        <v/>
      </c>
      <c r="H183" s="27" t="str">
        <f>IFERROR(AVERAGE(J130:J134),"")</f>
        <v/>
      </c>
      <c r="I183" s="28"/>
      <c r="J183" s="29"/>
    </row>
    <row r="184" spans="1:10" ht="13.35" customHeight="1">
      <c r="A184" s="2" t="str">
        <f>IF(B184="","",27)</f>
        <v/>
      </c>
      <c r="B184" s="26" t="str">
        <f>$B$135</f>
        <v/>
      </c>
      <c r="C184" s="16" t="str">
        <f>$C$135</f>
        <v/>
      </c>
      <c r="D184" s="16" t="str">
        <f>$D$135</f>
        <v/>
      </c>
      <c r="E184" s="16" t="str">
        <f>$E$135</f>
        <v/>
      </c>
      <c r="F184" s="2" t="str">
        <f>IF($B184="","",SUM(#REF!))</f>
        <v/>
      </c>
      <c r="G184" s="2" t="str">
        <f>IF($B184="","",SUM(H135:H139))</f>
        <v/>
      </c>
      <c r="H184" s="27" t="str">
        <f>IFERROR(AVERAGE(J135:J139),"")</f>
        <v/>
      </c>
      <c r="I184" s="28"/>
      <c r="J184" s="29"/>
    </row>
    <row r="185" spans="1:10" ht="13.35" customHeight="1">
      <c r="A185" s="2" t="str">
        <f>IF(B185="","",28)</f>
        <v/>
      </c>
      <c r="B185" s="26" t="str">
        <f>$B$140</f>
        <v/>
      </c>
      <c r="C185" s="16" t="str">
        <f>$C$140</f>
        <v/>
      </c>
      <c r="D185" s="16" t="str">
        <f>$D$140</f>
        <v/>
      </c>
      <c r="E185" s="16" t="str">
        <f>$E$140</f>
        <v/>
      </c>
      <c r="F185" s="2" t="str">
        <f>IF($B185="","",SUM(#REF!))</f>
        <v/>
      </c>
      <c r="G185" s="2" t="str">
        <f>IF($B185="","",SUM(H140:H144))</f>
        <v/>
      </c>
      <c r="H185" s="27" t="str">
        <f>IFERROR(AVERAGE(J140:J144),"")</f>
        <v/>
      </c>
      <c r="I185" s="28"/>
      <c r="J185" s="29"/>
    </row>
    <row r="186" spans="1:10" ht="13.35" customHeight="1">
      <c r="A186" s="2" t="str">
        <f>IF(B186="","",29)</f>
        <v/>
      </c>
      <c r="B186" s="26" t="str">
        <f>$B$145</f>
        <v/>
      </c>
      <c r="C186" s="16" t="str">
        <f>$C$145</f>
        <v/>
      </c>
      <c r="D186" s="16" t="str">
        <f>$D$145</f>
        <v/>
      </c>
      <c r="E186" s="16" t="str">
        <f>$E$145</f>
        <v/>
      </c>
      <c r="F186" s="2" t="str">
        <f>IF($B186="","",SUM(#REF!))</f>
        <v/>
      </c>
      <c r="G186" s="2" t="str">
        <f>IF($B186="","",SUM(H145:H149))</f>
        <v/>
      </c>
      <c r="H186" s="27" t="str">
        <f>IFERROR(AVERAGE(J145:J149),"")</f>
        <v/>
      </c>
      <c r="I186" s="28"/>
      <c r="J186" s="29"/>
    </row>
    <row r="187" spans="1:10" ht="13.35" customHeight="1">
      <c r="A187" s="2" t="str">
        <f>IF(B187="","",30)</f>
        <v/>
      </c>
      <c r="B187" s="26" t="str">
        <f>$B$150</f>
        <v/>
      </c>
      <c r="C187" s="16" t="str">
        <f>$C$150</f>
        <v/>
      </c>
      <c r="D187" s="16" t="str">
        <f>$D$150</f>
        <v/>
      </c>
      <c r="E187" s="16" t="str">
        <f>$E$150</f>
        <v/>
      </c>
      <c r="F187" s="2" t="str">
        <f>IF($B187="","",SUM(#REF!))</f>
        <v/>
      </c>
      <c r="G187" s="2" t="str">
        <f>IF($B187="","",SUM(H150:H154))</f>
        <v/>
      </c>
      <c r="H187" s="27" t="str">
        <f>IFERROR(AVERAGE(J150:J154),"")</f>
        <v/>
      </c>
      <c r="I187" s="28"/>
      <c r="J187" s="29"/>
    </row>
  </sheetData>
  <mergeCells count="152">
    <mergeCell ref="A10:A14"/>
    <mergeCell ref="B10:B14"/>
    <mergeCell ref="C10:C14"/>
    <mergeCell ref="D10:D14"/>
    <mergeCell ref="E10:E14"/>
    <mergeCell ref="A1:K1"/>
    <mergeCell ref="A2:K2"/>
    <mergeCell ref="A5:A9"/>
    <mergeCell ref="B5:B9"/>
    <mergeCell ref="C5:C9"/>
    <mergeCell ref="D5:D9"/>
    <mergeCell ref="E5:E9"/>
    <mergeCell ref="A20:A24"/>
    <mergeCell ref="B20:B24"/>
    <mergeCell ref="C20:C24"/>
    <mergeCell ref="D20:D24"/>
    <mergeCell ref="E20:E24"/>
    <mergeCell ref="A15:A19"/>
    <mergeCell ref="B15:B19"/>
    <mergeCell ref="C15:C19"/>
    <mergeCell ref="D15:D19"/>
    <mergeCell ref="E15:E19"/>
    <mergeCell ref="A30:A34"/>
    <mergeCell ref="B30:B34"/>
    <mergeCell ref="C30:C34"/>
    <mergeCell ref="D30:D34"/>
    <mergeCell ref="E30:E34"/>
    <mergeCell ref="A25:A29"/>
    <mergeCell ref="B25:B29"/>
    <mergeCell ref="C25:C29"/>
    <mergeCell ref="D25:D29"/>
    <mergeCell ref="E25:E29"/>
    <mergeCell ref="A40:A44"/>
    <mergeCell ref="B40:B44"/>
    <mergeCell ref="C40:C44"/>
    <mergeCell ref="D40:D44"/>
    <mergeCell ref="E40:E44"/>
    <mergeCell ref="A35:A39"/>
    <mergeCell ref="B35:B39"/>
    <mergeCell ref="C35:C39"/>
    <mergeCell ref="D35:D39"/>
    <mergeCell ref="E35:E39"/>
    <mergeCell ref="A50:A54"/>
    <mergeCell ref="B50:B54"/>
    <mergeCell ref="C50:C54"/>
    <mergeCell ref="D50:D54"/>
    <mergeCell ref="E50:E54"/>
    <mergeCell ref="A45:A49"/>
    <mergeCell ref="B45:B49"/>
    <mergeCell ref="C45:C49"/>
    <mergeCell ref="D45:D49"/>
    <mergeCell ref="E45:E49"/>
    <mergeCell ref="A60:A64"/>
    <mergeCell ref="B60:B64"/>
    <mergeCell ref="C60:C64"/>
    <mergeCell ref="D60:D64"/>
    <mergeCell ref="E60:E64"/>
    <mergeCell ref="A55:A59"/>
    <mergeCell ref="B55:B59"/>
    <mergeCell ref="C55:C59"/>
    <mergeCell ref="D55:D59"/>
    <mergeCell ref="E55:E59"/>
    <mergeCell ref="A70:A74"/>
    <mergeCell ref="B70:B74"/>
    <mergeCell ref="C70:C74"/>
    <mergeCell ref="D70:D74"/>
    <mergeCell ref="E70:E74"/>
    <mergeCell ref="A65:A69"/>
    <mergeCell ref="B65:B69"/>
    <mergeCell ref="C65:C69"/>
    <mergeCell ref="D65:D69"/>
    <mergeCell ref="E65:E69"/>
    <mergeCell ref="A80:A84"/>
    <mergeCell ref="B80:B84"/>
    <mergeCell ref="C80:C84"/>
    <mergeCell ref="D80:D84"/>
    <mergeCell ref="E80:E84"/>
    <mergeCell ref="A75:A79"/>
    <mergeCell ref="B75:B79"/>
    <mergeCell ref="C75:C79"/>
    <mergeCell ref="D75:D79"/>
    <mergeCell ref="E75:E79"/>
    <mergeCell ref="A90:A94"/>
    <mergeCell ref="B90:B94"/>
    <mergeCell ref="C90:C94"/>
    <mergeCell ref="D90:D94"/>
    <mergeCell ref="E90:E94"/>
    <mergeCell ref="A85:A89"/>
    <mergeCell ref="B85:B89"/>
    <mergeCell ref="C85:C89"/>
    <mergeCell ref="D85:D89"/>
    <mergeCell ref="E85:E89"/>
    <mergeCell ref="A100:A104"/>
    <mergeCell ref="B100:B104"/>
    <mergeCell ref="C100:C104"/>
    <mergeCell ref="D100:D104"/>
    <mergeCell ref="E100:E104"/>
    <mergeCell ref="A95:A99"/>
    <mergeCell ref="B95:B99"/>
    <mergeCell ref="C95:C99"/>
    <mergeCell ref="D95:D99"/>
    <mergeCell ref="E95:E99"/>
    <mergeCell ref="A110:A114"/>
    <mergeCell ref="B110:B114"/>
    <mergeCell ref="C110:C114"/>
    <mergeCell ref="D110:D114"/>
    <mergeCell ref="E110:E114"/>
    <mergeCell ref="A105:A109"/>
    <mergeCell ref="B105:B109"/>
    <mergeCell ref="C105:C109"/>
    <mergeCell ref="D105:D109"/>
    <mergeCell ref="E105:E109"/>
    <mergeCell ref="A120:A124"/>
    <mergeCell ref="B120:B124"/>
    <mergeCell ref="C120:C124"/>
    <mergeCell ref="D120:D124"/>
    <mergeCell ref="E120:E124"/>
    <mergeCell ref="A115:A119"/>
    <mergeCell ref="B115:B119"/>
    <mergeCell ref="C115:C119"/>
    <mergeCell ref="D115:D119"/>
    <mergeCell ref="E115:E119"/>
    <mergeCell ref="A130:A134"/>
    <mergeCell ref="B130:B134"/>
    <mergeCell ref="C130:C134"/>
    <mergeCell ref="D130:D134"/>
    <mergeCell ref="E130:E134"/>
    <mergeCell ref="A125:A129"/>
    <mergeCell ref="B125:B129"/>
    <mergeCell ref="C125:C129"/>
    <mergeCell ref="D125:D129"/>
    <mergeCell ref="E125:E129"/>
    <mergeCell ref="A140:A144"/>
    <mergeCell ref="B140:B144"/>
    <mergeCell ref="C140:C144"/>
    <mergeCell ref="D140:D144"/>
    <mergeCell ref="E140:E144"/>
    <mergeCell ref="A135:A139"/>
    <mergeCell ref="B135:B139"/>
    <mergeCell ref="C135:C139"/>
    <mergeCell ref="D135:D139"/>
    <mergeCell ref="E135:E139"/>
    <mergeCell ref="A150:A154"/>
    <mergeCell ref="B150:B154"/>
    <mergeCell ref="C150:C154"/>
    <mergeCell ref="D150:D154"/>
    <mergeCell ref="E150:E154"/>
    <mergeCell ref="A145:A149"/>
    <mergeCell ref="B145:B149"/>
    <mergeCell ref="C145:C149"/>
    <mergeCell ref="D145:D149"/>
    <mergeCell ref="E145:E149"/>
  </mergeCells>
  <conditionalFormatting sqref="I158:I187">
    <cfRule type="expression" dxfId="1" priority="1">
      <formula>I158="Sí"</formula>
    </cfRule>
    <cfRule type="expression" dxfId="0" priority="2">
      <formula>I158="No"</formula>
    </cfRule>
  </conditionalFormatting>
  <dataValidations count="5">
    <dataValidation type="list" allowBlank="1" sqref="F5:F154" xr:uid="{00000000-0002-0000-0300-000000000000}">
      <formula1>"1,2,3,4,5"</formula1>
    </dataValidation>
    <dataValidation type="list" allowBlank="1" sqref="I5:I154 I158:I187" xr:uid="{00000000-0002-0000-0300-000001000000}">
      <formula1>"Sí,No"</formula1>
    </dataValidation>
    <dataValidation type="whole" allowBlank="1" showErrorMessage="1" errorTitle="Valor fuera de rango" error="La actitud se califica de 1 a 5." sqref="J5:J154" xr:uid="{00000000-0002-0000-0300-000002000000}">
      <formula1>1</formula1>
      <formula2>5</formula2>
    </dataValidation>
    <dataValidation type="date" operator="greaterThanOrEqual" allowBlank="1" showErrorMessage="1" errorTitle="Fecha inválida" error="Ingresa una fecha válida (DD/MM/AAAA)." sqref="G5:G154" xr:uid="{00000000-0002-0000-0300-000003000000}">
      <formula1>DATE(2020,1,1)</formula1>
    </dataValidation>
    <dataValidation type="whole" operator="greaterThanOrEqual" allowBlank="1" showErrorMessage="1" errorTitle="Valor inválido" error="Ingresa un número igual o mayor a 0." sqref="H5:H154" xr:uid="{00000000-0002-0000-0300-000004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MARGARITA PUERTA MADARIAGA</dc:creator>
  <cp:keywords/>
  <dc:description/>
  <cp:lastModifiedBy>Usuario invitado</cp:lastModifiedBy>
  <cp:revision/>
  <dcterms:created xsi:type="dcterms:W3CDTF">2026-07-22T21:15:22Z</dcterms:created>
  <dcterms:modified xsi:type="dcterms:W3CDTF">2026-07-29T19:10:08Z</dcterms:modified>
  <cp:category/>
  <cp:contentStatus/>
</cp:coreProperties>
</file>